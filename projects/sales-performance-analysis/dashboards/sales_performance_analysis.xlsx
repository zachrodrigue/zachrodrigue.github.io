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https://d.docs.live.net/67671d55fee3b341/Documents/data_carpentry/projects/sales_performance/output/"/>
    </mc:Choice>
  </mc:AlternateContent>
  <xr:revisionPtr revIDLastSave="179" documentId="8_{DBC08252-7FED-4EA3-B8F3-1CBD4CB5BF19}" xr6:coauthVersionLast="47" xr6:coauthVersionMax="47" xr10:uidLastSave="{66F5D4A7-F629-4512-BA1F-BE69E7F550A8}"/>
  <bookViews>
    <workbookView xWindow="-108" yWindow="-108" windowWidth="19416" windowHeight="10560" activeTab="2" xr2:uid="{00000000-000D-0000-FFFF-FFFF00000000}"/>
  </bookViews>
  <sheets>
    <sheet name="Data" sheetId="1" r:id="rId1"/>
    <sheet name="Pivot Calculations" sheetId="3" r:id="rId2"/>
    <sheet name="Dashboard" sheetId="4" r:id="rId3"/>
  </sheets>
  <definedNames>
    <definedName name="Cost">'Pivot Calculations'!$C$13</definedName>
    <definedName name="costyoy">'Pivot Calculations'!$F$13</definedName>
    <definedName name="dateee">'Pivot Calculations'!$A$2</definedName>
    <definedName name="Profit">'Pivot Calculations'!$C$14</definedName>
    <definedName name="profityoy">'Pivot Calculations'!$F$14</definedName>
    <definedName name="qtyyoy">'Pivot Calculations'!$F$12</definedName>
    <definedName name="Quantity">'Pivot Calculations'!$C$12</definedName>
    <definedName name="Sales">'Pivot Calculations'!$C$11</definedName>
    <definedName name="Salesyoy">'Pivot Calculations'!$F$11</definedName>
    <definedName name="Slicer_Category">#N/A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3"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D14" i="3"/>
  <c r="D13" i="3"/>
  <c r="D12" i="3"/>
  <c r="D11" i="3"/>
  <c r="C14" i="3"/>
  <c r="C13" i="3"/>
  <c r="C12" i="3"/>
  <c r="C11" i="3"/>
  <c r="E11" i="3" l="1"/>
  <c r="F11" i="3" s="1"/>
  <c r="E12" i="3"/>
  <c r="F12" i="3" s="1"/>
  <c r="E13" i="3"/>
  <c r="F13" i="3" s="1"/>
  <c r="E14" i="3"/>
  <c r="F14" i="3" s="1"/>
</calcChain>
</file>

<file path=xl/sharedStrings.xml><?xml version="1.0" encoding="utf-8"?>
<sst xmlns="http://schemas.openxmlformats.org/spreadsheetml/2006/main" count="1320" uniqueCount="355">
  <si>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</si>
  <si>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</si>
  <si>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</si>
  <si>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</si>
  <si>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</si>
  <si>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</si>
  <si>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</si>
  <si>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</si>
  <si>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</si>
  <si>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</si>
  <si>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</si>
  <si>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</si>
  <si>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</si>
  <si>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</si>
  <si>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</si>
  <si>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</si>
  <si>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</si>
  <si>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</si>
  <si>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</si>
  <si>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</si>
  <si>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</si>
  <si>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</si>
  <si>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</si>
  <si>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</si>
  <si>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</si>
  <si>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</si>
  <si>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</si>
  <si>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</si>
  <si>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</si>
  <si>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</si>
  <si>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</si>
  <si>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</si>
  <si>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</si>
  <si>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</si>
  <si>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</si>
  <si>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</si>
  <si>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</si>
  <si>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</si>
  <si>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</si>
  <si>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</si>
  <si>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</si>
  <si>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</si>
  <si>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</si>
  <si>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</si>
  <si>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</si>
  <si>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</si>
  <si>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</si>
  <si>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</si>
  <si>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</si>
  <si>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</si>
  <si>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</si>
  <si>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</si>
  <si>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</si>
  <si>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</si>
  <si>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</si>
  <si>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</si>
  <si>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</si>
  <si>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</si>
  <si>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</si>
  <si>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</si>
  <si>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</si>
  <si>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</si>
  <si>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</si>
  <si>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</si>
  <si>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</si>
  <si>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</si>
  <si>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</si>
  <si>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</si>
  <si>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</si>
  <si>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</si>
  <si>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</si>
  <si>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</si>
  <si>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</si>
  <si>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</si>
  <si>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</si>
  <si>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</si>
  <si>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</si>
  <si>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</si>
  <si>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</si>
  <si>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</si>
  <si>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</si>
  <si>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</si>
  <si>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</si>
  <si>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</si>
  <si>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</si>
  <si>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</si>
  <si>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</si>
  <si>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</si>
  <si>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</si>
  <si>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</si>
  <si>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</si>
  <si>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</si>
  <si>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</si>
  <si>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</si>
  <si>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</si>
  <si>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</si>
  <si>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</si>
  <si>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</si>
  <si>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</si>
  <si>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</si>
  <si>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</si>
  <si>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</si>
  <si>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</si>
  <si>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</si>
  <si>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</si>
  <si>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</si>
  <si>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</si>
  <si>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</si>
  <si>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</si>
  <si>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</si>
  <si>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</si>
  <si>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</si>
  <si>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</si>
  <si>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</si>
  <si>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</si>
  <si>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</si>
  <si>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</si>
  <si>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</si>
  <si>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</si>
  <si>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</si>
  <si>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</si>
  <si>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</si>
  <si>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</si>
  <si>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</si>
  <si>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</si>
  <si>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</si>
  <si>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</si>
  <si>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</si>
  <si>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</si>
  <si>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</si>
  <si>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</si>
  <si>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</si>
  <si>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</si>
  <si>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</si>
  <si>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</si>
  <si>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</si>
  <si>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</si>
  <si>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</si>
  <si>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</si>
  <si>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</si>
  <si>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</si>
  <si>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</si>
  <si>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</si>
  <si>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</si>
  <si>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</si>
  <si>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</si>
  <si>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</si>
  <si>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</si>
  <si>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</si>
  <si>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</si>
  <si>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</si>
  <si>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</si>
  <si>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</si>
  <si>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</si>
  <si>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</si>
  <si>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</si>
  <si>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</si>
  <si>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</si>
  <si>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</si>
  <si>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</si>
  <si>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</si>
  <si>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</si>
  <si>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</si>
  <si>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</si>
  <si>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</si>
  <si>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</si>
  <si>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</si>
  <si>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</si>
  <si>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</si>
  <si>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</si>
  <si>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</si>
  <si>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</si>
  <si>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</si>
  <si>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</si>
  <si>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</si>
  <si>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</si>
  <si>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</si>
  <si>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</si>
  <si>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</si>
  <si>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</si>
  <si>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</si>
  <si>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</si>
  <si>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</si>
  <si>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</si>
  <si>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</si>
  <si>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</si>
  <si>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</si>
  <si>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</si>
  <si>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</si>
  <si>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</si>
  <si>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</si>
  <si>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</si>
  <si>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</si>
  <si>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</si>
  <si>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</si>
  <si>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</si>
  <si>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</si>
  <si>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</si>
  <si>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</si>
  <si>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</si>
  <si>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</si>
  <si>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</si>
  <si>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</si>
  <si>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</si>
  <si>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</si>
  <si>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</si>
  <si>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</si>
  <si>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</si>
  <si>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</si>
  <si>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</si>
  <si>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</si>
  <si>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</si>
  <si>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</si>
  <si>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</si>
  <si>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</si>
  <si>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</si>
  <si>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</si>
  <si>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</si>
  <si>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</si>
  <si>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</si>
  <si>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</si>
  <si>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</si>
  <si>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</si>
  <si>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</si>
  <si>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</si>
  <si>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</si>
  <si>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</si>
  <si>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</si>
  <si>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</si>
  <si>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</si>
  <si>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</si>
  <si>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</si>
  <si>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</si>
  <si>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</si>
  <si>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</si>
  <si>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</si>
  <si>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</si>
  <si>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</si>
  <si>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</si>
  <si>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</si>
  <si>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</si>
  <si>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</si>
  <si>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</si>
  <si>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</si>
  <si>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</si>
  <si>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</si>
  <si>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</si>
  <si>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</si>
  <si>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</si>
  <si>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</si>
  <si>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</si>
  <si>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</si>
  <si>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</si>
  <si>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</si>
  <si>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</si>
  <si>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</si>
  <si>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</si>
  <si>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</si>
  <si>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</si>
  <si>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</si>
  <si>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</si>
  <si>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</si>
  <si>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</si>
  <si>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</si>
  <si>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</si>
  <si>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</si>
  <si>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</si>
  <si>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</si>
  <si>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</si>
  <si>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</si>
  <si>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</si>
  <si>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</si>
  <si>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</si>
  <si>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</si>
  <si>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</si>
  <si>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</si>
  <si>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</si>
  <si>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</si>
  <si>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</si>
  <si>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</si>
  <si>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</si>
  <si>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</si>
  <si>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</si>
  <si>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</si>
  <si>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</si>
  <si>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</si>
  <si>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</si>
  <si>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</si>
  <si>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</si>
  <si>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</si>
  <si>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</si>
  <si>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</si>
  <si>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</si>
  <si>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</si>
  <si>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</si>
  <si>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</si>
  <si>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</si>
  <si>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</si>
  <si>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</si>
  <si>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</si>
  <si>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</si>
  <si>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</si>
  <si>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</si>
  <si>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</si>
  <si>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</si>
  <si>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</si>
  <si>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</si>
  <si>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</si>
  <si>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</si>
  <si>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</si>
  <si>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</si>
  <si>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</si>
  <si>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</si>
  <si>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</si>
  <si>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</si>
  <si>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</si>
  <si>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</si>
  <si>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</si>
  <si>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</si>
  <si>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</si>
  <si>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</si>
  <si>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</si>
  <si>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Sum of Sales</t>
  </si>
  <si>
    <t>Sum of Quantity</t>
  </si>
  <si>
    <t>Sum of Cost</t>
  </si>
  <si>
    <t>Row Labels</t>
  </si>
  <si>
    <t>2023</t>
  </si>
  <si>
    <t>2024</t>
  </si>
  <si>
    <t>Grand Total</t>
  </si>
  <si>
    <t>Sum of Profit</t>
  </si>
  <si>
    <t>Key Performance Indicators</t>
  </si>
  <si>
    <t>CY</t>
  </si>
  <si>
    <t>PY</t>
  </si>
  <si>
    <t>YOY</t>
  </si>
  <si>
    <t>Profit</t>
  </si>
  <si>
    <t>Jan</t>
  </si>
  <si>
    <t>Feb</t>
  </si>
  <si>
    <t>Mar</t>
  </si>
  <si>
    <t>Apr</t>
  </si>
  <si>
    <t>May</t>
  </si>
  <si>
    <t>Jun</t>
  </si>
  <si>
    <t>Jul</t>
  </si>
  <si>
    <t>Aug</t>
  </si>
  <si>
    <t>Sep</t>
  </si>
  <si>
    <t>Oct</t>
  </si>
  <si>
    <t>Nov</t>
  </si>
  <si>
    <t>Dec</t>
  </si>
  <si>
    <t>Column Labels</t>
  </si>
  <si>
    <t>Qtr1</t>
  </si>
  <si>
    <t>Qtr2</t>
  </si>
  <si>
    <t>Qtr3</t>
  </si>
  <si>
    <t>Qtr4</t>
  </si>
  <si>
    <t>Monthly Sales Trend</t>
  </si>
  <si>
    <t>Product Sales</t>
  </si>
  <si>
    <t>Region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</si>
</sst>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6" formatCode="yyyy\-mm\-dd;@"/>
    <numFmt numFmtId="168" formatCode="[&gt;=1000000]\$0.0,,\ &quot;M&quot;;[&gt;=1000]\$0.0,&quot;K&quot;;0"/>
    <numFmt numFmtId="169" formatCode="[&gt;=1000000]\$0,,\ &quot;M&quot;;[&gt;=1000]\$0,&quot;K&quot;;0"/>
    <numFmt numFmtId="172" formatCode="[$-409]mmmm\ d\,\ yyyy;@"/>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rgb="FFA4ABB6"/>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66" fontId="0" fillId="0" borderId="0" xfId="0" applyNumberFormat="1"/>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9" fontId="0" fillId="0" borderId="0" xfId="1" applyFont="1"/>
    <xf numFmtId="0" fontId="0" fillId="2" borderId="0" xfId="0" applyFill="1" applyAlignment="1">
      <alignment horizontal="center" vertical="center"/>
    </xf>
    <xf numFmtId="0" fontId="3" fillId="2" borderId="0" xfId="0" applyFont="1" applyFill="1" applyAlignment="1">
      <alignment horizontal="center" vertical="center"/>
    </xf>
    <xf numFmtId="0" fontId="0" fillId="3" borderId="0" xfId="0" applyFill="1"/>
    <xf numFmtId="169" fontId="0" fillId="0" borderId="0" xfId="0" applyNumberFormat="1"/>
    <xf numFmtId="172" fontId="0" fillId="0" borderId="0" xfId="0" applyNumberFormat="1"/>
  </cellXfs>
  <cellStyles count="2">
    <cellStyle name="Normal" xfId="0" builtinId="0"/>
    <cellStyle name="Percent" xfId="1" builtinId="5"/>
  </cellStyles>
  <dxfs count="17">
    <dxf>
      <font>
        <b/>
        <color theme="1"/>
      </font>
      <border>
        <bottom style="thin">
          <color theme="5"/>
        </bottom>
        <vertical/>
        <horizontal/>
      </border>
    </dxf>
    <dxf>
      <font>
        <color theme="1"/>
      </font>
      <fill>
        <patternFill>
          <bgColor rgb="FFE3E5E6"/>
        </patternFill>
      </fill>
      <border>
        <left style="thin">
          <color theme="5"/>
        </left>
        <right style="thin">
          <color theme="5"/>
        </right>
        <top style="thin">
          <color theme="5"/>
        </top>
        <bottom style="thin">
          <color theme="5"/>
        </bottom>
        <vertical/>
        <horizontal/>
      </border>
    </dxf>
    <dxf>
      <numFmt numFmtId="169" formatCode="[&gt;=1000000]\$0,,\ &quot;M&quot;;[&gt;=1000]\$0,&quot;K&quot;;0"/>
    </dxf>
    <dxf>
      <numFmt numFmtId="169" formatCode="[&gt;=1000000]\$0,,\ &quot;M&quot;;[&gt;=1000]\$0,&quot;K&quot;;0"/>
    </dxf>
    <dxf>
      <numFmt numFmtId="169" formatCode="[&gt;=1000000]\$0,,\ &quot;M&quot;;[&gt;=1000]\$0,&quot;K&quot;;0"/>
    </dxf>
    <dxf>
      <numFmt numFmtId="168" formatCode="[&gt;=1000000]\$0.0,,\ &quot;M&quot;;[&gt;=1000]\$0.0,&quot;K&quot;;0"/>
    </dxf>
    <dxf>
      <numFmt numFmtId="168" formatCode="[&gt;=1000000]\$0.0,,\ &quot;M&quot;;[&gt;=1000]\$0.0,&quot;K&quot;;0"/>
    </dxf>
    <dxf>
      <numFmt numFmtId="168" formatCode="[&gt;=1000000]\$0.0,,\ &quot;M&quot;;[&gt;=1000]\$0.0,&quot;K&quot;;0"/>
    </dxf>
    <dxf>
      <numFmt numFmtId="168" formatCode="[&gt;=1000000]\$0.0,,\ &quot;M&quot;;[&gt;=1000]\$0.0,&quot;K&quot;;0"/>
    </dxf>
    <dxf>
      <numFmt numFmtId="168" formatCode="[&gt;=1000000]\$0.0,,\ &quot;M&quot;;[&gt;=1000]\$0.0,&quot;K&quot;;0"/>
    </dxf>
    <dxf>
      <numFmt numFmtId="168" formatCode="[&gt;=1000000]\$0.0,,\ &quot;M&quot;;[&gt;=1000]\$0.0,&quot;K&quot;;0"/>
    </dxf>
    <dxf>
      <numFmt numFmtId="166" formatCode="yyyy\-mm\-dd;@"/>
    </dxf>
    <dxf>
      <numFmt numFmtId="166"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yyyy\-mm\-dd;@"/>
    </dxf>
    <dxf>
      <border outline="0">
        <bottom style="thin">
          <color auto="1"/>
        </bottom>
      </border>
    </dxf>
    <dxf>
      <border outline="0">
        <top style="thin">
          <color auto="1"/>
        </top>
      </border>
    </dxf>
  </dxfs>
  <tableStyles count="1" defaultTableStyle="TableStyleMedium9" defaultPivotStyle="PivotStyleLight16">
    <tableStyle name="Custom" pivot="0" table="0" count="10" xr9:uid="{305A4394-8645-4276-99B4-7009A42EF66E}">
      <tableStyleElement type="wholeTable" dxfId="1"/>
      <tableStyleElement type="headerRow" dxfId="0"/>
    </tableStyle>
  </tableStyles>
  <colors>
    <mruColors>
      <color rgb="FF30302E"/>
      <color rgb="FF0C0E0C"/>
      <color rgb="FFFDF7E5"/>
      <color rgb="FFFFC000"/>
      <color rgb="FFFFD85F"/>
      <color rgb="FFE3E5E6"/>
      <color rgb="FF343231"/>
      <color rgb="FF34A25A"/>
      <color rgb="FFF6F6F6"/>
      <color rgb="FFA4ABB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Abadi"/>
            <family val="2"/>
            <scheme val="none"/>
          </font>
          <fill>
            <patternFill patternType="solid">
              <fgColor rgb="FFFFC000"/>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name val="Abadi"/>
            <family val="2"/>
            <scheme val="none"/>
          </font>
          <fill>
            <patternFill patternType="solid">
              <fgColor rgb="FFFFC000"/>
              <bgColor theme="5"/>
            </patternFill>
          </fill>
          <border>
            <left style="thin">
              <color theme="5"/>
            </left>
            <right style="thin">
              <color theme="5"/>
            </right>
            <top style="thin">
              <color theme="5"/>
            </top>
            <bottom style="thin">
              <color theme="5"/>
            </bottom>
            <vertical/>
            <horizontal/>
          </border>
        </dxf>
        <dxf>
          <font>
            <color rgb="FF959595"/>
            <name val="Abadi"/>
            <family val="2"/>
            <scheme val="none"/>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name val="Abadi"/>
            <family val="2"/>
            <scheme val="none"/>
          </font>
          <fill>
            <patternFill patternType="solid">
              <fgColor rgb="FFFFC00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Calculations!PivotTable5</c:name>
    <c:fmtId val="4"/>
  </c:pivotSource>
  <c:chart>
    <c:autoTitleDeleted val="0"/>
    <c:pivotFmts>
      <c:pivotFmt>
        <c:idx val="0"/>
        <c:spPr>
          <a:solidFill>
            <a:schemeClr val="accent1"/>
          </a:solidFill>
          <a:ln w="25400" cap="rnd">
            <a:solidFill>
              <a:srgbClr val="FFC000">
                <a:alpha val="47000"/>
              </a:srgb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C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FFC000">
                <a:alpha val="47000"/>
              </a:srgb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C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30302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4705009699878"/>
          <c:y val="0"/>
          <c:w val="0.82539682539682535"/>
          <c:h val="1"/>
        </c:manualLayout>
      </c:layout>
      <c:lineChart>
        <c:grouping val="standard"/>
        <c:varyColors val="0"/>
        <c:ser>
          <c:idx val="0"/>
          <c:order val="0"/>
          <c:tx>
            <c:strRef>
              <c:f>'Pivot Calculations'!$J$3:$J$4</c:f>
              <c:strCache>
                <c:ptCount val="1"/>
                <c:pt idx="0">
                  <c:v>2023</c:v>
                </c:pt>
              </c:strCache>
            </c:strRef>
          </c:tx>
          <c:spPr>
            <a:ln w="25400" cap="rnd">
              <a:solidFill>
                <a:srgbClr val="30302E"/>
              </a:solidFill>
              <a:round/>
            </a:ln>
            <a:effectLst/>
          </c:spPr>
          <c:marker>
            <c:symbol val="none"/>
          </c:marker>
          <c:cat>
            <c:strRef>
              <c:f>'Pivot Calculations'!$I$5:$I$9</c:f>
              <c:strCache>
                <c:ptCount val="4"/>
                <c:pt idx="0">
                  <c:v>Qtr1</c:v>
                </c:pt>
                <c:pt idx="1">
                  <c:v>Qtr2</c:v>
                </c:pt>
                <c:pt idx="2">
                  <c:v>Qtr3</c:v>
                </c:pt>
                <c:pt idx="3">
                  <c:v>Qtr4</c:v>
                </c:pt>
              </c:strCache>
            </c:strRef>
          </c:cat>
          <c:val>
            <c:numRef>
              <c:f>'Pivot Calculations'!$J$5:$J$9</c:f>
              <c:numCache>
                <c:formatCode>[&gt;=1000000]\$0.0,,\ "M";[&gt;=1000]\$0.0,"K";0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8DF4-40AD-B1A5-A1D3D4312496}"/>
            </c:ext>
          </c:extLst>
        </c:ser>
        <c:ser>
          <c:idx val="1"/>
          <c:order val="1"/>
          <c:tx>
            <c:strRef>
              <c:f>'Pivot Calculations'!$K$3:$K$4</c:f>
              <c:strCache>
                <c:ptCount val="1"/>
                <c:pt idx="0">
                  <c:v>2024</c:v>
                </c:pt>
              </c:strCache>
            </c:strRef>
          </c:tx>
          <c:spPr>
            <a:ln w="25400" cap="rnd">
              <a:solidFill>
                <a:srgbClr val="FFC000"/>
              </a:solidFill>
              <a:round/>
            </a:ln>
            <a:effectLst/>
          </c:spPr>
          <c:marker>
            <c:symbol val="none"/>
          </c:marker>
          <c:cat>
            <c:strRef>
              <c:f>'Pivot Calculations'!$I$5:$I$9</c:f>
              <c:strCache>
                <c:ptCount val="4"/>
                <c:pt idx="0">
                  <c:v>Qtr1</c:v>
                </c:pt>
                <c:pt idx="1">
                  <c:v>Qtr2</c:v>
                </c:pt>
                <c:pt idx="2">
                  <c:v>Qtr3</c:v>
                </c:pt>
                <c:pt idx="3">
                  <c:v>Qtr4</c:v>
                </c:pt>
              </c:strCache>
            </c:strRef>
          </c:cat>
          <c:val>
            <c:numRef>
              <c:f>'Pivot Calculations'!$K$5:$K$9</c:f>
              <c:numCache>
                <c:formatCode>[&gt;=1000000]\$0.0,,\ "M";[&gt;=1000]\$0.0,"K";0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8DF4-40AD-B1A5-A1D3D4312496}"/>
            </c:ext>
          </c:extLst>
        </c:ser>
        <c:dLbls>
          <c:showLegendKey val="0"/>
          <c:showVal val="0"/>
          <c:showCatName val="0"/>
          <c:showSerName val="0"/>
          <c:showPercent val="0"/>
          <c:showBubbleSize val="0"/>
        </c:dLbls>
        <c:smooth val="0"/>
        <c:axId val="397963624"/>
        <c:axId val="621516912"/>
      </c:lineChart>
      <c:catAx>
        <c:axId val="397963624"/>
        <c:scaling>
          <c:orientation val="minMax"/>
        </c:scaling>
        <c:delete val="1"/>
        <c:axPos val="b"/>
        <c:numFmt formatCode="General" sourceLinked="1"/>
        <c:majorTickMark val="none"/>
        <c:minorTickMark val="none"/>
        <c:tickLblPos val="nextTo"/>
        <c:crossAx val="621516912"/>
        <c:crosses val="autoZero"/>
        <c:auto val="1"/>
        <c:lblAlgn val="ctr"/>
        <c:lblOffset val="100"/>
        <c:noMultiLvlLbl val="0"/>
      </c:catAx>
      <c:valAx>
        <c:axId val="621516912"/>
        <c:scaling>
          <c:orientation val="minMax"/>
        </c:scaling>
        <c:delete val="1"/>
        <c:axPos val="l"/>
        <c:numFmt formatCode="[&gt;=1000000]\$0.0,,\ &quot;M&quot;;[&gt;=1000]\$0.0,&quot;K&quot;;0" sourceLinked="1"/>
        <c:majorTickMark val="none"/>
        <c:minorTickMark val="none"/>
        <c:tickLblPos val="nextTo"/>
        <c:crossAx val="397963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Calculations!PivotTable6</c:name>
    <c:fmtId val="6"/>
  </c:pivotSource>
  <c:chart>
    <c:autoTitleDeleted val="1"/>
    <c:pivotFmts>
      <c:pivotFmt>
        <c:idx val="0"/>
        <c:spPr>
          <a:solidFill>
            <a:schemeClr val="accent1"/>
          </a:solidFill>
          <a:ln w="25400" cap="rnd">
            <a:solidFill>
              <a:srgbClr val="FFC000">
                <a:alpha val="3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FFC000">
                <a:alpha val="3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30302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12560386473432E-2"/>
          <c:y val="6.5710872162485071E-2"/>
          <c:w val="0.93357487922705318"/>
          <c:h val="0.93428912783751494"/>
        </c:manualLayout>
      </c:layout>
      <c:lineChart>
        <c:grouping val="standard"/>
        <c:varyColors val="0"/>
        <c:ser>
          <c:idx val="0"/>
          <c:order val="0"/>
          <c:tx>
            <c:strRef>
              <c:f>'Pivot Calculations'!$J$14:$J$15</c:f>
              <c:strCache>
                <c:ptCount val="1"/>
                <c:pt idx="0">
                  <c:v>2023</c:v>
                </c:pt>
              </c:strCache>
            </c:strRef>
          </c:tx>
          <c:spPr>
            <a:ln w="25400" cap="rnd">
              <a:solidFill>
                <a:srgbClr val="30302E"/>
              </a:solidFill>
              <a:round/>
            </a:ln>
            <a:effectLst/>
          </c:spPr>
          <c:marker>
            <c:symbol val="none"/>
          </c:marker>
          <c:cat>
            <c:strRef>
              <c:f>'Pivot Calculations'!$I$16:$I$20</c:f>
              <c:strCache>
                <c:ptCount val="4"/>
                <c:pt idx="0">
                  <c:v>Qtr1</c:v>
                </c:pt>
                <c:pt idx="1">
                  <c:v>Qtr2</c:v>
                </c:pt>
                <c:pt idx="2">
                  <c:v>Qtr3</c:v>
                </c:pt>
                <c:pt idx="3">
                  <c:v>Qtr4</c:v>
                </c:pt>
              </c:strCache>
            </c:strRef>
          </c:cat>
          <c:val>
            <c:numRef>
              <c:f>'Pivot Calculations'!$J$16:$J$20</c:f>
              <c:numCache>
                <c:formatCode>General</c:formatCode>
                <c:ptCount val="4"/>
                <c:pt idx="0">
                  <c:v>202</c:v>
                </c:pt>
                <c:pt idx="1">
                  <c:v>174</c:v>
                </c:pt>
                <c:pt idx="2">
                  <c:v>146</c:v>
                </c:pt>
                <c:pt idx="3">
                  <c:v>202</c:v>
                </c:pt>
              </c:numCache>
            </c:numRef>
          </c:val>
          <c:smooth val="1"/>
          <c:extLst>
            <c:ext xmlns:c16="http://schemas.microsoft.com/office/drawing/2014/chart" uri="{C3380CC4-5D6E-409C-BE32-E72D297353CC}">
              <c16:uniqueId val="{00000000-262F-4123-AED9-F00CBE8EC267}"/>
            </c:ext>
          </c:extLst>
        </c:ser>
        <c:ser>
          <c:idx val="1"/>
          <c:order val="1"/>
          <c:tx>
            <c:strRef>
              <c:f>'Pivot Calculations'!$K$14:$K$15</c:f>
              <c:strCache>
                <c:ptCount val="1"/>
                <c:pt idx="0">
                  <c:v>2024</c:v>
                </c:pt>
              </c:strCache>
            </c:strRef>
          </c:tx>
          <c:spPr>
            <a:ln w="25400" cap="rnd">
              <a:solidFill>
                <a:srgbClr val="FFC000"/>
              </a:solidFill>
              <a:round/>
            </a:ln>
            <a:effectLst/>
          </c:spPr>
          <c:marker>
            <c:symbol val="none"/>
          </c:marker>
          <c:cat>
            <c:strRef>
              <c:f>'Pivot Calculations'!$I$16:$I$20</c:f>
              <c:strCache>
                <c:ptCount val="4"/>
                <c:pt idx="0">
                  <c:v>Qtr1</c:v>
                </c:pt>
                <c:pt idx="1">
                  <c:v>Qtr2</c:v>
                </c:pt>
                <c:pt idx="2">
                  <c:v>Qtr3</c:v>
                </c:pt>
                <c:pt idx="3">
                  <c:v>Qtr4</c:v>
                </c:pt>
              </c:strCache>
            </c:strRef>
          </c:cat>
          <c:val>
            <c:numRef>
              <c:f>'Pivot Calculations'!$K$16:$K$20</c:f>
              <c:numCache>
                <c:formatCode>General</c:formatCode>
                <c:ptCount val="4"/>
                <c:pt idx="0">
                  <c:v>216</c:v>
                </c:pt>
                <c:pt idx="1">
                  <c:v>189</c:v>
                </c:pt>
                <c:pt idx="2">
                  <c:v>252</c:v>
                </c:pt>
                <c:pt idx="3">
                  <c:v>242</c:v>
                </c:pt>
              </c:numCache>
            </c:numRef>
          </c:val>
          <c:smooth val="1"/>
          <c:extLst>
            <c:ext xmlns:c16="http://schemas.microsoft.com/office/drawing/2014/chart" uri="{C3380CC4-5D6E-409C-BE32-E72D297353CC}">
              <c16:uniqueId val="{00000001-262F-4123-AED9-F00CBE8EC267}"/>
            </c:ext>
          </c:extLst>
        </c:ser>
        <c:dLbls>
          <c:showLegendKey val="0"/>
          <c:showVal val="0"/>
          <c:showCatName val="0"/>
          <c:showSerName val="0"/>
          <c:showPercent val="0"/>
          <c:showBubbleSize val="0"/>
        </c:dLbls>
        <c:smooth val="0"/>
        <c:axId val="737934992"/>
        <c:axId val="737935352"/>
      </c:lineChart>
      <c:catAx>
        <c:axId val="737934992"/>
        <c:scaling>
          <c:orientation val="minMax"/>
        </c:scaling>
        <c:delete val="1"/>
        <c:axPos val="b"/>
        <c:numFmt formatCode="General" sourceLinked="1"/>
        <c:majorTickMark val="none"/>
        <c:minorTickMark val="none"/>
        <c:tickLblPos val="nextTo"/>
        <c:crossAx val="737935352"/>
        <c:crosses val="autoZero"/>
        <c:auto val="1"/>
        <c:lblAlgn val="ctr"/>
        <c:lblOffset val="100"/>
        <c:noMultiLvlLbl val="0"/>
      </c:catAx>
      <c:valAx>
        <c:axId val="737935352"/>
        <c:scaling>
          <c:orientation val="minMax"/>
        </c:scaling>
        <c:delete val="1"/>
        <c:axPos val="l"/>
        <c:numFmt formatCode="General" sourceLinked="1"/>
        <c:majorTickMark val="none"/>
        <c:minorTickMark val="none"/>
        <c:tickLblPos val="nextTo"/>
        <c:crossAx val="73793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Calculations!PivotTable7</c:name>
    <c:fmtId val="3"/>
  </c:pivotSource>
  <c:chart>
    <c:autoTitleDeleted val="0"/>
    <c:pivotFmts>
      <c:pivotFmt>
        <c:idx val="0"/>
        <c:spPr>
          <a:solidFill>
            <a:schemeClr val="accent1"/>
          </a:solidFill>
          <a:ln w="25400" cap="rnd">
            <a:solidFill>
              <a:srgbClr val="FFC000">
                <a:alpha val="3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FFC000">
                <a:alpha val="3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0C0E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88888888888895E-2"/>
          <c:y val="2.1645021645021644E-2"/>
          <c:w val="0.84722222222222221"/>
          <c:h val="0.97835497835497831"/>
        </c:manualLayout>
      </c:layout>
      <c:lineChart>
        <c:grouping val="standard"/>
        <c:varyColors val="0"/>
        <c:ser>
          <c:idx val="0"/>
          <c:order val="0"/>
          <c:tx>
            <c:strRef>
              <c:f>'Pivot Calculations'!$J$25:$J$26</c:f>
              <c:strCache>
                <c:ptCount val="1"/>
                <c:pt idx="0">
                  <c:v>2023</c:v>
                </c:pt>
              </c:strCache>
            </c:strRef>
          </c:tx>
          <c:spPr>
            <a:ln w="25400" cap="rnd">
              <a:solidFill>
                <a:srgbClr val="0C0E0C"/>
              </a:solidFill>
              <a:round/>
            </a:ln>
            <a:effectLst/>
          </c:spPr>
          <c:marker>
            <c:symbol val="none"/>
          </c:marker>
          <c:cat>
            <c:strRef>
              <c:f>'Pivot Calculations'!$I$27:$I$31</c:f>
              <c:strCache>
                <c:ptCount val="4"/>
                <c:pt idx="0">
                  <c:v>Qtr1</c:v>
                </c:pt>
                <c:pt idx="1">
                  <c:v>Qtr2</c:v>
                </c:pt>
                <c:pt idx="2">
                  <c:v>Qtr3</c:v>
                </c:pt>
                <c:pt idx="3">
                  <c:v>Qtr4</c:v>
                </c:pt>
              </c:strCache>
            </c:strRef>
          </c:cat>
          <c:val>
            <c:numRef>
              <c:f>'Pivot Calculations'!$J$27:$J$31</c:f>
              <c:numCache>
                <c:formatCode>[&gt;=1000000]\$0.0,,\ "M";[&gt;=1000]\$0.0,"K";0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BCC8-46DF-94B2-9F8623827ED6}"/>
            </c:ext>
          </c:extLst>
        </c:ser>
        <c:ser>
          <c:idx val="1"/>
          <c:order val="1"/>
          <c:tx>
            <c:strRef>
              <c:f>'Pivot Calculations'!$K$25:$K$26</c:f>
              <c:strCache>
                <c:ptCount val="1"/>
                <c:pt idx="0">
                  <c:v>2024</c:v>
                </c:pt>
              </c:strCache>
            </c:strRef>
          </c:tx>
          <c:spPr>
            <a:ln w="25400" cap="rnd">
              <a:solidFill>
                <a:srgbClr val="FFC000"/>
              </a:solidFill>
              <a:round/>
            </a:ln>
            <a:effectLst/>
          </c:spPr>
          <c:marker>
            <c:symbol val="none"/>
          </c:marker>
          <c:cat>
            <c:strRef>
              <c:f>'Pivot Calculations'!$I$27:$I$31</c:f>
              <c:strCache>
                <c:ptCount val="4"/>
                <c:pt idx="0">
                  <c:v>Qtr1</c:v>
                </c:pt>
                <c:pt idx="1">
                  <c:v>Qtr2</c:v>
                </c:pt>
                <c:pt idx="2">
                  <c:v>Qtr3</c:v>
                </c:pt>
                <c:pt idx="3">
                  <c:v>Qtr4</c:v>
                </c:pt>
              </c:strCache>
            </c:strRef>
          </c:cat>
          <c:val>
            <c:numRef>
              <c:f>'Pivot Calculations'!$K$27:$K$31</c:f>
              <c:numCache>
                <c:formatCode>[&gt;=1000000]\$0.0,,\ "M";[&gt;=1000]\$0.0,"K";0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BCC8-46DF-94B2-9F8623827ED6}"/>
            </c:ext>
          </c:extLst>
        </c:ser>
        <c:dLbls>
          <c:showLegendKey val="0"/>
          <c:showVal val="0"/>
          <c:showCatName val="0"/>
          <c:showSerName val="0"/>
          <c:showPercent val="0"/>
          <c:showBubbleSize val="0"/>
        </c:dLbls>
        <c:smooth val="0"/>
        <c:axId val="623009000"/>
        <c:axId val="623009360"/>
      </c:lineChart>
      <c:catAx>
        <c:axId val="623009000"/>
        <c:scaling>
          <c:orientation val="minMax"/>
        </c:scaling>
        <c:delete val="1"/>
        <c:axPos val="b"/>
        <c:numFmt formatCode="General" sourceLinked="1"/>
        <c:majorTickMark val="none"/>
        <c:minorTickMark val="none"/>
        <c:tickLblPos val="nextTo"/>
        <c:crossAx val="623009360"/>
        <c:crosses val="autoZero"/>
        <c:auto val="1"/>
        <c:lblAlgn val="ctr"/>
        <c:lblOffset val="100"/>
        <c:noMultiLvlLbl val="0"/>
      </c:catAx>
      <c:valAx>
        <c:axId val="623009360"/>
        <c:scaling>
          <c:orientation val="minMax"/>
        </c:scaling>
        <c:delete val="1"/>
        <c:axPos val="l"/>
        <c:numFmt formatCode="[&gt;=1000000]\$0.0,,\ &quot;M&quot;;[&gt;=1000]\$0.0,&quot;K&quot;;0" sourceLinked="1"/>
        <c:majorTickMark val="none"/>
        <c:minorTickMark val="none"/>
        <c:tickLblPos val="nextTo"/>
        <c:crossAx val="623009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Calculations!PivotTable8</c:name>
    <c:fmtId val="3"/>
  </c:pivotSource>
  <c:chart>
    <c:autoTitleDeleted val="0"/>
    <c:pivotFmts>
      <c:pivotFmt>
        <c:idx val="0"/>
        <c:spPr>
          <a:solidFill>
            <a:schemeClr val="accent1"/>
          </a:solidFill>
          <a:ln w="25400" cap="rnd">
            <a:solidFill>
              <a:srgbClr val="FFC000">
                <a:alpha val="3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FFC000">
                <a:alpha val="3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30302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10144927536225E-2"/>
          <c:y val="2.4509803921568627E-2"/>
          <c:w val="0.84057971014492749"/>
          <c:h val="0.97549019607843135"/>
        </c:manualLayout>
      </c:layout>
      <c:lineChart>
        <c:grouping val="standard"/>
        <c:varyColors val="0"/>
        <c:ser>
          <c:idx val="0"/>
          <c:order val="0"/>
          <c:tx>
            <c:strRef>
              <c:f>'Pivot Calculations'!$J$36:$J$37</c:f>
              <c:strCache>
                <c:ptCount val="1"/>
                <c:pt idx="0">
                  <c:v>2023</c:v>
                </c:pt>
              </c:strCache>
            </c:strRef>
          </c:tx>
          <c:spPr>
            <a:ln w="25400" cap="rnd">
              <a:solidFill>
                <a:srgbClr val="30302E"/>
              </a:solidFill>
              <a:round/>
            </a:ln>
            <a:effectLst/>
          </c:spPr>
          <c:marker>
            <c:symbol val="none"/>
          </c:marker>
          <c:cat>
            <c:strRef>
              <c:f>'Pivot Calculations'!$I$38:$I$42</c:f>
              <c:strCache>
                <c:ptCount val="4"/>
                <c:pt idx="0">
                  <c:v>Qtr1</c:v>
                </c:pt>
                <c:pt idx="1">
                  <c:v>Qtr2</c:v>
                </c:pt>
                <c:pt idx="2">
                  <c:v>Qtr3</c:v>
                </c:pt>
                <c:pt idx="3">
                  <c:v>Qtr4</c:v>
                </c:pt>
              </c:strCache>
            </c:strRef>
          </c:cat>
          <c:val>
            <c:numRef>
              <c:f>'Pivot Calculations'!$J$38:$J$42</c:f>
              <c:numCache>
                <c:formatCode>[&gt;=1000000]\$0.0,,\ "M";[&gt;=1000]\$0.0,"K";0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A179-4415-854C-A70353401938}"/>
            </c:ext>
          </c:extLst>
        </c:ser>
        <c:ser>
          <c:idx val="1"/>
          <c:order val="1"/>
          <c:tx>
            <c:strRef>
              <c:f>'Pivot Calculations'!$K$36:$K$37</c:f>
              <c:strCache>
                <c:ptCount val="1"/>
                <c:pt idx="0">
                  <c:v>2024</c:v>
                </c:pt>
              </c:strCache>
            </c:strRef>
          </c:tx>
          <c:spPr>
            <a:ln w="25400" cap="rnd">
              <a:solidFill>
                <a:srgbClr val="FFC000"/>
              </a:solidFill>
              <a:round/>
            </a:ln>
            <a:effectLst/>
          </c:spPr>
          <c:marker>
            <c:symbol val="none"/>
          </c:marker>
          <c:cat>
            <c:strRef>
              <c:f>'Pivot Calculations'!$I$38:$I$42</c:f>
              <c:strCache>
                <c:ptCount val="4"/>
                <c:pt idx="0">
                  <c:v>Qtr1</c:v>
                </c:pt>
                <c:pt idx="1">
                  <c:v>Qtr2</c:v>
                </c:pt>
                <c:pt idx="2">
                  <c:v>Qtr3</c:v>
                </c:pt>
                <c:pt idx="3">
                  <c:v>Qtr4</c:v>
                </c:pt>
              </c:strCache>
            </c:strRef>
          </c:cat>
          <c:val>
            <c:numRef>
              <c:f>'Pivot Calculations'!$K$38:$K$42</c:f>
              <c:numCache>
                <c:formatCode>[&gt;=1000000]\$0.0,,\ "M";[&gt;=1000]\$0.0,"K";0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A179-4415-854C-A70353401938}"/>
            </c:ext>
          </c:extLst>
        </c:ser>
        <c:dLbls>
          <c:showLegendKey val="0"/>
          <c:showVal val="0"/>
          <c:showCatName val="0"/>
          <c:showSerName val="0"/>
          <c:showPercent val="0"/>
          <c:showBubbleSize val="0"/>
        </c:dLbls>
        <c:smooth val="0"/>
        <c:axId val="757553488"/>
        <c:axId val="757554928"/>
      </c:lineChart>
      <c:catAx>
        <c:axId val="757553488"/>
        <c:scaling>
          <c:orientation val="minMax"/>
        </c:scaling>
        <c:delete val="1"/>
        <c:axPos val="b"/>
        <c:numFmt formatCode="General" sourceLinked="1"/>
        <c:majorTickMark val="none"/>
        <c:minorTickMark val="none"/>
        <c:tickLblPos val="nextTo"/>
        <c:crossAx val="757554928"/>
        <c:crosses val="autoZero"/>
        <c:auto val="1"/>
        <c:lblAlgn val="ctr"/>
        <c:lblOffset val="100"/>
        <c:noMultiLvlLbl val="0"/>
      </c:catAx>
      <c:valAx>
        <c:axId val="757554928"/>
        <c:scaling>
          <c:orientation val="minMax"/>
        </c:scaling>
        <c:delete val="1"/>
        <c:axPos val="l"/>
        <c:numFmt formatCode="[&gt;=1000000]\$0.0,,\ &quot;M&quot;;[&gt;=1000]\$0.0,&quot;K&quot;;0" sourceLinked="1"/>
        <c:majorTickMark val="none"/>
        <c:minorTickMark val="none"/>
        <c:tickLblPos val="nextTo"/>
        <c:crossAx val="75755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Calculations!PivotTable2</c:name>
    <c:fmtId val="7"/>
  </c:pivotSource>
  <c:chart>
    <c:autoTitleDeleted val="0"/>
    <c:pivotFmts>
      <c:pivotFmt>
        <c:idx val="0"/>
        <c:spPr>
          <a:solidFill>
            <a:schemeClr val="accent1"/>
          </a:solidFill>
          <a:ln w="6350" cap="rnd">
            <a:solidFill>
              <a:srgbClr val="FFC000">
                <a:alpha val="47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350" cap="rnd">
            <a:solidFill>
              <a:srgbClr val="FFC000">
                <a:alpha val="47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635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30302E"/>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5034579080157E-2"/>
          <c:y val="0.11958292894913779"/>
          <c:w val="0.9219380077844288"/>
          <c:h val="0.75168536896983029"/>
        </c:manualLayout>
      </c:layout>
      <c:lineChart>
        <c:grouping val="standard"/>
        <c:varyColors val="0"/>
        <c:ser>
          <c:idx val="0"/>
          <c:order val="0"/>
          <c:tx>
            <c:strRef>
              <c:f>'Pivot Calculations'!$B$17:$B$18</c:f>
              <c:strCache>
                <c:ptCount val="1"/>
                <c:pt idx="0">
                  <c:v>2023</c:v>
                </c:pt>
              </c:strCache>
            </c:strRef>
          </c:tx>
          <c:spPr>
            <a:ln w="25400" cap="rnd">
              <a:solidFill>
                <a:srgbClr val="30302E"/>
              </a:solidFill>
              <a:round/>
            </a:ln>
            <a:effectLst/>
          </c:spPr>
          <c:marker>
            <c:symbol val="none"/>
          </c:marker>
          <c:cat>
            <c:strRef>
              <c:f>'Pivot Calculations'!$A$19:$A$31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Calculations'!$B$19:$B$31</c:f>
              <c:numCache>
                <c:formatCode>[&gt;=1000000]\$0,,\ "M";[&gt;=1000]\$0,"K";0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1A30-4FEB-A1BA-101A22A997B9}"/>
            </c:ext>
          </c:extLst>
        </c:ser>
        <c:ser>
          <c:idx val="1"/>
          <c:order val="1"/>
          <c:tx>
            <c:strRef>
              <c:f>'Pivot Calculations'!$C$17:$C$18</c:f>
              <c:strCache>
                <c:ptCount val="1"/>
                <c:pt idx="0">
                  <c:v>2024</c:v>
                </c:pt>
              </c:strCache>
            </c:strRef>
          </c:tx>
          <c:spPr>
            <a:ln w="25400" cap="rnd">
              <a:solidFill>
                <a:srgbClr val="FFC000"/>
              </a:solidFill>
              <a:round/>
            </a:ln>
            <a:effectLst/>
          </c:spPr>
          <c:marker>
            <c:symbol val="none"/>
          </c:marker>
          <c:cat>
            <c:strRef>
              <c:f>'Pivot Calculations'!$A$19:$A$31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Calculations'!$C$19:$C$31</c:f>
              <c:numCache>
                <c:formatCode>[&gt;=1000000]\$0,,\ "M";[&gt;=1000]\$0,"K";0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1A30-4FEB-A1BA-101A22A997B9}"/>
            </c:ext>
          </c:extLst>
        </c:ser>
        <c:dLbls>
          <c:showLegendKey val="0"/>
          <c:showVal val="0"/>
          <c:showCatName val="0"/>
          <c:showSerName val="0"/>
          <c:showPercent val="0"/>
          <c:showBubbleSize val="0"/>
        </c:dLbls>
        <c:smooth val="0"/>
        <c:axId val="613724848"/>
        <c:axId val="613729528"/>
      </c:lineChart>
      <c:catAx>
        <c:axId val="6137248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0C0E0C"/>
                </a:solidFill>
                <a:latin typeface="Abadi" panose="020B0604020104020204" pitchFamily="34" charset="0"/>
                <a:ea typeface="+mn-ea"/>
                <a:cs typeface="+mn-cs"/>
              </a:defRPr>
            </a:pPr>
            <a:endParaRPr lang="en-GH"/>
          </a:p>
        </c:txPr>
        <c:crossAx val="613729528"/>
        <c:crosses val="autoZero"/>
        <c:auto val="1"/>
        <c:lblAlgn val="ctr"/>
        <c:lblOffset val="100"/>
        <c:noMultiLvlLbl val="0"/>
      </c:catAx>
      <c:valAx>
        <c:axId val="613729528"/>
        <c:scaling>
          <c:orientation val="minMax"/>
        </c:scaling>
        <c:delete val="0"/>
        <c:axPos val="l"/>
        <c:majorGridlines>
          <c:spPr>
            <a:ln w="3175" cap="flat" cmpd="sng" algn="ctr">
              <a:solidFill>
                <a:schemeClr val="tx1">
                  <a:lumMod val="50000"/>
                  <a:lumOff val="50000"/>
                  <a:alpha val="30000"/>
                </a:schemeClr>
              </a:solidFill>
              <a:round/>
            </a:ln>
            <a:effectLst/>
          </c:spPr>
        </c:majorGridlines>
        <c:numFmt formatCode="[&gt;=1000000]\$0,,\ &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C0E0C"/>
                </a:solidFill>
                <a:latin typeface="Abadi" panose="020B0604020104020204" pitchFamily="34" charset="0"/>
                <a:ea typeface="+mn-ea"/>
                <a:cs typeface="+mn-cs"/>
              </a:defRPr>
            </a:pPr>
            <a:endParaRPr lang="en-GH"/>
          </a:p>
        </c:txPr>
        <c:crossAx val="613724848"/>
        <c:crosses val="autoZero"/>
        <c:crossBetween val="between"/>
      </c:valAx>
      <c:spPr>
        <a:noFill/>
        <a:ln>
          <a:noFill/>
        </a:ln>
        <a:effectLst/>
      </c:spPr>
    </c:plotArea>
    <c:legend>
      <c:legendPos val="t"/>
      <c:layout>
        <c:manualLayout>
          <c:xMode val="edge"/>
          <c:yMode val="edge"/>
          <c:x val="0.70919990577162062"/>
          <c:y val="3.6961088177371515E-3"/>
          <c:w val="0.28159995625546808"/>
          <c:h val="7.8125546806649182E-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C0E0C"/>
              </a:solidFill>
              <a:latin typeface="Abadi" panose="020B0604020104020204" pitchFamily="34" charset="0"/>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Calculations!PivotTable3</c:name>
    <c:fmtId val="2"/>
  </c:pivotSource>
  <c:chart>
    <c:autoTitleDeleted val="0"/>
    <c:pivotFmts>
      <c:pivotFmt>
        <c:idx val="0"/>
        <c:spPr>
          <a:solidFill>
            <a:srgbClr val="FFC000">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030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Calculations'!$B$35:$B$36</c:f>
              <c:strCache>
                <c:ptCount val="1"/>
                <c:pt idx="0">
                  <c:v>2023</c:v>
                </c:pt>
              </c:strCache>
            </c:strRef>
          </c:tx>
          <c:spPr>
            <a:solidFill>
              <a:srgbClr val="30302E"/>
            </a:solidFill>
            <a:ln>
              <a:noFill/>
            </a:ln>
            <a:effectLst/>
          </c:spPr>
          <c:invertIfNegative val="0"/>
          <c:cat>
            <c:strRef>
              <c:f>'Pivot Calculations'!$A$37:$A$43</c:f>
              <c:strCache>
                <c:ptCount val="6"/>
                <c:pt idx="0">
                  <c:v>Headphones</c:v>
                </c:pt>
                <c:pt idx="1">
                  <c:v>Keyboard</c:v>
                </c:pt>
                <c:pt idx="2">
                  <c:v>Laptop</c:v>
                </c:pt>
                <c:pt idx="3">
                  <c:v>Monitor</c:v>
                </c:pt>
                <c:pt idx="4">
                  <c:v>Mouse</c:v>
                </c:pt>
                <c:pt idx="5">
                  <c:v>Printer</c:v>
                </c:pt>
              </c:strCache>
            </c:strRef>
          </c:cat>
          <c:val>
            <c:numRef>
              <c:f>'Pivot Calculations'!$B$37:$B$43</c:f>
              <c:numCache>
                <c:formatCode>[&gt;=1000000]\$0,,\ "M";[&gt;=1000]\$0,"K";0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396A-46E0-9AA2-0D2CEBD95B4D}"/>
            </c:ext>
          </c:extLst>
        </c:ser>
        <c:ser>
          <c:idx val="1"/>
          <c:order val="1"/>
          <c:tx>
            <c:strRef>
              <c:f>'Pivot Calculations'!$C$35:$C$36</c:f>
              <c:strCache>
                <c:ptCount val="1"/>
                <c:pt idx="0">
                  <c:v>2024</c:v>
                </c:pt>
              </c:strCache>
            </c:strRef>
          </c:tx>
          <c:spPr>
            <a:solidFill>
              <a:srgbClr val="FFC000"/>
            </a:solidFill>
            <a:ln>
              <a:noFill/>
            </a:ln>
            <a:effectLst/>
          </c:spPr>
          <c:invertIfNegative val="0"/>
          <c:cat>
            <c:strRef>
              <c:f>'Pivot Calculations'!$A$37:$A$43</c:f>
              <c:strCache>
                <c:ptCount val="6"/>
                <c:pt idx="0">
                  <c:v>Headphones</c:v>
                </c:pt>
                <c:pt idx="1">
                  <c:v>Keyboard</c:v>
                </c:pt>
                <c:pt idx="2">
                  <c:v>Laptop</c:v>
                </c:pt>
                <c:pt idx="3">
                  <c:v>Monitor</c:v>
                </c:pt>
                <c:pt idx="4">
                  <c:v>Mouse</c:v>
                </c:pt>
                <c:pt idx="5">
                  <c:v>Printer</c:v>
                </c:pt>
              </c:strCache>
            </c:strRef>
          </c:cat>
          <c:val>
            <c:numRef>
              <c:f>'Pivot Calculations'!$C$37:$C$43</c:f>
              <c:numCache>
                <c:formatCode>[&gt;=1000000]\$0,,\ "M";[&gt;=1000]\$0,"K";0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396A-46E0-9AA2-0D2CEBD95B4D}"/>
            </c:ext>
          </c:extLst>
        </c:ser>
        <c:dLbls>
          <c:showLegendKey val="0"/>
          <c:showVal val="0"/>
          <c:showCatName val="0"/>
          <c:showSerName val="0"/>
          <c:showPercent val="0"/>
          <c:showBubbleSize val="0"/>
        </c:dLbls>
        <c:gapWidth val="219"/>
        <c:overlap val="30"/>
        <c:axId val="622994960"/>
        <c:axId val="623004320"/>
      </c:barChart>
      <c:catAx>
        <c:axId val="6229949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0C0E0C"/>
                </a:solidFill>
                <a:latin typeface="+mn-lt"/>
                <a:ea typeface="+mn-ea"/>
                <a:cs typeface="+mn-cs"/>
              </a:defRPr>
            </a:pPr>
            <a:endParaRPr lang="en-GH"/>
          </a:p>
        </c:txPr>
        <c:crossAx val="623004320"/>
        <c:crosses val="autoZero"/>
        <c:auto val="1"/>
        <c:lblAlgn val="ctr"/>
        <c:lblOffset val="100"/>
        <c:noMultiLvlLbl val="0"/>
      </c:catAx>
      <c:valAx>
        <c:axId val="623004320"/>
        <c:scaling>
          <c:orientation val="minMax"/>
        </c:scaling>
        <c:delete val="0"/>
        <c:axPos val="l"/>
        <c:numFmt formatCode="[&gt;=1000000]\$0,,\ &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C0E0C"/>
                </a:solidFill>
                <a:latin typeface="Abadi" panose="020B0604020104020204" pitchFamily="34" charset="0"/>
                <a:ea typeface="+mn-ea"/>
                <a:cs typeface="+mn-cs"/>
              </a:defRPr>
            </a:pPr>
            <a:endParaRPr lang="en-GH"/>
          </a:p>
        </c:txPr>
        <c:crossAx val="622994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rgbClr val="0C0E0C"/>
              </a:solidFill>
              <a:latin typeface="Abadi" panose="020B0604020104020204" pitchFamily="34" charset="0"/>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Calculations!PivotTable4</c:name>
    <c:fmtId val="2"/>
  </c:pivotSource>
  <c:chart>
    <c:autoTitleDeleted val="0"/>
    <c:pivotFmts>
      <c:pivotFmt>
        <c:idx val="0"/>
        <c:spPr>
          <a:solidFill>
            <a:srgbClr val="FFC000">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0302E"/>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8907996292749"/>
          <c:y val="5.0925925925925923E-2"/>
          <c:w val="0.83309598355101755"/>
          <c:h val="0.81589457567804025"/>
        </c:manualLayout>
      </c:layout>
      <c:barChart>
        <c:barDir val="bar"/>
        <c:grouping val="clustered"/>
        <c:varyColors val="0"/>
        <c:ser>
          <c:idx val="0"/>
          <c:order val="0"/>
          <c:tx>
            <c:strRef>
              <c:f>'Pivot Calculations'!$B$48:$B$49</c:f>
              <c:strCache>
                <c:ptCount val="1"/>
                <c:pt idx="0">
                  <c:v>2023</c:v>
                </c:pt>
              </c:strCache>
            </c:strRef>
          </c:tx>
          <c:spPr>
            <a:solidFill>
              <a:srgbClr val="30302E"/>
            </a:solidFill>
            <a:ln>
              <a:noFill/>
            </a:ln>
            <a:effectLst/>
          </c:spPr>
          <c:invertIfNegative val="0"/>
          <c:cat>
            <c:strRef>
              <c:f>'Pivot Calculations'!$A$50:$A$54</c:f>
              <c:strCache>
                <c:ptCount val="4"/>
                <c:pt idx="0">
                  <c:v>East</c:v>
                </c:pt>
                <c:pt idx="1">
                  <c:v>North</c:v>
                </c:pt>
                <c:pt idx="2">
                  <c:v>South</c:v>
                </c:pt>
                <c:pt idx="3">
                  <c:v>West</c:v>
                </c:pt>
              </c:strCache>
            </c:strRef>
          </c:cat>
          <c:val>
            <c:numRef>
              <c:f>'Pivot Calculations'!$B$50:$B$54</c:f>
              <c:numCache>
                <c:formatCode>[&gt;=1000000]\$0,,\ "M";[&gt;=1000]\$0,"K";0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CC3B-4CCA-9CBE-553635CEFA7F}"/>
            </c:ext>
          </c:extLst>
        </c:ser>
        <c:ser>
          <c:idx val="1"/>
          <c:order val="1"/>
          <c:tx>
            <c:strRef>
              <c:f>'Pivot Calculations'!$C$48:$C$49</c:f>
              <c:strCache>
                <c:ptCount val="1"/>
                <c:pt idx="0">
                  <c:v>2024</c:v>
                </c:pt>
              </c:strCache>
            </c:strRef>
          </c:tx>
          <c:spPr>
            <a:solidFill>
              <a:srgbClr val="FFC000"/>
            </a:solidFill>
            <a:ln>
              <a:noFill/>
            </a:ln>
            <a:effectLst/>
          </c:spPr>
          <c:invertIfNegative val="0"/>
          <c:cat>
            <c:strRef>
              <c:f>'Pivot Calculations'!$A$50:$A$54</c:f>
              <c:strCache>
                <c:ptCount val="4"/>
                <c:pt idx="0">
                  <c:v>East</c:v>
                </c:pt>
                <c:pt idx="1">
                  <c:v>North</c:v>
                </c:pt>
                <c:pt idx="2">
                  <c:v>South</c:v>
                </c:pt>
                <c:pt idx="3">
                  <c:v>West</c:v>
                </c:pt>
              </c:strCache>
            </c:strRef>
          </c:cat>
          <c:val>
            <c:numRef>
              <c:f>'Pivot Calculations'!$C$50:$C$54</c:f>
              <c:numCache>
                <c:formatCode>[&gt;=1000000]\$0,,\ "M";[&gt;=1000]\$0,"K";0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CC3B-4CCA-9CBE-553635CEFA7F}"/>
            </c:ext>
          </c:extLst>
        </c:ser>
        <c:dLbls>
          <c:showLegendKey val="0"/>
          <c:showVal val="0"/>
          <c:showCatName val="0"/>
          <c:showSerName val="0"/>
          <c:showPercent val="0"/>
          <c:showBubbleSize val="0"/>
        </c:dLbls>
        <c:gapWidth val="182"/>
        <c:overlap val="30"/>
        <c:axId val="749831768"/>
        <c:axId val="749829608"/>
      </c:barChart>
      <c:catAx>
        <c:axId val="7498317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0C0E0C"/>
                </a:solidFill>
                <a:latin typeface="+mn-lt"/>
                <a:ea typeface="+mn-ea"/>
                <a:cs typeface="+mn-cs"/>
              </a:defRPr>
            </a:pPr>
            <a:endParaRPr lang="en-GH"/>
          </a:p>
        </c:txPr>
        <c:crossAx val="749829608"/>
        <c:crosses val="autoZero"/>
        <c:auto val="1"/>
        <c:lblAlgn val="ctr"/>
        <c:lblOffset val="100"/>
        <c:noMultiLvlLbl val="0"/>
      </c:catAx>
      <c:valAx>
        <c:axId val="749829608"/>
        <c:scaling>
          <c:orientation val="minMax"/>
        </c:scaling>
        <c:delete val="0"/>
        <c:axPos val="b"/>
        <c:numFmt formatCode="[&gt;=1000000]\$0,,\ &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C0E0C"/>
                </a:solidFill>
                <a:latin typeface="+mn-lt"/>
                <a:ea typeface="+mn-ea"/>
                <a:cs typeface="+mn-cs"/>
              </a:defRPr>
            </a:pPr>
            <a:endParaRPr lang="en-GH"/>
          </a:p>
        </c:txPr>
        <c:crossAx val="749831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0C0E0C"/>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Calculation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Calculations'!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hyperlink" Target="#Data!A1"/><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hyperlink" Target="#'Pivot Calculations'!A1"/><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0</xdr:colOff>
      <xdr:row>3</xdr:row>
      <xdr:rowOff>0</xdr:rowOff>
    </xdr:from>
    <xdr:to>
      <xdr:col>17</xdr:col>
      <xdr:colOff>457200</xdr:colOff>
      <xdr:row>6</xdr:row>
      <xdr:rowOff>133350</xdr:rowOff>
    </xdr:to>
    <xdr:sp macro="" textlink="">
      <xdr:nvSpPr>
        <xdr:cNvPr id="2" name="Rectangle: Rounded Corners 1">
          <a:extLst>
            <a:ext uri="{FF2B5EF4-FFF2-40B4-BE49-F238E27FC236}">
              <a16:creationId xmlns:a16="http://schemas.microsoft.com/office/drawing/2014/main" id="{49056947-120C-4862-96CB-02214CA21225}"/>
            </a:ext>
          </a:extLst>
        </xdr:cNvPr>
        <xdr:cNvSpPr/>
      </xdr:nvSpPr>
      <xdr:spPr>
        <a:xfrm>
          <a:off x="7185660" y="548640"/>
          <a:ext cx="4114800" cy="681990"/>
        </a:xfrm>
        <a:prstGeom prst="roundRect">
          <a:avLst>
            <a:gd name="adj" fmla="val 35706"/>
          </a:avLst>
        </a:prstGeom>
        <a:solidFill>
          <a:srgbClr val="FAF8E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editAs="oneCell">
    <xdr:from>
      <xdr:col>11</xdr:col>
      <xdr:colOff>209551</xdr:colOff>
      <xdr:row>4</xdr:row>
      <xdr:rowOff>6896</xdr:rowOff>
    </xdr:from>
    <xdr:to>
      <xdr:col>11</xdr:col>
      <xdr:colOff>571500</xdr:colOff>
      <xdr:row>5</xdr:row>
      <xdr:rowOff>179070</xdr:rowOff>
    </xdr:to>
    <xdr:pic>
      <xdr:nvPicPr>
        <xdr:cNvPr id="3" name="Picture 2">
          <a:hlinkClick xmlns:r="http://schemas.openxmlformats.org/officeDocument/2006/relationships" r:id="rId1"/>
          <a:extLst>
            <a:ext uri="{FF2B5EF4-FFF2-40B4-BE49-F238E27FC236}">
              <a16:creationId xmlns:a16="http://schemas.microsoft.com/office/drawing/2014/main" id="{F4421140-17A8-4094-BA5F-94E156BDEB47}"/>
            </a:ext>
          </a:extLst>
        </xdr:cNvPr>
        <xdr:cNvPicPr>
          <a:picLocks noChangeAspect="1"/>
        </xdr:cNvPicPr>
      </xdr:nvPicPr>
      <xdr:blipFill>
        <a:blip xmlns:r="http://schemas.openxmlformats.org/officeDocument/2006/relationships" r:embed="rId2">
          <a:alphaModFix amt="70000"/>
          <a:extLst>
            <a:ext uri="{28A0092B-C50C-407E-A947-70E740481C1C}">
              <a14:useLocalDpi xmlns:a14="http://schemas.microsoft.com/office/drawing/2010/main" val="0"/>
            </a:ext>
          </a:extLst>
        </a:blip>
        <a:stretch>
          <a:fillRect/>
        </a:stretch>
      </xdr:blipFill>
      <xdr:spPr>
        <a:xfrm>
          <a:off x="7395211" y="738416"/>
          <a:ext cx="361949" cy="355054"/>
        </a:xfrm>
        <a:prstGeom prst="rect">
          <a:avLst/>
        </a:prstGeom>
        <a:solidFill>
          <a:srgbClr val="343231"/>
        </a:solidFill>
      </xdr:spPr>
    </xdr:pic>
    <xdr:clientData/>
  </xdr:twoCellAnchor>
  <xdr:twoCellAnchor editAs="oneCell">
    <xdr:from>
      <xdr:col>16</xdr:col>
      <xdr:colOff>340501</xdr:colOff>
      <xdr:row>3</xdr:row>
      <xdr:rowOff>161070</xdr:rowOff>
    </xdr:from>
    <xdr:to>
      <xdr:col>17</xdr:col>
      <xdr:colOff>144781</xdr:colOff>
      <xdr:row>6</xdr:row>
      <xdr:rowOff>7620</xdr:rowOff>
    </xdr:to>
    <xdr:pic>
      <xdr:nvPicPr>
        <xdr:cNvPr id="4" name="Picture 3">
          <a:hlinkClick xmlns:r="http://schemas.openxmlformats.org/officeDocument/2006/relationships" r:id="rId3"/>
          <a:extLst>
            <a:ext uri="{FF2B5EF4-FFF2-40B4-BE49-F238E27FC236}">
              <a16:creationId xmlns:a16="http://schemas.microsoft.com/office/drawing/2014/main" id="{5111B898-C644-410F-B852-B425C6751635}"/>
            </a:ext>
          </a:extLst>
        </xdr:cNvPr>
        <xdr:cNvPicPr>
          <a:picLocks noChangeAspect="1"/>
        </xdr:cNvPicPr>
      </xdr:nvPicPr>
      <xdr:blipFill>
        <a:blip xmlns:r="http://schemas.openxmlformats.org/officeDocument/2006/relationships" r:embed="rId4">
          <a:alphaModFix amt="70000"/>
          <a:extLst>
            <a:ext uri="{28A0092B-C50C-407E-A947-70E740481C1C}">
              <a14:useLocalDpi xmlns:a14="http://schemas.microsoft.com/office/drawing/2010/main" val="0"/>
            </a:ext>
          </a:extLst>
        </a:blip>
        <a:stretch>
          <a:fillRect/>
        </a:stretch>
      </xdr:blipFill>
      <xdr:spPr>
        <a:xfrm>
          <a:off x="10574161" y="709710"/>
          <a:ext cx="413880" cy="395190"/>
        </a:xfrm>
        <a:prstGeom prst="rect">
          <a:avLst/>
        </a:prstGeom>
        <a:solidFill>
          <a:srgbClr val="343231"/>
        </a:solidFill>
      </xdr:spPr>
    </xdr:pic>
    <xdr:clientData/>
  </xdr:twoCellAnchor>
  <xdr:twoCellAnchor editAs="oneCell">
    <xdr:from>
      <xdr:col>13</xdr:col>
      <xdr:colOff>566242</xdr:colOff>
      <xdr:row>3</xdr:row>
      <xdr:rowOff>176715</xdr:rowOff>
    </xdr:from>
    <xdr:to>
      <xdr:col>14</xdr:col>
      <xdr:colOff>358140</xdr:colOff>
      <xdr:row>6</xdr:row>
      <xdr:rowOff>16547</xdr:rowOff>
    </xdr:to>
    <xdr:pic>
      <xdr:nvPicPr>
        <xdr:cNvPr id="5" name="Picture 4">
          <a:hlinkClick xmlns:r="http://schemas.openxmlformats.org/officeDocument/2006/relationships" r:id="rId5"/>
          <a:extLst>
            <a:ext uri="{FF2B5EF4-FFF2-40B4-BE49-F238E27FC236}">
              <a16:creationId xmlns:a16="http://schemas.microsoft.com/office/drawing/2014/main" id="{399848C0-8F8C-4979-BD7A-253D07FE37D3}"/>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tretch>
          <a:fillRect/>
        </a:stretch>
      </xdr:blipFill>
      <xdr:spPr>
        <a:xfrm>
          <a:off x="8971102" y="725355"/>
          <a:ext cx="401498" cy="388472"/>
        </a:xfrm>
        <a:prstGeom prst="rect">
          <a:avLst/>
        </a:prstGeom>
        <a:solidFill>
          <a:srgbClr val="34323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4</xdr:row>
      <xdr:rowOff>0</xdr:rowOff>
    </xdr:from>
    <xdr:to>
      <xdr:col>20</xdr:col>
      <xdr:colOff>457200</xdr:colOff>
      <xdr:row>7</xdr:row>
      <xdr:rowOff>133350</xdr:rowOff>
    </xdr:to>
    <xdr:sp macro="" textlink="">
      <xdr:nvSpPr>
        <xdr:cNvPr id="11" name="Rectangle: Rounded Corners 10">
          <a:extLst>
            <a:ext uri="{FF2B5EF4-FFF2-40B4-BE49-F238E27FC236}">
              <a16:creationId xmlns:a16="http://schemas.microsoft.com/office/drawing/2014/main" id="{12E5A196-646F-414D-AF8C-345CDDB55B84}"/>
            </a:ext>
          </a:extLst>
        </xdr:cNvPr>
        <xdr:cNvSpPr/>
      </xdr:nvSpPr>
      <xdr:spPr>
        <a:xfrm>
          <a:off x="13898880" y="731520"/>
          <a:ext cx="4114800" cy="681990"/>
        </a:xfrm>
        <a:prstGeom prst="roundRect">
          <a:avLst>
            <a:gd name="adj" fmla="val 35706"/>
          </a:avLst>
        </a:prstGeom>
        <a:solidFill>
          <a:srgbClr val="FAF8E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editAs="oneCell">
    <xdr:from>
      <xdr:col>14</xdr:col>
      <xdr:colOff>209551</xdr:colOff>
      <xdr:row>5</xdr:row>
      <xdr:rowOff>6896</xdr:rowOff>
    </xdr:from>
    <xdr:to>
      <xdr:col>14</xdr:col>
      <xdr:colOff>571500</xdr:colOff>
      <xdr:row>6</xdr:row>
      <xdr:rowOff>179070</xdr:rowOff>
    </xdr:to>
    <xdr:pic>
      <xdr:nvPicPr>
        <xdr:cNvPr id="12" name="Picture 11">
          <a:hlinkClick xmlns:r="http://schemas.openxmlformats.org/officeDocument/2006/relationships" r:id="rId1"/>
          <a:extLst>
            <a:ext uri="{FF2B5EF4-FFF2-40B4-BE49-F238E27FC236}">
              <a16:creationId xmlns:a16="http://schemas.microsoft.com/office/drawing/2014/main" id="{F139CE02-252F-43C4-9C47-E1A8D30982C8}"/>
            </a:ext>
          </a:extLst>
        </xdr:cNvPr>
        <xdr:cNvPicPr>
          <a:picLocks noChangeAspect="1"/>
        </xdr:cNvPicPr>
      </xdr:nvPicPr>
      <xdr:blipFill>
        <a:blip xmlns:r="http://schemas.openxmlformats.org/officeDocument/2006/relationships" r:embed="rId2">
          <a:alphaModFix amt="70000"/>
          <a:extLst>
            <a:ext uri="{28A0092B-C50C-407E-A947-70E740481C1C}">
              <a14:useLocalDpi xmlns:a14="http://schemas.microsoft.com/office/drawing/2010/main" val="0"/>
            </a:ext>
          </a:extLst>
        </a:blip>
        <a:stretch>
          <a:fillRect/>
        </a:stretch>
      </xdr:blipFill>
      <xdr:spPr>
        <a:xfrm>
          <a:off x="14108431" y="921296"/>
          <a:ext cx="361949" cy="355054"/>
        </a:xfrm>
        <a:prstGeom prst="rect">
          <a:avLst/>
        </a:prstGeom>
        <a:solidFill>
          <a:srgbClr val="343231"/>
        </a:solidFill>
      </xdr:spPr>
    </xdr:pic>
    <xdr:clientData/>
  </xdr:twoCellAnchor>
  <xdr:twoCellAnchor editAs="oneCell">
    <xdr:from>
      <xdr:col>19</xdr:col>
      <xdr:colOff>340501</xdr:colOff>
      <xdr:row>4</xdr:row>
      <xdr:rowOff>161070</xdr:rowOff>
    </xdr:from>
    <xdr:to>
      <xdr:col>20</xdr:col>
      <xdr:colOff>144781</xdr:colOff>
      <xdr:row>7</xdr:row>
      <xdr:rowOff>7620</xdr:rowOff>
    </xdr:to>
    <xdr:pic>
      <xdr:nvPicPr>
        <xdr:cNvPr id="13" name="Picture 12">
          <a:hlinkClick xmlns:r="http://schemas.openxmlformats.org/officeDocument/2006/relationships" r:id="rId3"/>
          <a:extLst>
            <a:ext uri="{FF2B5EF4-FFF2-40B4-BE49-F238E27FC236}">
              <a16:creationId xmlns:a16="http://schemas.microsoft.com/office/drawing/2014/main" id="{A006AE44-D236-4595-A497-AEAA8F2587C3}"/>
            </a:ext>
          </a:extLst>
        </xdr:cNvPr>
        <xdr:cNvPicPr>
          <a:picLocks noChangeAspect="1"/>
        </xdr:cNvPicPr>
      </xdr:nvPicPr>
      <xdr:blipFill>
        <a:blip xmlns:r="http://schemas.openxmlformats.org/officeDocument/2006/relationships" r:embed="rId4">
          <a:alphaModFix amt="70000"/>
          <a:extLst>
            <a:ext uri="{28A0092B-C50C-407E-A947-70E740481C1C}">
              <a14:useLocalDpi xmlns:a14="http://schemas.microsoft.com/office/drawing/2010/main" val="0"/>
            </a:ext>
          </a:extLst>
        </a:blip>
        <a:stretch>
          <a:fillRect/>
        </a:stretch>
      </xdr:blipFill>
      <xdr:spPr>
        <a:xfrm>
          <a:off x="17287381" y="892590"/>
          <a:ext cx="413880" cy="395190"/>
        </a:xfrm>
        <a:prstGeom prst="rect">
          <a:avLst/>
        </a:prstGeom>
        <a:solidFill>
          <a:srgbClr val="343231"/>
        </a:solidFill>
      </xdr:spPr>
    </xdr:pic>
    <xdr:clientData/>
  </xdr:twoCellAnchor>
  <xdr:twoCellAnchor editAs="oneCell">
    <xdr:from>
      <xdr:col>16</xdr:col>
      <xdr:colOff>566242</xdr:colOff>
      <xdr:row>4</xdr:row>
      <xdr:rowOff>176715</xdr:rowOff>
    </xdr:from>
    <xdr:to>
      <xdr:col>17</xdr:col>
      <xdr:colOff>358140</xdr:colOff>
      <xdr:row>7</xdr:row>
      <xdr:rowOff>16547</xdr:rowOff>
    </xdr:to>
    <xdr:pic>
      <xdr:nvPicPr>
        <xdr:cNvPr id="14" name="Picture 13">
          <a:hlinkClick xmlns:r="http://schemas.openxmlformats.org/officeDocument/2006/relationships" r:id="rId5"/>
          <a:extLst>
            <a:ext uri="{FF2B5EF4-FFF2-40B4-BE49-F238E27FC236}">
              <a16:creationId xmlns:a16="http://schemas.microsoft.com/office/drawing/2014/main" id="{D0D61A29-34B9-4C62-95C5-2ACCCDDE0904}"/>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tretch>
          <a:fillRect/>
        </a:stretch>
      </xdr:blipFill>
      <xdr:spPr>
        <a:xfrm>
          <a:off x="15684322" y="908235"/>
          <a:ext cx="401498" cy="388472"/>
        </a:xfrm>
        <a:prstGeom prst="rect">
          <a:avLst/>
        </a:prstGeom>
        <a:solidFill>
          <a:srgbClr val="343231"/>
        </a:solid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551180</xdr:colOff>
      <xdr:row>14</xdr:row>
      <xdr:rowOff>96520</xdr:rowOff>
    </xdr:from>
    <xdr:to>
      <xdr:col>13</xdr:col>
      <xdr:colOff>33980</xdr:colOff>
      <xdr:row>22</xdr:row>
      <xdr:rowOff>157480</xdr:rowOff>
    </xdr:to>
    <xdr:sp macro="" textlink="">
      <xdr:nvSpPr>
        <xdr:cNvPr id="49" name="Rectangle: Rounded Corners 48">
          <a:extLst>
            <a:ext uri="{FF2B5EF4-FFF2-40B4-BE49-F238E27FC236}">
              <a16:creationId xmlns:a16="http://schemas.microsoft.com/office/drawing/2014/main" id="{AFF37407-C8EC-2642-7510-CC316A69FE96}"/>
            </a:ext>
          </a:extLst>
        </xdr:cNvPr>
        <xdr:cNvSpPr/>
      </xdr:nvSpPr>
      <xdr:spPr>
        <a:xfrm>
          <a:off x="5427980" y="2585720"/>
          <a:ext cx="2530800" cy="1483360"/>
        </a:xfrm>
        <a:prstGeom prst="roundRect">
          <a:avLst>
            <a:gd name="adj" fmla="val 8526"/>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3</xdr:col>
      <xdr:colOff>608329</xdr:colOff>
      <xdr:row>9</xdr:row>
      <xdr:rowOff>6351</xdr:rowOff>
    </xdr:from>
    <xdr:to>
      <xdr:col>30</xdr:col>
      <xdr:colOff>215900</xdr:colOff>
      <xdr:row>51</xdr:row>
      <xdr:rowOff>10161</xdr:rowOff>
    </xdr:to>
    <xdr:sp macro="" textlink="">
      <xdr:nvSpPr>
        <xdr:cNvPr id="3" name="Rectangle: Rounded Corners 2">
          <a:extLst>
            <a:ext uri="{FF2B5EF4-FFF2-40B4-BE49-F238E27FC236}">
              <a16:creationId xmlns:a16="http://schemas.microsoft.com/office/drawing/2014/main" id="{9222FFCE-B4D9-DA74-1FC3-E29737FA9976}"/>
            </a:ext>
          </a:extLst>
        </xdr:cNvPr>
        <xdr:cNvSpPr/>
      </xdr:nvSpPr>
      <xdr:spPr>
        <a:xfrm>
          <a:off x="2437129" y="1606551"/>
          <a:ext cx="16066771" cy="7471410"/>
        </a:xfrm>
        <a:prstGeom prst="roundRect">
          <a:avLst>
            <a:gd name="adj" fmla="val 4695"/>
          </a:avLst>
        </a:prstGeom>
        <a:gradFill flip="none" rotWithShape="1">
          <a:gsLst>
            <a:gs pos="20000">
              <a:srgbClr val="FAECB5"/>
            </a:gs>
            <a:gs pos="70000">
              <a:srgbClr val="E3E5E6"/>
            </a:gs>
          </a:gsLst>
          <a:lin ang="135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4</xdr:col>
      <xdr:colOff>375920</xdr:colOff>
      <xdr:row>14</xdr:row>
      <xdr:rowOff>142240</xdr:rowOff>
    </xdr:from>
    <xdr:to>
      <xdr:col>8</xdr:col>
      <xdr:colOff>468320</xdr:colOff>
      <xdr:row>23</xdr:row>
      <xdr:rowOff>25400</xdr:rowOff>
    </xdr:to>
    <xdr:sp macro="" textlink="">
      <xdr:nvSpPr>
        <xdr:cNvPr id="4" name="Rectangle: Rounded Corners 3">
          <a:extLst>
            <a:ext uri="{FF2B5EF4-FFF2-40B4-BE49-F238E27FC236}">
              <a16:creationId xmlns:a16="http://schemas.microsoft.com/office/drawing/2014/main" id="{C1860C2A-C777-E5C6-5705-C0F4EC3B3F6B}"/>
            </a:ext>
          </a:extLst>
        </xdr:cNvPr>
        <xdr:cNvSpPr/>
      </xdr:nvSpPr>
      <xdr:spPr>
        <a:xfrm>
          <a:off x="2814320" y="2631440"/>
          <a:ext cx="2530800" cy="1483360"/>
        </a:xfrm>
        <a:prstGeom prst="roundRect">
          <a:avLst>
            <a:gd name="adj" fmla="val 8526"/>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8</xdr:col>
      <xdr:colOff>574040</xdr:colOff>
      <xdr:row>14</xdr:row>
      <xdr:rowOff>142240</xdr:rowOff>
    </xdr:from>
    <xdr:to>
      <xdr:col>13</xdr:col>
      <xdr:colOff>56840</xdr:colOff>
      <xdr:row>23</xdr:row>
      <xdr:rowOff>24200</xdr:rowOff>
    </xdr:to>
    <xdr:sp macro="" textlink="">
      <xdr:nvSpPr>
        <xdr:cNvPr id="7" name="Rectangle: Rounded Corners 6">
          <a:extLst>
            <a:ext uri="{FF2B5EF4-FFF2-40B4-BE49-F238E27FC236}">
              <a16:creationId xmlns:a16="http://schemas.microsoft.com/office/drawing/2014/main" id="{FD2DCD80-F684-50DF-CA0B-0100B500D6E3}"/>
            </a:ext>
          </a:extLst>
        </xdr:cNvPr>
        <xdr:cNvSpPr/>
      </xdr:nvSpPr>
      <xdr:spPr>
        <a:xfrm>
          <a:off x="5450840" y="2631440"/>
          <a:ext cx="2530800" cy="1482160"/>
        </a:xfrm>
        <a:prstGeom prst="roundRect">
          <a:avLst>
            <a:gd name="adj" fmla="val 6898"/>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4</xdr:col>
      <xdr:colOff>375920</xdr:colOff>
      <xdr:row>23</xdr:row>
      <xdr:rowOff>81280</xdr:rowOff>
    </xdr:from>
    <xdr:to>
      <xdr:col>8</xdr:col>
      <xdr:colOff>467360</xdr:colOff>
      <xdr:row>31</xdr:row>
      <xdr:rowOff>141040</xdr:rowOff>
    </xdr:to>
    <xdr:sp macro="" textlink="">
      <xdr:nvSpPr>
        <xdr:cNvPr id="9" name="Rectangle: Rounded Corners 8">
          <a:extLst>
            <a:ext uri="{FF2B5EF4-FFF2-40B4-BE49-F238E27FC236}">
              <a16:creationId xmlns:a16="http://schemas.microsoft.com/office/drawing/2014/main" id="{9327B3DA-453D-06BC-513C-A4B7CDBD355D}"/>
            </a:ext>
          </a:extLst>
        </xdr:cNvPr>
        <xdr:cNvSpPr/>
      </xdr:nvSpPr>
      <xdr:spPr>
        <a:xfrm>
          <a:off x="2814320" y="4170680"/>
          <a:ext cx="2529840" cy="1482160"/>
        </a:xfrm>
        <a:prstGeom prst="roundRect">
          <a:avLst>
            <a:gd name="adj" fmla="val 8526"/>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8</xdr:col>
      <xdr:colOff>574040</xdr:colOff>
      <xdr:row>23</xdr:row>
      <xdr:rowOff>81280</xdr:rowOff>
    </xdr:from>
    <xdr:to>
      <xdr:col>13</xdr:col>
      <xdr:colOff>56840</xdr:colOff>
      <xdr:row>31</xdr:row>
      <xdr:rowOff>141040</xdr:rowOff>
    </xdr:to>
    <xdr:sp macro="" textlink="">
      <xdr:nvSpPr>
        <xdr:cNvPr id="10" name="Rectangle: Rounded Corners 9">
          <a:extLst>
            <a:ext uri="{FF2B5EF4-FFF2-40B4-BE49-F238E27FC236}">
              <a16:creationId xmlns:a16="http://schemas.microsoft.com/office/drawing/2014/main" id="{F850D36B-51B7-F911-2134-0E5A3D0A2D04}"/>
            </a:ext>
          </a:extLst>
        </xdr:cNvPr>
        <xdr:cNvSpPr/>
      </xdr:nvSpPr>
      <xdr:spPr>
        <a:xfrm>
          <a:off x="5450840" y="4170680"/>
          <a:ext cx="2530800" cy="1482160"/>
        </a:xfrm>
        <a:prstGeom prst="roundRect">
          <a:avLst>
            <a:gd name="adj" fmla="val 8526"/>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13</xdr:col>
      <xdr:colOff>173990</xdr:colOff>
      <xdr:row>14</xdr:row>
      <xdr:rowOff>107951</xdr:rowOff>
    </xdr:from>
    <xdr:to>
      <xdr:col>29</xdr:col>
      <xdr:colOff>383540</xdr:colOff>
      <xdr:row>31</xdr:row>
      <xdr:rowOff>96520</xdr:rowOff>
    </xdr:to>
    <xdr:sp macro="" textlink="">
      <xdr:nvSpPr>
        <xdr:cNvPr id="11" name="Rectangle: Rounded Corners 10">
          <a:extLst>
            <a:ext uri="{FF2B5EF4-FFF2-40B4-BE49-F238E27FC236}">
              <a16:creationId xmlns:a16="http://schemas.microsoft.com/office/drawing/2014/main" id="{9E2BE8D0-80DF-D6D5-EBBE-D07A9D05FE6C}"/>
            </a:ext>
          </a:extLst>
        </xdr:cNvPr>
        <xdr:cNvSpPr/>
      </xdr:nvSpPr>
      <xdr:spPr>
        <a:xfrm>
          <a:off x="8098790" y="2668271"/>
          <a:ext cx="9963150" cy="3097529"/>
        </a:xfrm>
        <a:prstGeom prst="roundRect">
          <a:avLst>
            <a:gd name="adj" fmla="val 6655"/>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4</xdr:col>
      <xdr:colOff>356870</xdr:colOff>
      <xdr:row>32</xdr:row>
      <xdr:rowOff>40640</xdr:rowOff>
    </xdr:from>
    <xdr:to>
      <xdr:col>13</xdr:col>
      <xdr:colOff>52070</xdr:colOff>
      <xdr:row>49</xdr:row>
      <xdr:rowOff>40640</xdr:rowOff>
    </xdr:to>
    <xdr:sp macro="" textlink="">
      <xdr:nvSpPr>
        <xdr:cNvPr id="13" name="Rectangle: Rounded Corners 12">
          <a:extLst>
            <a:ext uri="{FF2B5EF4-FFF2-40B4-BE49-F238E27FC236}">
              <a16:creationId xmlns:a16="http://schemas.microsoft.com/office/drawing/2014/main" id="{AF1D7869-ED9C-DF41-240B-193A6A0C171D}"/>
            </a:ext>
          </a:extLst>
        </xdr:cNvPr>
        <xdr:cNvSpPr/>
      </xdr:nvSpPr>
      <xdr:spPr>
        <a:xfrm>
          <a:off x="2795270" y="5730240"/>
          <a:ext cx="5181600" cy="3022600"/>
        </a:xfrm>
        <a:prstGeom prst="roundRect">
          <a:avLst>
            <a:gd name="adj" fmla="val 8115"/>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13</xdr:col>
      <xdr:colOff>444500</xdr:colOff>
      <xdr:row>6</xdr:row>
      <xdr:rowOff>157480</xdr:rowOff>
    </xdr:from>
    <xdr:to>
      <xdr:col>20</xdr:col>
      <xdr:colOff>292100</xdr:colOff>
      <xdr:row>10</xdr:row>
      <xdr:rowOff>107950</xdr:rowOff>
    </xdr:to>
    <xdr:sp macro="" textlink="">
      <xdr:nvSpPr>
        <xdr:cNvPr id="14" name="Rectangle: Rounded Corners 13">
          <a:extLst>
            <a:ext uri="{FF2B5EF4-FFF2-40B4-BE49-F238E27FC236}">
              <a16:creationId xmlns:a16="http://schemas.microsoft.com/office/drawing/2014/main" id="{54396BD9-3E3F-3AF5-A575-60F96FC443C8}"/>
            </a:ext>
          </a:extLst>
        </xdr:cNvPr>
        <xdr:cNvSpPr/>
      </xdr:nvSpPr>
      <xdr:spPr>
        <a:xfrm>
          <a:off x="8369300" y="1224280"/>
          <a:ext cx="4114800" cy="661670"/>
        </a:xfrm>
        <a:prstGeom prst="roundRect">
          <a:avLst>
            <a:gd name="adj" fmla="val 35706"/>
          </a:avLst>
        </a:prstGeom>
        <a:solidFill>
          <a:srgbClr val="FAF8E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editAs="oneCell">
    <xdr:from>
      <xdr:col>14</xdr:col>
      <xdr:colOff>44451</xdr:colOff>
      <xdr:row>7</xdr:row>
      <xdr:rowOff>164376</xdr:rowOff>
    </xdr:from>
    <xdr:to>
      <xdr:col>14</xdr:col>
      <xdr:colOff>406400</xdr:colOff>
      <xdr:row>9</xdr:row>
      <xdr:rowOff>153670</xdr:rowOff>
    </xdr:to>
    <xdr:pic>
      <xdr:nvPicPr>
        <xdr:cNvPr id="18" name="Picture 17">
          <a:hlinkClick xmlns:r="http://schemas.openxmlformats.org/officeDocument/2006/relationships" r:id="rId1"/>
          <a:extLst>
            <a:ext uri="{FF2B5EF4-FFF2-40B4-BE49-F238E27FC236}">
              <a16:creationId xmlns:a16="http://schemas.microsoft.com/office/drawing/2014/main" id="{C95B965B-F084-2F05-8605-9840BB6B8B57}"/>
            </a:ext>
          </a:extLst>
        </xdr:cNvPr>
        <xdr:cNvPicPr>
          <a:picLocks noChangeAspect="1"/>
        </xdr:cNvPicPr>
      </xdr:nvPicPr>
      <xdr:blipFill>
        <a:blip xmlns:r="http://schemas.openxmlformats.org/officeDocument/2006/relationships" r:embed="rId2">
          <a:alphaModFix amt="70000"/>
          <a:extLst>
            <a:ext uri="{28A0092B-C50C-407E-A947-70E740481C1C}">
              <a14:useLocalDpi xmlns:a14="http://schemas.microsoft.com/office/drawing/2010/main" val="0"/>
            </a:ext>
          </a:extLst>
        </a:blip>
        <a:stretch>
          <a:fillRect/>
        </a:stretch>
      </xdr:blipFill>
      <xdr:spPr>
        <a:xfrm>
          <a:off x="8578851" y="1408976"/>
          <a:ext cx="361949" cy="344894"/>
        </a:xfrm>
        <a:prstGeom prst="rect">
          <a:avLst/>
        </a:prstGeom>
        <a:solidFill>
          <a:srgbClr val="343231"/>
        </a:solidFill>
      </xdr:spPr>
    </xdr:pic>
    <xdr:clientData/>
  </xdr:twoCellAnchor>
  <xdr:twoCellAnchor editAs="oneCell">
    <xdr:from>
      <xdr:col>19</xdr:col>
      <xdr:colOff>175401</xdr:colOff>
      <xdr:row>7</xdr:row>
      <xdr:rowOff>135670</xdr:rowOff>
    </xdr:from>
    <xdr:to>
      <xdr:col>19</xdr:col>
      <xdr:colOff>589281</xdr:colOff>
      <xdr:row>9</xdr:row>
      <xdr:rowOff>165100</xdr:rowOff>
    </xdr:to>
    <xdr:pic>
      <xdr:nvPicPr>
        <xdr:cNvPr id="20" name="Picture 19">
          <a:hlinkClick xmlns:r="http://schemas.openxmlformats.org/officeDocument/2006/relationships" r:id="rId3"/>
          <a:extLst>
            <a:ext uri="{FF2B5EF4-FFF2-40B4-BE49-F238E27FC236}">
              <a16:creationId xmlns:a16="http://schemas.microsoft.com/office/drawing/2014/main" id="{06AA0722-02CE-5F87-1618-E7EA4256A73F}"/>
            </a:ext>
          </a:extLst>
        </xdr:cNvPr>
        <xdr:cNvPicPr>
          <a:picLocks noChangeAspect="1"/>
        </xdr:cNvPicPr>
      </xdr:nvPicPr>
      <xdr:blipFill>
        <a:blip xmlns:r="http://schemas.openxmlformats.org/officeDocument/2006/relationships" r:embed="rId4">
          <a:alphaModFix amt="70000"/>
          <a:extLst>
            <a:ext uri="{28A0092B-C50C-407E-A947-70E740481C1C}">
              <a14:useLocalDpi xmlns:a14="http://schemas.microsoft.com/office/drawing/2010/main" val="0"/>
            </a:ext>
          </a:extLst>
        </a:blip>
        <a:stretch>
          <a:fillRect/>
        </a:stretch>
      </xdr:blipFill>
      <xdr:spPr>
        <a:xfrm>
          <a:off x="11757801" y="1380270"/>
          <a:ext cx="413880" cy="385030"/>
        </a:xfrm>
        <a:prstGeom prst="rect">
          <a:avLst/>
        </a:prstGeom>
        <a:solidFill>
          <a:srgbClr val="343231"/>
        </a:solidFill>
      </xdr:spPr>
    </xdr:pic>
    <xdr:clientData/>
  </xdr:twoCellAnchor>
  <xdr:twoCellAnchor editAs="oneCell">
    <xdr:from>
      <xdr:col>16</xdr:col>
      <xdr:colOff>401142</xdr:colOff>
      <xdr:row>7</xdr:row>
      <xdr:rowOff>151315</xdr:rowOff>
    </xdr:from>
    <xdr:to>
      <xdr:col>17</xdr:col>
      <xdr:colOff>193040</xdr:colOff>
      <xdr:row>9</xdr:row>
      <xdr:rowOff>174027</xdr:rowOff>
    </xdr:to>
    <xdr:pic>
      <xdr:nvPicPr>
        <xdr:cNvPr id="22" name="Picture 21">
          <a:hlinkClick xmlns:r="http://schemas.openxmlformats.org/officeDocument/2006/relationships" r:id="rId5"/>
          <a:extLst>
            <a:ext uri="{FF2B5EF4-FFF2-40B4-BE49-F238E27FC236}">
              <a16:creationId xmlns:a16="http://schemas.microsoft.com/office/drawing/2014/main" id="{E82CDF54-A728-04AC-33A2-10AAF63D9FAE}"/>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tretch>
          <a:fillRect/>
        </a:stretch>
      </xdr:blipFill>
      <xdr:spPr>
        <a:xfrm>
          <a:off x="10154742" y="1395915"/>
          <a:ext cx="401498" cy="378312"/>
        </a:xfrm>
        <a:prstGeom prst="rect">
          <a:avLst/>
        </a:prstGeom>
        <a:solidFill>
          <a:srgbClr val="343231"/>
        </a:solidFill>
      </xdr:spPr>
    </xdr:pic>
    <xdr:clientData/>
  </xdr:twoCellAnchor>
  <xdr:twoCellAnchor>
    <xdr:from>
      <xdr:col>4</xdr:col>
      <xdr:colOff>505460</xdr:colOff>
      <xdr:row>15</xdr:row>
      <xdr:rowOff>66040</xdr:rowOff>
    </xdr:from>
    <xdr:to>
      <xdr:col>5</xdr:col>
      <xdr:colOff>467360</xdr:colOff>
      <xdr:row>16</xdr:row>
      <xdr:rowOff>172720</xdr:rowOff>
    </xdr:to>
    <xdr:sp macro="" textlink="">
      <xdr:nvSpPr>
        <xdr:cNvPr id="23" name="TextBox 22">
          <a:extLst>
            <a:ext uri="{FF2B5EF4-FFF2-40B4-BE49-F238E27FC236}">
              <a16:creationId xmlns:a16="http://schemas.microsoft.com/office/drawing/2014/main" id="{DDE65327-810B-8E9F-DEE5-7BFD94E446F8}"/>
            </a:ext>
          </a:extLst>
        </xdr:cNvPr>
        <xdr:cNvSpPr txBox="1"/>
      </xdr:nvSpPr>
      <xdr:spPr>
        <a:xfrm>
          <a:off x="2943860" y="2733040"/>
          <a:ext cx="571500" cy="28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C0E0C"/>
              </a:solidFill>
              <a:latin typeface="Abadi" panose="020B0604020104020204" pitchFamily="34" charset="0"/>
              <a:ea typeface="+mn-ea"/>
              <a:cs typeface="+mn-cs"/>
            </a:rPr>
            <a:t>Sales</a:t>
          </a:r>
          <a:endParaRPr lang="en-GH" sz="1400">
            <a:solidFill>
              <a:srgbClr val="0C0E0C"/>
            </a:solidFill>
            <a:latin typeface="Abadi" panose="020B0604020104020204" pitchFamily="34" charset="0"/>
            <a:ea typeface="+mn-ea"/>
            <a:cs typeface="+mn-cs"/>
          </a:endParaRPr>
        </a:p>
      </xdr:txBody>
    </xdr:sp>
    <xdr:clientData/>
  </xdr:twoCellAnchor>
  <xdr:twoCellAnchor>
    <xdr:from>
      <xdr:col>9</xdr:col>
      <xdr:colOff>33020</xdr:colOff>
      <xdr:row>15</xdr:row>
      <xdr:rowOff>25400</xdr:rowOff>
    </xdr:from>
    <xdr:to>
      <xdr:col>10</xdr:col>
      <xdr:colOff>204470</xdr:colOff>
      <xdr:row>16</xdr:row>
      <xdr:rowOff>127000</xdr:rowOff>
    </xdr:to>
    <xdr:sp macro="" textlink="">
      <xdr:nvSpPr>
        <xdr:cNvPr id="24" name="TextBox 23">
          <a:extLst>
            <a:ext uri="{FF2B5EF4-FFF2-40B4-BE49-F238E27FC236}">
              <a16:creationId xmlns:a16="http://schemas.microsoft.com/office/drawing/2014/main" id="{99890DBE-1473-46AB-F9BC-B46420DE69C3}"/>
            </a:ext>
          </a:extLst>
        </xdr:cNvPr>
        <xdr:cNvSpPr txBox="1"/>
      </xdr:nvSpPr>
      <xdr:spPr>
        <a:xfrm>
          <a:off x="5519420" y="2692400"/>
          <a:ext cx="7810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C0E0C"/>
              </a:solidFill>
              <a:latin typeface="Abadi" panose="020B0604020104020204" pitchFamily="34" charset="0"/>
              <a:ea typeface="+mn-ea"/>
              <a:cs typeface="+mn-cs"/>
            </a:rPr>
            <a:t>Quantity</a:t>
          </a:r>
          <a:endParaRPr lang="en-GH" sz="1200">
            <a:solidFill>
              <a:srgbClr val="0C0E0C"/>
            </a:solidFill>
            <a:latin typeface="Abadi" panose="020B0604020104020204" pitchFamily="34" charset="0"/>
            <a:ea typeface="+mn-ea"/>
            <a:cs typeface="+mn-cs"/>
          </a:endParaRPr>
        </a:p>
      </xdr:txBody>
    </xdr:sp>
    <xdr:clientData/>
  </xdr:twoCellAnchor>
  <xdr:twoCellAnchor>
    <xdr:from>
      <xdr:col>4</xdr:col>
      <xdr:colOff>510578</xdr:colOff>
      <xdr:row>24</xdr:row>
      <xdr:rowOff>20163</xdr:rowOff>
    </xdr:from>
    <xdr:to>
      <xdr:col>5</xdr:col>
      <xdr:colOff>467360</xdr:colOff>
      <xdr:row>26</xdr:row>
      <xdr:rowOff>10160</xdr:rowOff>
    </xdr:to>
    <xdr:sp macro="" textlink="">
      <xdr:nvSpPr>
        <xdr:cNvPr id="25" name="TextBox 24">
          <a:extLst>
            <a:ext uri="{FF2B5EF4-FFF2-40B4-BE49-F238E27FC236}">
              <a16:creationId xmlns:a16="http://schemas.microsoft.com/office/drawing/2014/main" id="{E51F94CA-77E3-063B-7C7D-61E0674402E1}"/>
            </a:ext>
          </a:extLst>
        </xdr:cNvPr>
        <xdr:cNvSpPr txBox="1"/>
      </xdr:nvSpPr>
      <xdr:spPr>
        <a:xfrm>
          <a:off x="2948978" y="4287363"/>
          <a:ext cx="566382" cy="345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C0E0C"/>
              </a:solidFill>
              <a:latin typeface="Abadi" panose="020B0604020104020204" pitchFamily="34" charset="0"/>
              <a:ea typeface="+mn-ea"/>
              <a:cs typeface="+mn-cs"/>
            </a:rPr>
            <a:t>Cost</a:t>
          </a:r>
          <a:endParaRPr lang="en-GH" sz="1200">
            <a:solidFill>
              <a:srgbClr val="0C0E0C"/>
            </a:solidFill>
            <a:latin typeface="Abadi" panose="020B0604020104020204" pitchFamily="34" charset="0"/>
            <a:ea typeface="+mn-ea"/>
            <a:cs typeface="+mn-cs"/>
          </a:endParaRPr>
        </a:p>
      </xdr:txBody>
    </xdr:sp>
    <xdr:clientData/>
  </xdr:twoCellAnchor>
  <xdr:twoCellAnchor>
    <xdr:from>
      <xdr:col>9</xdr:col>
      <xdr:colOff>97790</xdr:colOff>
      <xdr:row>24</xdr:row>
      <xdr:rowOff>50800</xdr:rowOff>
    </xdr:from>
    <xdr:to>
      <xdr:col>10</xdr:col>
      <xdr:colOff>59690</xdr:colOff>
      <xdr:row>25</xdr:row>
      <xdr:rowOff>165100</xdr:rowOff>
    </xdr:to>
    <xdr:sp macro="" textlink="">
      <xdr:nvSpPr>
        <xdr:cNvPr id="26" name="TextBox 25">
          <a:extLst>
            <a:ext uri="{FF2B5EF4-FFF2-40B4-BE49-F238E27FC236}">
              <a16:creationId xmlns:a16="http://schemas.microsoft.com/office/drawing/2014/main" id="{7FF3A12A-C7CC-9404-F782-B95397F416CA}"/>
            </a:ext>
          </a:extLst>
        </xdr:cNvPr>
        <xdr:cNvSpPr txBox="1"/>
      </xdr:nvSpPr>
      <xdr:spPr>
        <a:xfrm>
          <a:off x="5584190" y="4318000"/>
          <a:ext cx="571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C0E0C"/>
              </a:solidFill>
              <a:latin typeface="Abadi" panose="020B0604020104020204" pitchFamily="34" charset="0"/>
              <a:ea typeface="+mn-ea"/>
              <a:cs typeface="+mn-cs"/>
            </a:rPr>
            <a:t>Profit</a:t>
          </a:r>
          <a:endParaRPr lang="en-GH" sz="1200">
            <a:solidFill>
              <a:srgbClr val="0C0E0C"/>
            </a:solidFill>
            <a:latin typeface="Abadi" panose="020B0604020104020204" pitchFamily="34" charset="0"/>
            <a:ea typeface="+mn-ea"/>
            <a:cs typeface="+mn-cs"/>
          </a:endParaRPr>
        </a:p>
      </xdr:txBody>
    </xdr:sp>
    <xdr:clientData/>
  </xdr:twoCellAnchor>
  <xdr:twoCellAnchor>
    <xdr:from>
      <xdr:col>4</xdr:col>
      <xdr:colOff>505460</xdr:colOff>
      <xdr:row>32</xdr:row>
      <xdr:rowOff>118110</xdr:rowOff>
    </xdr:from>
    <xdr:to>
      <xdr:col>8</xdr:col>
      <xdr:colOff>101600</xdr:colOff>
      <xdr:row>33</xdr:row>
      <xdr:rowOff>160020</xdr:rowOff>
    </xdr:to>
    <xdr:sp macro="" textlink="">
      <xdr:nvSpPr>
        <xdr:cNvPr id="27" name="TextBox 26">
          <a:extLst>
            <a:ext uri="{FF2B5EF4-FFF2-40B4-BE49-F238E27FC236}">
              <a16:creationId xmlns:a16="http://schemas.microsoft.com/office/drawing/2014/main" id="{51C66460-CC09-51DE-1F9F-D19C0F791610}"/>
            </a:ext>
          </a:extLst>
        </xdr:cNvPr>
        <xdr:cNvSpPr txBox="1"/>
      </xdr:nvSpPr>
      <xdr:spPr>
        <a:xfrm>
          <a:off x="2943860" y="5807710"/>
          <a:ext cx="2034540" cy="21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rgbClr val="0C0E0C"/>
              </a:solidFill>
              <a:latin typeface="Abadi" panose="020B0604020104020204" pitchFamily="34" charset="0"/>
              <a:ea typeface="+mn-ea"/>
              <a:cs typeface="+mn-cs"/>
            </a:rPr>
            <a:t>Regional Sales Distribution</a:t>
          </a:r>
          <a:endParaRPr lang="en-GH" sz="1200">
            <a:solidFill>
              <a:srgbClr val="0C0E0C"/>
            </a:solidFill>
            <a:latin typeface="Abadi" panose="020B0604020104020204" pitchFamily="34" charset="0"/>
            <a:ea typeface="+mn-ea"/>
            <a:cs typeface="+mn-cs"/>
          </a:endParaRPr>
        </a:p>
      </xdr:txBody>
    </xdr:sp>
    <xdr:clientData/>
  </xdr:twoCellAnchor>
  <xdr:twoCellAnchor>
    <xdr:from>
      <xdr:col>13</xdr:col>
      <xdr:colOff>490220</xdr:colOff>
      <xdr:row>14</xdr:row>
      <xdr:rowOff>165100</xdr:rowOff>
    </xdr:from>
    <xdr:to>
      <xdr:col>19</xdr:col>
      <xdr:colOff>401804</xdr:colOff>
      <xdr:row>16</xdr:row>
      <xdr:rowOff>117904</xdr:rowOff>
    </xdr:to>
    <xdr:sp macro="" textlink="">
      <xdr:nvSpPr>
        <xdr:cNvPr id="28" name="TextBox 27">
          <a:extLst>
            <a:ext uri="{FF2B5EF4-FFF2-40B4-BE49-F238E27FC236}">
              <a16:creationId xmlns:a16="http://schemas.microsoft.com/office/drawing/2014/main" id="{A6BEEF06-BBF1-69CA-7033-88E8330B5413}"/>
            </a:ext>
          </a:extLst>
        </xdr:cNvPr>
        <xdr:cNvSpPr txBox="1"/>
      </xdr:nvSpPr>
      <xdr:spPr>
        <a:xfrm>
          <a:off x="8415020" y="2654300"/>
          <a:ext cx="3569184" cy="308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C0E0C"/>
              </a:solidFill>
              <a:latin typeface="Abadi" panose="020B0604020104020204" pitchFamily="34" charset="0"/>
            </a:rPr>
            <a:t>Monthly Revenue</a:t>
          </a:r>
          <a:r>
            <a:rPr lang="en-US" sz="1200" baseline="0">
              <a:solidFill>
                <a:srgbClr val="0C0E0C"/>
              </a:solidFill>
              <a:latin typeface="Abadi" panose="020B0604020104020204" pitchFamily="34" charset="0"/>
            </a:rPr>
            <a:t> Trend 2023 v 2024</a:t>
          </a:r>
          <a:endParaRPr lang="en-GH" sz="1200">
            <a:solidFill>
              <a:srgbClr val="0C0E0C"/>
            </a:solidFill>
            <a:latin typeface="Abadi" panose="020B0604020104020204" pitchFamily="34" charset="0"/>
          </a:endParaRPr>
        </a:p>
      </xdr:txBody>
    </xdr:sp>
    <xdr:clientData/>
  </xdr:twoCellAnchor>
  <xdr:twoCellAnchor>
    <xdr:from>
      <xdr:col>4</xdr:col>
      <xdr:colOff>604520</xdr:colOff>
      <xdr:row>11</xdr:row>
      <xdr:rowOff>142240</xdr:rowOff>
    </xdr:from>
    <xdr:to>
      <xdr:col>11</xdr:col>
      <xdr:colOff>414020</xdr:colOff>
      <xdr:row>14</xdr:row>
      <xdr:rowOff>2540</xdr:rowOff>
    </xdr:to>
    <xdr:sp macro="" textlink="">
      <xdr:nvSpPr>
        <xdr:cNvPr id="30" name="TextBox 29">
          <a:extLst>
            <a:ext uri="{FF2B5EF4-FFF2-40B4-BE49-F238E27FC236}">
              <a16:creationId xmlns:a16="http://schemas.microsoft.com/office/drawing/2014/main" id="{31C19C2C-BAA4-9BC5-3F5E-9172E94CE981}"/>
            </a:ext>
          </a:extLst>
        </xdr:cNvPr>
        <xdr:cNvSpPr txBox="1"/>
      </xdr:nvSpPr>
      <xdr:spPr>
        <a:xfrm>
          <a:off x="3042920" y="2098040"/>
          <a:ext cx="40767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0C0E0C"/>
              </a:solidFill>
              <a:latin typeface="Abadi" panose="020B0604020104020204" pitchFamily="34" charset="0"/>
            </a:rPr>
            <a:t>Sales Performance (2023 Vs 2024)</a:t>
          </a:r>
          <a:endParaRPr lang="en-GH" sz="2000">
            <a:solidFill>
              <a:srgbClr val="0C0E0C"/>
            </a:solidFill>
            <a:latin typeface="Abadi" panose="020B0604020104020204" pitchFamily="34" charset="0"/>
          </a:endParaRPr>
        </a:p>
      </xdr:txBody>
    </xdr:sp>
    <xdr:clientData/>
  </xdr:twoCellAnchor>
  <xdr:twoCellAnchor>
    <xdr:from>
      <xdr:col>4</xdr:col>
      <xdr:colOff>454660</xdr:colOff>
      <xdr:row>17</xdr:row>
      <xdr:rowOff>96520</xdr:rowOff>
    </xdr:from>
    <xdr:to>
      <xdr:col>6</xdr:col>
      <xdr:colOff>149860</xdr:colOff>
      <xdr:row>19</xdr:row>
      <xdr:rowOff>109220</xdr:rowOff>
    </xdr:to>
    <xdr:sp macro="" textlink="Sales">
      <xdr:nvSpPr>
        <xdr:cNvPr id="33" name="TextBox 32">
          <a:extLst>
            <a:ext uri="{FF2B5EF4-FFF2-40B4-BE49-F238E27FC236}">
              <a16:creationId xmlns:a16="http://schemas.microsoft.com/office/drawing/2014/main" id="{3B3058BF-2965-B348-F013-96C3D6B12A70}"/>
            </a:ext>
          </a:extLst>
        </xdr:cNvPr>
        <xdr:cNvSpPr txBox="1"/>
      </xdr:nvSpPr>
      <xdr:spPr>
        <a:xfrm>
          <a:off x="2893060" y="3119120"/>
          <a:ext cx="914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684316-BE11-4A4B-A06F-8E577254E3EB}" type="TxLink">
            <a:rPr lang="en-US" sz="1600" b="0" i="0" u="none" strike="noStrike">
              <a:solidFill>
                <a:srgbClr val="0C0E0C"/>
              </a:solidFill>
              <a:latin typeface="Calibri"/>
              <a:ea typeface="+mn-ea"/>
              <a:cs typeface="Calibri"/>
            </a:rPr>
            <a:t>$475.6K</a:t>
          </a:fld>
          <a:endParaRPr lang="en-GH" sz="2000">
            <a:solidFill>
              <a:srgbClr val="0C0E0C"/>
            </a:solidFill>
            <a:latin typeface="Abadi" panose="020B0604020104020204" pitchFamily="34" charset="0"/>
            <a:ea typeface="+mn-ea"/>
            <a:cs typeface="+mn-cs"/>
          </a:endParaRPr>
        </a:p>
      </xdr:txBody>
    </xdr:sp>
    <xdr:clientData/>
  </xdr:twoCellAnchor>
  <xdr:twoCellAnchor>
    <xdr:from>
      <xdr:col>4</xdr:col>
      <xdr:colOff>525438</xdr:colOff>
      <xdr:row>26</xdr:row>
      <xdr:rowOff>88376</xdr:rowOff>
    </xdr:from>
    <xdr:to>
      <xdr:col>6</xdr:col>
      <xdr:colOff>111759</xdr:colOff>
      <xdr:row>29</xdr:row>
      <xdr:rowOff>25400</xdr:rowOff>
    </xdr:to>
    <xdr:sp macro="" textlink="Cost">
      <xdr:nvSpPr>
        <xdr:cNvPr id="34" name="TextBox 33">
          <a:extLst>
            <a:ext uri="{FF2B5EF4-FFF2-40B4-BE49-F238E27FC236}">
              <a16:creationId xmlns:a16="http://schemas.microsoft.com/office/drawing/2014/main" id="{9840AD7B-7C36-570E-A214-88DF18021087}"/>
            </a:ext>
          </a:extLst>
        </xdr:cNvPr>
        <xdr:cNvSpPr txBox="1"/>
      </xdr:nvSpPr>
      <xdr:spPr>
        <a:xfrm>
          <a:off x="2963838" y="4711176"/>
          <a:ext cx="805521" cy="470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766B88-BAB1-4359-AAED-B21489FFE704}" type="TxLink">
            <a:rPr lang="en-US" sz="1600" b="0" i="0" u="none" strike="noStrike">
              <a:solidFill>
                <a:srgbClr val="0C0E0C"/>
              </a:solidFill>
              <a:latin typeface="Calibri"/>
              <a:ea typeface="+mn-ea"/>
              <a:cs typeface="Calibri"/>
            </a:rPr>
            <a:pPr marL="0" indent="0"/>
            <a:t>$64.0K</a:t>
          </a:fld>
          <a:endParaRPr lang="en-GH" sz="1600" b="0" i="0" u="none" strike="noStrike">
            <a:solidFill>
              <a:srgbClr val="0C0E0C"/>
            </a:solidFill>
            <a:latin typeface="Calibri"/>
            <a:ea typeface="+mn-ea"/>
            <a:cs typeface="Calibri"/>
          </a:endParaRPr>
        </a:p>
      </xdr:txBody>
    </xdr:sp>
    <xdr:clientData/>
  </xdr:twoCellAnchor>
  <xdr:twoCellAnchor>
    <xdr:from>
      <xdr:col>9</xdr:col>
      <xdr:colOff>160020</xdr:colOff>
      <xdr:row>17</xdr:row>
      <xdr:rowOff>99060</xdr:rowOff>
    </xdr:from>
    <xdr:to>
      <xdr:col>10</xdr:col>
      <xdr:colOff>121920</xdr:colOff>
      <xdr:row>19</xdr:row>
      <xdr:rowOff>99060</xdr:rowOff>
    </xdr:to>
    <xdr:sp macro="" textlink="Quantity">
      <xdr:nvSpPr>
        <xdr:cNvPr id="35" name="TextBox 34">
          <a:extLst>
            <a:ext uri="{FF2B5EF4-FFF2-40B4-BE49-F238E27FC236}">
              <a16:creationId xmlns:a16="http://schemas.microsoft.com/office/drawing/2014/main" id="{1E6F9277-504A-FA3C-A7E6-BE52522D7CAD}"/>
            </a:ext>
          </a:extLst>
        </xdr:cNvPr>
        <xdr:cNvSpPr txBox="1"/>
      </xdr:nvSpPr>
      <xdr:spPr>
        <a:xfrm>
          <a:off x="5646420" y="3121660"/>
          <a:ext cx="5715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512BD9-AB9E-417C-B2D9-7964AEEFA823}" type="TxLink">
            <a:rPr lang="en-US" sz="1600" b="0" i="0" u="none" strike="noStrike">
              <a:solidFill>
                <a:srgbClr val="0C0E0C"/>
              </a:solidFill>
              <a:latin typeface="Calibri"/>
              <a:ea typeface="+mn-ea"/>
              <a:cs typeface="Calibri"/>
            </a:rPr>
            <a:pPr marL="0" indent="0"/>
            <a:t>899</a:t>
          </a:fld>
          <a:endParaRPr lang="en-GH" sz="1600" b="0" i="0" u="none" strike="noStrike">
            <a:solidFill>
              <a:srgbClr val="0C0E0C"/>
            </a:solidFill>
            <a:latin typeface="Calibri"/>
            <a:ea typeface="+mn-ea"/>
            <a:cs typeface="Calibri"/>
          </a:endParaRPr>
        </a:p>
      </xdr:txBody>
    </xdr:sp>
    <xdr:clientData/>
  </xdr:twoCellAnchor>
  <xdr:twoCellAnchor>
    <xdr:from>
      <xdr:col>9</xdr:col>
      <xdr:colOff>116840</xdr:colOff>
      <xdr:row>26</xdr:row>
      <xdr:rowOff>109220</xdr:rowOff>
    </xdr:from>
    <xdr:to>
      <xdr:col>10</xdr:col>
      <xdr:colOff>370840</xdr:colOff>
      <xdr:row>28</xdr:row>
      <xdr:rowOff>109220</xdr:rowOff>
    </xdr:to>
    <xdr:sp macro="" textlink="Profit">
      <xdr:nvSpPr>
        <xdr:cNvPr id="36" name="TextBox 35">
          <a:extLst>
            <a:ext uri="{FF2B5EF4-FFF2-40B4-BE49-F238E27FC236}">
              <a16:creationId xmlns:a16="http://schemas.microsoft.com/office/drawing/2014/main" id="{5F30104B-55BA-3A3D-A627-883C5929218E}"/>
            </a:ext>
          </a:extLst>
        </xdr:cNvPr>
        <xdr:cNvSpPr txBox="1"/>
      </xdr:nvSpPr>
      <xdr:spPr>
        <a:xfrm>
          <a:off x="5603240" y="4732020"/>
          <a:ext cx="8636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3F4102-C433-4DDA-BC20-B2E5025712E3}" type="TxLink">
            <a:rPr lang="en-US" sz="1600" b="0" i="0" u="none" strike="noStrike">
              <a:solidFill>
                <a:srgbClr val="0C0E0C"/>
              </a:solidFill>
              <a:latin typeface="Calibri"/>
              <a:ea typeface="+mn-ea"/>
              <a:cs typeface="Calibri"/>
            </a:rPr>
            <a:pPr marL="0" indent="0"/>
            <a:t>$411.6K</a:t>
          </a:fld>
          <a:endParaRPr lang="en-GH" sz="1600" b="0" i="0" u="none" strike="noStrike">
            <a:solidFill>
              <a:srgbClr val="0C0E0C"/>
            </a:solidFill>
            <a:latin typeface="Calibri"/>
            <a:ea typeface="+mn-ea"/>
            <a:cs typeface="Calibri"/>
          </a:endParaRPr>
        </a:p>
      </xdr:txBody>
    </xdr:sp>
    <xdr:clientData/>
  </xdr:twoCellAnchor>
  <xdr:twoCellAnchor>
    <xdr:from>
      <xdr:col>4</xdr:col>
      <xdr:colOff>462280</xdr:colOff>
      <xdr:row>20</xdr:row>
      <xdr:rowOff>137160</xdr:rowOff>
    </xdr:from>
    <xdr:to>
      <xdr:col>6</xdr:col>
      <xdr:colOff>195580</xdr:colOff>
      <xdr:row>22</xdr:row>
      <xdr:rowOff>60960</xdr:rowOff>
    </xdr:to>
    <xdr:sp macro="" textlink="Salesyoy">
      <xdr:nvSpPr>
        <xdr:cNvPr id="37" name="TextBox 36">
          <a:extLst>
            <a:ext uri="{FF2B5EF4-FFF2-40B4-BE49-F238E27FC236}">
              <a16:creationId xmlns:a16="http://schemas.microsoft.com/office/drawing/2014/main" id="{7CA2FEEC-0F6F-5C6B-AF6C-E354DA2E9E80}"/>
            </a:ext>
          </a:extLst>
        </xdr:cNvPr>
        <xdr:cNvSpPr txBox="1"/>
      </xdr:nvSpPr>
      <xdr:spPr>
        <a:xfrm>
          <a:off x="2900680" y="3693160"/>
          <a:ext cx="952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FAAB4A-76CE-4F28-ADB8-005450FF5CB1}" type="TxLink">
            <a:rPr lang="en-US" sz="1200" b="0" i="0" u="none" strike="noStrike">
              <a:solidFill>
                <a:schemeClr val="accent3">
                  <a:lumMod val="50000"/>
                </a:schemeClr>
              </a:solidFill>
              <a:latin typeface="Calibri"/>
              <a:ea typeface="+mn-ea"/>
              <a:cs typeface="Calibri"/>
            </a:rPr>
            <a:pPr marL="0" indent="0"/>
            <a:t>▲30% Vs LY</a:t>
          </a:fld>
          <a:endParaRPr lang="en-GH" sz="1200" b="0" i="0" u="none" strike="noStrike">
            <a:solidFill>
              <a:schemeClr val="accent3">
                <a:lumMod val="50000"/>
              </a:schemeClr>
            </a:solidFill>
            <a:latin typeface="Calibri"/>
            <a:ea typeface="+mn-ea"/>
            <a:cs typeface="Calibri"/>
          </a:endParaRPr>
        </a:p>
      </xdr:txBody>
    </xdr:sp>
    <xdr:clientData/>
  </xdr:twoCellAnchor>
  <xdr:twoCellAnchor>
    <xdr:from>
      <xdr:col>4</xdr:col>
      <xdr:colOff>504399</xdr:colOff>
      <xdr:row>29</xdr:row>
      <xdr:rowOff>147159</xdr:rowOff>
    </xdr:from>
    <xdr:to>
      <xdr:col>6</xdr:col>
      <xdr:colOff>284481</xdr:colOff>
      <xdr:row>31</xdr:row>
      <xdr:rowOff>96520</xdr:rowOff>
    </xdr:to>
    <xdr:sp macro="" textlink="costyoy">
      <xdr:nvSpPr>
        <xdr:cNvPr id="38" name="TextBox 37">
          <a:extLst>
            <a:ext uri="{FF2B5EF4-FFF2-40B4-BE49-F238E27FC236}">
              <a16:creationId xmlns:a16="http://schemas.microsoft.com/office/drawing/2014/main" id="{7A9BD26C-5C6F-82A3-131F-6590527F4244}"/>
            </a:ext>
          </a:extLst>
        </xdr:cNvPr>
        <xdr:cNvSpPr txBox="1"/>
      </xdr:nvSpPr>
      <xdr:spPr>
        <a:xfrm>
          <a:off x="2942799" y="5303359"/>
          <a:ext cx="999282" cy="30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9348BA-6DD9-4B95-BF76-9A2EFE5898C6}" type="TxLink">
            <a:rPr lang="en-US" sz="1200" b="0" i="0" u="none" strike="noStrike">
              <a:solidFill>
                <a:schemeClr val="accent3">
                  <a:lumMod val="50000"/>
                </a:schemeClr>
              </a:solidFill>
              <a:latin typeface="Calibri"/>
              <a:ea typeface="+mn-ea"/>
              <a:cs typeface="Calibri"/>
            </a:rPr>
            <a:t>▲11% Vs LY</a:t>
          </a:fld>
          <a:endParaRPr lang="en-GH" sz="2400">
            <a:solidFill>
              <a:schemeClr val="accent3">
                <a:lumMod val="50000"/>
              </a:schemeClr>
            </a:solidFill>
            <a:latin typeface="Abadi" panose="020B0604020104020204" pitchFamily="34" charset="0"/>
            <a:ea typeface="+mn-ea"/>
            <a:cs typeface="+mn-cs"/>
          </a:endParaRPr>
        </a:p>
      </xdr:txBody>
    </xdr:sp>
    <xdr:clientData/>
  </xdr:twoCellAnchor>
  <xdr:twoCellAnchor>
    <xdr:from>
      <xdr:col>9</xdr:col>
      <xdr:colOff>78740</xdr:colOff>
      <xdr:row>30</xdr:row>
      <xdr:rowOff>15240</xdr:rowOff>
    </xdr:from>
    <xdr:to>
      <xdr:col>10</xdr:col>
      <xdr:colOff>523240</xdr:colOff>
      <xdr:row>31</xdr:row>
      <xdr:rowOff>154940</xdr:rowOff>
    </xdr:to>
    <xdr:sp macro="" textlink="profityoy">
      <xdr:nvSpPr>
        <xdr:cNvPr id="39" name="TextBox 38">
          <a:extLst>
            <a:ext uri="{FF2B5EF4-FFF2-40B4-BE49-F238E27FC236}">
              <a16:creationId xmlns:a16="http://schemas.microsoft.com/office/drawing/2014/main" id="{2D3D5564-E64C-1C45-0CDD-9CACF784A106}"/>
            </a:ext>
          </a:extLst>
        </xdr:cNvPr>
        <xdr:cNvSpPr txBox="1"/>
      </xdr:nvSpPr>
      <xdr:spPr>
        <a:xfrm>
          <a:off x="5565140" y="5349240"/>
          <a:ext cx="1054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613F3A-0D30-429D-A0B4-D9A2FA7C4EE1}" type="TxLink">
            <a:rPr lang="en-US" sz="1200" b="0" i="0" u="none" strike="noStrike">
              <a:solidFill>
                <a:schemeClr val="accent3">
                  <a:lumMod val="50000"/>
                </a:schemeClr>
              </a:solidFill>
              <a:latin typeface="Calibri"/>
              <a:ea typeface="+mn-ea"/>
              <a:cs typeface="Calibri"/>
            </a:rPr>
            <a:pPr marL="0" indent="0"/>
            <a:t>▲34% Vs LY</a:t>
          </a:fld>
          <a:endParaRPr lang="en-GH" sz="1200" b="0" i="0" u="none" strike="noStrike">
            <a:solidFill>
              <a:schemeClr val="accent3">
                <a:lumMod val="50000"/>
              </a:schemeClr>
            </a:solidFill>
            <a:latin typeface="Calibri"/>
            <a:ea typeface="+mn-ea"/>
            <a:cs typeface="Calibri"/>
          </a:endParaRPr>
        </a:p>
      </xdr:txBody>
    </xdr:sp>
    <xdr:clientData/>
  </xdr:twoCellAnchor>
  <xdr:twoCellAnchor>
    <xdr:from>
      <xdr:col>9</xdr:col>
      <xdr:colOff>7620</xdr:colOff>
      <xdr:row>20</xdr:row>
      <xdr:rowOff>124460</xdr:rowOff>
    </xdr:from>
    <xdr:to>
      <xdr:col>10</xdr:col>
      <xdr:colOff>375920</xdr:colOff>
      <xdr:row>22</xdr:row>
      <xdr:rowOff>60960</xdr:rowOff>
    </xdr:to>
    <xdr:sp macro="" textlink="qtyyoy">
      <xdr:nvSpPr>
        <xdr:cNvPr id="40" name="TextBox 39">
          <a:extLst>
            <a:ext uri="{FF2B5EF4-FFF2-40B4-BE49-F238E27FC236}">
              <a16:creationId xmlns:a16="http://schemas.microsoft.com/office/drawing/2014/main" id="{ACF5CFE0-91DE-6F9D-C1DF-DA9A742DB0D3}"/>
            </a:ext>
          </a:extLst>
        </xdr:cNvPr>
        <xdr:cNvSpPr txBox="1"/>
      </xdr:nvSpPr>
      <xdr:spPr>
        <a:xfrm>
          <a:off x="5494020" y="3680460"/>
          <a:ext cx="9779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66C5A6-48DF-43AC-9DC1-89BB1730E418}" type="TxLink">
            <a:rPr lang="en-US" sz="1200" b="0" i="0" u="none" strike="noStrike">
              <a:solidFill>
                <a:schemeClr val="accent3">
                  <a:lumMod val="50000"/>
                </a:schemeClr>
              </a:solidFill>
              <a:latin typeface="Calibri"/>
              <a:ea typeface="+mn-ea"/>
              <a:cs typeface="Calibri"/>
            </a:rPr>
            <a:pPr marL="0" indent="0"/>
            <a:t>▲24% Vs LY</a:t>
          </a:fld>
          <a:endParaRPr lang="en-GH" sz="1200" b="0" i="0" u="none" strike="noStrike">
            <a:solidFill>
              <a:schemeClr val="accent3">
                <a:lumMod val="50000"/>
              </a:schemeClr>
            </a:solidFill>
            <a:latin typeface="Calibri"/>
            <a:ea typeface="+mn-ea"/>
            <a:cs typeface="Calibri"/>
          </a:endParaRPr>
        </a:p>
      </xdr:txBody>
    </xdr:sp>
    <xdr:clientData/>
  </xdr:twoCellAnchor>
  <xdr:twoCellAnchor>
    <xdr:from>
      <xdr:col>5</xdr:col>
      <xdr:colOff>543560</xdr:colOff>
      <xdr:row>16</xdr:row>
      <xdr:rowOff>93980</xdr:rowOff>
    </xdr:from>
    <xdr:to>
      <xdr:col>8</xdr:col>
      <xdr:colOff>467360</xdr:colOff>
      <xdr:row>22</xdr:row>
      <xdr:rowOff>93980</xdr:rowOff>
    </xdr:to>
    <xdr:graphicFrame macro="">
      <xdr:nvGraphicFramePr>
        <xdr:cNvPr id="41" name="Chart 40">
          <a:extLst>
            <a:ext uri="{FF2B5EF4-FFF2-40B4-BE49-F238E27FC236}">
              <a16:creationId xmlns:a16="http://schemas.microsoft.com/office/drawing/2014/main" id="{DC4A0488-BE15-46C7-AD87-3410B59F4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71120</xdr:colOff>
      <xdr:row>15</xdr:row>
      <xdr:rowOff>143510</xdr:rowOff>
    </xdr:from>
    <xdr:to>
      <xdr:col>13</xdr:col>
      <xdr:colOff>193040</xdr:colOff>
      <xdr:row>23</xdr:row>
      <xdr:rowOff>39370</xdr:rowOff>
    </xdr:to>
    <xdr:graphicFrame macro="">
      <xdr:nvGraphicFramePr>
        <xdr:cNvPr id="42" name="Chart 41">
          <a:extLst>
            <a:ext uri="{FF2B5EF4-FFF2-40B4-BE49-F238E27FC236}">
              <a16:creationId xmlns:a16="http://schemas.microsoft.com/office/drawing/2014/main" id="{72DE8348-406D-4609-A950-684B46249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594226</xdr:colOff>
      <xdr:row>24</xdr:row>
      <xdr:rowOff>87327</xdr:rowOff>
    </xdr:from>
    <xdr:to>
      <xdr:col>8</xdr:col>
      <xdr:colOff>577849</xdr:colOff>
      <xdr:row>32</xdr:row>
      <xdr:rowOff>66040</xdr:rowOff>
    </xdr:to>
    <xdr:graphicFrame macro="">
      <xdr:nvGraphicFramePr>
        <xdr:cNvPr id="43" name="Chart 42">
          <a:extLst>
            <a:ext uri="{FF2B5EF4-FFF2-40B4-BE49-F238E27FC236}">
              <a16:creationId xmlns:a16="http://schemas.microsoft.com/office/drawing/2014/main" id="{6B05ABD6-E712-4B4B-9934-A6560295E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269240</xdr:colOff>
      <xdr:row>25</xdr:row>
      <xdr:rowOff>81280</xdr:rowOff>
    </xdr:from>
    <xdr:to>
      <xdr:col>13</xdr:col>
      <xdr:colOff>193040</xdr:colOff>
      <xdr:row>31</xdr:row>
      <xdr:rowOff>25400</xdr:rowOff>
    </xdr:to>
    <xdr:graphicFrame macro="">
      <xdr:nvGraphicFramePr>
        <xdr:cNvPr id="44" name="Chart 43">
          <a:extLst>
            <a:ext uri="{FF2B5EF4-FFF2-40B4-BE49-F238E27FC236}">
              <a16:creationId xmlns:a16="http://schemas.microsoft.com/office/drawing/2014/main" id="{E11F0243-1EBA-4E5C-90A4-174B0CDE2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492942</xdr:colOff>
      <xdr:row>15</xdr:row>
      <xdr:rowOff>126455</xdr:rowOff>
    </xdr:from>
    <xdr:to>
      <xdr:col>28</xdr:col>
      <xdr:colOff>416274</xdr:colOff>
      <xdr:row>30</xdr:row>
      <xdr:rowOff>142547</xdr:rowOff>
    </xdr:to>
    <xdr:graphicFrame macro="">
      <xdr:nvGraphicFramePr>
        <xdr:cNvPr id="45" name="Chart 44">
          <a:extLst>
            <a:ext uri="{FF2B5EF4-FFF2-40B4-BE49-F238E27FC236}">
              <a16:creationId xmlns:a16="http://schemas.microsoft.com/office/drawing/2014/main" id="{C9B0ADFC-C6B1-4A39-9C17-115CB9C67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173990</xdr:colOff>
      <xdr:row>32</xdr:row>
      <xdr:rowOff>50801</xdr:rowOff>
    </xdr:from>
    <xdr:to>
      <xdr:col>29</xdr:col>
      <xdr:colOff>421640</xdr:colOff>
      <xdr:row>48</xdr:row>
      <xdr:rowOff>172720</xdr:rowOff>
    </xdr:to>
    <xdr:sp macro="" textlink="">
      <xdr:nvSpPr>
        <xdr:cNvPr id="47" name="Rectangle: Rounded Corners 46">
          <a:extLst>
            <a:ext uri="{FF2B5EF4-FFF2-40B4-BE49-F238E27FC236}">
              <a16:creationId xmlns:a16="http://schemas.microsoft.com/office/drawing/2014/main" id="{29E76FBE-C51E-13E6-A26B-7EB94736D4F0}"/>
            </a:ext>
          </a:extLst>
        </xdr:cNvPr>
        <xdr:cNvSpPr/>
      </xdr:nvSpPr>
      <xdr:spPr>
        <a:xfrm>
          <a:off x="8098790" y="5740401"/>
          <a:ext cx="10001250" cy="2966719"/>
        </a:xfrm>
        <a:prstGeom prst="roundRect">
          <a:avLst>
            <a:gd name="adj" fmla="val 5080"/>
          </a:avLst>
        </a:prstGeom>
        <a:solidFill>
          <a:srgbClr val="F6F6F6">
            <a:alpha val="50000"/>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H" sz="1100">
            <a:solidFill>
              <a:schemeClr val="lt1"/>
            </a:solidFill>
            <a:latin typeface="+mn-lt"/>
            <a:ea typeface="+mn-ea"/>
            <a:cs typeface="+mn-cs"/>
          </a:endParaRPr>
        </a:p>
      </xdr:txBody>
    </xdr:sp>
    <xdr:clientData/>
  </xdr:twoCellAnchor>
  <xdr:twoCellAnchor>
    <xdr:from>
      <xdr:col>13</xdr:col>
      <xdr:colOff>354148</xdr:colOff>
      <xdr:row>32</xdr:row>
      <xdr:rowOff>176531</xdr:rowOff>
    </xdr:from>
    <xdr:to>
      <xdr:col>17</xdr:col>
      <xdr:colOff>3628</xdr:colOff>
      <xdr:row>34</xdr:row>
      <xdr:rowOff>96521</xdr:rowOff>
    </xdr:to>
    <xdr:sp macro="" textlink="">
      <xdr:nvSpPr>
        <xdr:cNvPr id="48" name="TextBox 47">
          <a:extLst>
            <a:ext uri="{FF2B5EF4-FFF2-40B4-BE49-F238E27FC236}">
              <a16:creationId xmlns:a16="http://schemas.microsoft.com/office/drawing/2014/main" id="{E6DE7FB0-413B-6F84-3A52-63D742CD2205}"/>
            </a:ext>
          </a:extLst>
        </xdr:cNvPr>
        <xdr:cNvSpPr txBox="1"/>
      </xdr:nvSpPr>
      <xdr:spPr>
        <a:xfrm>
          <a:off x="8278948" y="5866131"/>
          <a:ext cx="2087880" cy="275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rgbClr val="0C0E0C"/>
              </a:solidFill>
              <a:latin typeface="Abadi" panose="020B0604020104020204" pitchFamily="34" charset="0"/>
              <a:ea typeface="+mn-ea"/>
              <a:cs typeface="+mn-cs"/>
            </a:rPr>
            <a:t>Sales by Product Breakdown</a:t>
          </a:r>
          <a:endParaRPr lang="en-GH" sz="1200">
            <a:solidFill>
              <a:srgbClr val="0C0E0C"/>
            </a:solidFill>
            <a:latin typeface="Abadi" panose="020B0604020104020204" pitchFamily="34" charset="0"/>
            <a:ea typeface="+mn-ea"/>
            <a:cs typeface="+mn-cs"/>
          </a:endParaRPr>
        </a:p>
      </xdr:txBody>
    </xdr:sp>
    <xdr:clientData/>
  </xdr:twoCellAnchor>
  <xdr:twoCellAnchor>
    <xdr:from>
      <xdr:col>13</xdr:col>
      <xdr:colOff>173990</xdr:colOff>
      <xdr:row>33</xdr:row>
      <xdr:rowOff>15240</xdr:rowOff>
    </xdr:from>
    <xdr:to>
      <xdr:col>29</xdr:col>
      <xdr:colOff>228600</xdr:colOff>
      <xdr:row>49</xdr:row>
      <xdr:rowOff>12699</xdr:rowOff>
    </xdr:to>
    <xdr:graphicFrame macro="">
      <xdr:nvGraphicFramePr>
        <xdr:cNvPr id="54" name="Chart 53">
          <a:extLst>
            <a:ext uri="{FF2B5EF4-FFF2-40B4-BE49-F238E27FC236}">
              <a16:creationId xmlns:a16="http://schemas.microsoft.com/office/drawing/2014/main" id="{DD59B7AE-7A67-4CAD-94B3-A8A0571A2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344170</xdr:colOff>
      <xdr:row>33</xdr:row>
      <xdr:rowOff>114300</xdr:rowOff>
    </xdr:from>
    <xdr:to>
      <xdr:col>12</xdr:col>
      <xdr:colOff>603250</xdr:colOff>
      <xdr:row>49</xdr:row>
      <xdr:rowOff>12700</xdr:rowOff>
    </xdr:to>
    <xdr:graphicFrame macro="">
      <xdr:nvGraphicFramePr>
        <xdr:cNvPr id="55" name="Chart 54">
          <a:extLst>
            <a:ext uri="{FF2B5EF4-FFF2-40B4-BE49-F238E27FC236}">
              <a16:creationId xmlns:a16="http://schemas.microsoft.com/office/drawing/2014/main" id="{A7D523BD-0649-455F-A8E1-31AFE0AFC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24</xdr:col>
      <xdr:colOff>440690</xdr:colOff>
      <xdr:row>11</xdr:row>
      <xdr:rowOff>106680</xdr:rowOff>
    </xdr:from>
    <xdr:to>
      <xdr:col>29</xdr:col>
      <xdr:colOff>383540</xdr:colOff>
      <xdr:row>13</xdr:row>
      <xdr:rowOff>125730</xdr:rowOff>
    </xdr:to>
    <mc:AlternateContent xmlns:mc="http://schemas.openxmlformats.org/markup-compatibility/2006">
      <mc:Choice xmlns:a14="http://schemas.microsoft.com/office/drawing/2010/main" Requires="a14">
        <xdr:graphicFrame macro="">
          <xdr:nvGraphicFramePr>
            <xdr:cNvPr id="56" name="Category">
              <a:extLst>
                <a:ext uri="{FF2B5EF4-FFF2-40B4-BE49-F238E27FC236}">
                  <a16:creationId xmlns:a16="http://schemas.microsoft.com/office/drawing/2014/main" id="{A9AE7E1F-5B71-4119-9833-C5614F979A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071090" y="2118360"/>
              <a:ext cx="2990850" cy="38481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322580</xdr:colOff>
      <xdr:row>11</xdr:row>
      <xdr:rowOff>177800</xdr:rowOff>
    </xdr:from>
    <xdr:to>
      <xdr:col>24</xdr:col>
      <xdr:colOff>274320</xdr:colOff>
      <xdr:row>13</xdr:row>
      <xdr:rowOff>137160</xdr:rowOff>
    </xdr:to>
    <xdr:sp macro="" textlink="dateee">
      <xdr:nvSpPr>
        <xdr:cNvPr id="57" name="TextBox 56">
          <a:extLst>
            <a:ext uri="{FF2B5EF4-FFF2-40B4-BE49-F238E27FC236}">
              <a16:creationId xmlns:a16="http://schemas.microsoft.com/office/drawing/2014/main" id="{BD754460-8342-C538-C6EE-EF08F522F43A}"/>
            </a:ext>
          </a:extLst>
        </xdr:cNvPr>
        <xdr:cNvSpPr txBox="1"/>
      </xdr:nvSpPr>
      <xdr:spPr>
        <a:xfrm>
          <a:off x="13733780" y="2189480"/>
          <a:ext cx="117094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51DB8E-B98B-4120-8D0D-CFCBDE3D8F41}" type="TxLink">
            <a:rPr lang="en-US" sz="1200" b="0" i="0" u="none" strike="noStrike">
              <a:solidFill>
                <a:srgbClr val="000000"/>
              </a:solidFill>
              <a:latin typeface="Abadi" panose="020B0604020104020204" pitchFamily="34" charset="0"/>
              <a:ea typeface="+mn-ea"/>
              <a:cs typeface="Calibri"/>
            </a:rPr>
            <a:t>June 17, 2025</a:t>
          </a:fld>
          <a:endParaRPr lang="en-GH" sz="1400">
            <a:solidFill>
              <a:srgbClr val="0C0E0C"/>
            </a:solidFill>
            <a:latin typeface="Abadi" panose="020B0604020104020204" pitchFamily="34"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guenon Rodrigue" refreshedDate="45824.995161574072" createdVersion="8" refreshedVersion="8" minRefreshableVersion="3" recordCount="300" xr:uid="{C99C3381-22E4-48E4-AF7D-AF24BA8B4221}">
  <cacheSource type="worksheet">
    <worksheetSource name="Table1"/>
  </cacheSource>
  <cacheFields count="14">
    <cacheField name="OrderID" numFmtId="0">
      <sharedItems/>
    </cacheField>
    <cacheField name="Date" numFmtId="166">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6">
      <sharedItems count="12">
        <s v="Jan"/>
        <s v="Aug"/>
        <s v="Jul"/>
        <s v="Apr"/>
        <s v="Dec"/>
        <s v="Feb"/>
        <s v="Sep"/>
        <s v="Oct"/>
        <s v="May"/>
        <s v="Nov"/>
        <s v="Mar"/>
        <s v="Jun"/>
      </sharedItems>
    </cacheField>
    <cacheField name="Year" numFmtId="166">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 -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599631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A016F5-065D-4370-8B6E-24E38944FD25}"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6:L42"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numFmtId="168"/>
  </dataFields>
  <formats count="1">
    <format dxfId="5">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BAD30-C6B5-497F-9843-38F2D461F388}"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5:L31"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numFmtId="168"/>
  </dataFields>
  <formats count="1">
    <format dxfId="6">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270EC-5950-467E-8212-C84377A6889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4:L20"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chartFormats count="2">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2AB7B4-13B5-46A8-83F4-583AC981AEF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L9"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8"/>
  </dataFields>
  <formats count="1">
    <format dxfId="7">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F423F-72F7-4B30-BAFE-92DE849F79D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8:D54"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8"/>
  </dataFields>
  <formats count="2">
    <format dxfId="8">
      <pivotArea outline="0" collapsedLevelsAreSubtotals="1" fieldPosition="0"/>
    </format>
    <format dxfId="2">
      <pivotArea collapsedLevelsAreSubtotals="1" fieldPosition="0">
        <references count="1">
          <reference field="6" count="0"/>
        </references>
      </pivotArea>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D7053E-1AEC-4D9D-B61E-4D659A7C58F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3"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8"/>
  </dataFields>
  <formats count="2">
    <format dxfId="9">
      <pivotArea outline="0" collapsedLevelsAreSubtotals="1" fieldPosition="0"/>
    </format>
    <format dxfId="3">
      <pivotArea collapsedLevelsAreSubtotals="1" fieldPosition="0">
        <references count="1">
          <reference field="4" count="0"/>
        </references>
      </pivotArea>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98F336-9764-439F-B971-6FDE47628A6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D31" firstHeaderRow="1" firstDataRow="2"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8"/>
  </dataFields>
  <formats count="2">
    <format dxfId="10">
      <pivotArea outline="0" collapsedLevelsAreSubtotals="1" fieldPosition="0"/>
    </format>
    <format dxfId="4">
      <pivotArea collapsedLevelsAreSubtotals="1" fieldPosition="0">
        <references count="1">
          <reference field="2" count="0"/>
        </references>
      </pivotArea>
    </format>
  </format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079BB0-C683-42F3-A38D-BBB99DB5A37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6"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A7B74E-4B8F-496C-8583-877938758026}" sourceName="Categor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5996314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1FFADBB-B28D-45D0-BE5C-07D998D84303}" cache="Slicer_Category" caption="Category" columnCount="2" showCaption="0" style="SlicerStyleDark6" rowHeight="234950"/>
  <slicer name="Category 1" xr10:uid="{B0EDD005-A33B-40F2-93B6-A409203C534D}" cache="Slicer_Category" caption="Category" columnCount="2" showCaption="0" style="SlicerStyleDark6" rowHeight="234950"/>
  <slicer name="Category 2" xr10:uid="{04126736-FCAA-4466-988D-151641D55BE1}" cache="Slicer_Category" caption="Category" columnCount="2" showCaption="0"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F4C9DC-58DE-4085-AD24-90F80E8D3C7D}" name="Table1" displayName="Table1" ref="A1:J301" totalsRowShown="0" headerRowDxfId="13" headerRowBorderDxfId="15" tableBorderDxfId="16">
  <autoFilter ref="A1:J301" xr:uid="{C4F4C9DC-58DE-4085-AD24-90F80E8D3C7D}"/>
  <tableColumns count="10">
    <tableColumn id="1" xr3:uid="{AA31891E-F02C-4B1B-8636-C1EC710444A8}" name="OrderID"/>
    <tableColumn id="2" xr3:uid="{A361842B-B1B5-4D63-BB9A-AF004C143B95}" name="Date" dataDxfId="14"/>
    <tableColumn id="10" xr3:uid="{86FC185C-CBDD-45B0-8967-C9668AC8CC32}" name="Month" dataDxfId="12">
      <calculatedColumnFormula>TEXT(Table1[[#This Row],[Date]], "MMM")</calculatedColumnFormula>
    </tableColumn>
    <tableColumn id="9" xr3:uid="{DD5F6831-F8CF-4333-AB6C-38BBB2E3F311}" name="Year" dataDxfId="11">
      <calculatedColumnFormula>TEXT(Table1[[#This Row],[Date]], "YYYY")</calculatedColumnFormula>
    </tableColumn>
    <tableColumn id="3" xr3:uid="{8C5D581C-4AF7-4BD6-8A03-48C092B16836}" name="Product"/>
    <tableColumn id="4" xr3:uid="{97C28BCB-651C-4455-B349-D11F41CFD6DC}" name="Category"/>
    <tableColumn id="5" xr3:uid="{7FD40062-D4B6-4E0F-AD46-A910717A4F56}" name="Region"/>
    <tableColumn id="6" xr3:uid="{CC3E64B6-25A7-4AB3-8FC4-3720843D8D3B}" name="Sales"/>
    <tableColumn id="7" xr3:uid="{AC5AB1B4-0386-4801-8F64-22A0902228BD}" name="Quantity"/>
    <tableColumn id="8" xr3:uid="{F7BD7717-1FCC-4FFF-8C9C-CEF1E6C76077}"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zoomScale="90" zoomScaleNormal="90" workbookViewId="0">
      <selection activeCell="N10" sqref="N10"/>
    </sheetView>
  </sheetViews>
  <sheetFormatPr defaultRowHeight="14.4" x14ac:dyDescent="0.3"/>
  <cols>
    <col min="1" max="1" width="9.44140625" customWidth="1"/>
    <col min="2" max="2" width="11.21875" style="1" bestFit="1" customWidth="1"/>
    <col min="3" max="3" width="10.33203125" style="1" customWidth="1"/>
    <col min="4" max="4" width="9.5546875" customWidth="1"/>
    <col min="5" max="5" width="10.44140625" customWidth="1"/>
    <col min="8" max="8" width="10.21875" customWidth="1"/>
  </cols>
  <sheetData>
    <row r="1" spans="1:10" x14ac:dyDescent="0.3">
      <c r="A1" s="2" t="s">
        <v>0</v>
      </c>
      <c r="B1" s="3" t="s">
        <v>1</v>
      </c>
      <c r="C1" s="3" t="s">
        <v>320</v>
      </c>
      <c r="D1" s="3" t="s">
        <v>321</v>
      </c>
      <c r="E1" s="2" t="s">
        <v>2</v>
      </c>
      <c r="F1" s="2" t="s">
        <v>3</v>
      </c>
      <c r="G1" s="2" t="s">
        <v>4</v>
      </c>
      <c r="H1" s="2" t="s">
        <v>5</v>
      </c>
      <c r="I1" s="2" t="s">
        <v>6</v>
      </c>
      <c r="J1" s="2" t="s">
        <v>7</v>
      </c>
    </row>
    <row r="2" spans="1:10" x14ac:dyDescent="0.3">
      <c r="A2" t="s">
        <v>8</v>
      </c>
      <c r="B2" s="1">
        <v>44952</v>
      </c>
      <c r="C2" s="1" t="str">
        <f>TEXT(Table1[[#This Row],[Date]], "MMM")</f>
        <v>Jan</v>
      </c>
      <c r="D2" s="1" t="str">
        <f>TEXT(Table1[[#This Row],[Date]], "YYYY")</f>
        <v>2023</v>
      </c>
      <c r="E2" t="s">
        <v>308</v>
      </c>
      <c r="F2" t="s">
        <v>314</v>
      </c>
      <c r="G2" t="s">
        <v>316</v>
      </c>
      <c r="H2">
        <v>1219.5</v>
      </c>
      <c r="I2">
        <v>5</v>
      </c>
      <c r="J2">
        <v>211.02</v>
      </c>
    </row>
    <row r="3" spans="1:10" x14ac:dyDescent="0.3">
      <c r="A3" t="s">
        <v>9</v>
      </c>
      <c r="B3" s="1">
        <v>45531</v>
      </c>
      <c r="C3" s="1" t="str">
        <f>TEXT(Table1[[#This Row],[Date]], "MMM")</f>
        <v>Aug</v>
      </c>
      <c r="D3" s="1" t="str">
        <f>TEXT(Table1[[#This Row],[Date]], "YYYY")</f>
        <v>2024</v>
      </c>
      <c r="E3" t="s">
        <v>309</v>
      </c>
      <c r="F3" t="s">
        <v>314</v>
      </c>
      <c r="G3" t="s">
        <v>316</v>
      </c>
      <c r="H3">
        <v>356.63</v>
      </c>
      <c r="I3">
        <v>7</v>
      </c>
      <c r="J3">
        <v>44.79</v>
      </c>
    </row>
    <row r="4" spans="1:10" x14ac:dyDescent="0.3">
      <c r="A4" t="s">
        <v>10</v>
      </c>
      <c r="B4" s="1">
        <v>45501</v>
      </c>
      <c r="C4" s="1" t="str">
        <f>TEXT(Table1[[#This Row],[Date]], "MMM")</f>
        <v>Jul</v>
      </c>
      <c r="D4" s="1" t="str">
        <f>TEXT(Table1[[#This Row],[Date]], "YYYY")</f>
        <v>2024</v>
      </c>
      <c r="E4" t="s">
        <v>310</v>
      </c>
      <c r="F4" t="s">
        <v>315</v>
      </c>
      <c r="G4" t="s">
        <v>316</v>
      </c>
      <c r="H4">
        <v>3194.55</v>
      </c>
      <c r="I4">
        <v>4</v>
      </c>
      <c r="J4">
        <v>578.5</v>
      </c>
    </row>
    <row r="5" spans="1:10" x14ac:dyDescent="0.3">
      <c r="A5" t="s">
        <v>11</v>
      </c>
      <c r="B5" s="1">
        <v>45386</v>
      </c>
      <c r="C5" s="1" t="str">
        <f>TEXT(Table1[[#This Row],[Date]], "MMM")</f>
        <v>Apr</v>
      </c>
      <c r="D5" s="1" t="str">
        <f>TEXT(Table1[[#This Row],[Date]], "YYYY")</f>
        <v>2024</v>
      </c>
      <c r="E5" t="s">
        <v>311</v>
      </c>
      <c r="F5" t="s">
        <v>314</v>
      </c>
      <c r="G5" t="s">
        <v>317</v>
      </c>
      <c r="H5">
        <v>3430.95</v>
      </c>
      <c r="I5">
        <v>10</v>
      </c>
      <c r="J5">
        <v>236.99</v>
      </c>
    </row>
    <row r="6" spans="1:10" x14ac:dyDescent="0.3">
      <c r="A6" t="s">
        <v>12</v>
      </c>
      <c r="B6" s="1">
        <v>45275</v>
      </c>
      <c r="C6" s="1" t="str">
        <f>TEXT(Table1[[#This Row],[Date]], "MMM")</f>
        <v>Dec</v>
      </c>
      <c r="D6" s="1" t="str">
        <f>TEXT(Table1[[#This Row],[Date]], "YYYY")</f>
        <v>2023</v>
      </c>
      <c r="E6" t="s">
        <v>310</v>
      </c>
      <c r="F6" t="s">
        <v>315</v>
      </c>
      <c r="G6" t="s">
        <v>318</v>
      </c>
      <c r="H6">
        <v>1047.44</v>
      </c>
      <c r="I6">
        <v>5</v>
      </c>
      <c r="J6">
        <v>141.27000000000001</v>
      </c>
    </row>
    <row r="7" spans="1:10" x14ac:dyDescent="0.3">
      <c r="A7" t="s">
        <v>13</v>
      </c>
      <c r="B7" s="1">
        <v>45021</v>
      </c>
      <c r="C7" s="1" t="str">
        <f>TEXT(Table1[[#This Row],[Date]], "MMM")</f>
        <v>Apr</v>
      </c>
      <c r="D7" s="1" t="str">
        <f>TEXT(Table1[[#This Row],[Date]], "YYYY")</f>
        <v>2023</v>
      </c>
      <c r="E7" t="s">
        <v>312</v>
      </c>
      <c r="F7" t="s">
        <v>315</v>
      </c>
      <c r="G7" t="s">
        <v>316</v>
      </c>
      <c r="H7">
        <v>961.37</v>
      </c>
      <c r="I7">
        <v>7</v>
      </c>
      <c r="J7">
        <v>95.44</v>
      </c>
    </row>
    <row r="8" spans="1:10" x14ac:dyDescent="0.3">
      <c r="A8" t="s">
        <v>14</v>
      </c>
      <c r="B8" s="1">
        <v>44971</v>
      </c>
      <c r="C8" s="1" t="str">
        <f>TEXT(Table1[[#This Row],[Date]], "MMM")</f>
        <v>Feb</v>
      </c>
      <c r="D8" s="1" t="str">
        <f>TEXT(Table1[[#This Row],[Date]], "YYYY")</f>
        <v>2023</v>
      </c>
      <c r="E8" t="s">
        <v>313</v>
      </c>
      <c r="F8" t="s">
        <v>315</v>
      </c>
      <c r="G8" t="s">
        <v>319</v>
      </c>
      <c r="H8">
        <v>5221.42</v>
      </c>
      <c r="I8">
        <v>8</v>
      </c>
      <c r="J8">
        <v>438.26</v>
      </c>
    </row>
    <row r="9" spans="1:10" x14ac:dyDescent="0.3">
      <c r="A9" t="s">
        <v>15</v>
      </c>
      <c r="B9" s="1">
        <v>45492</v>
      </c>
      <c r="C9" s="1" t="str">
        <f>TEXT(Table1[[#This Row],[Date]], "MMM")</f>
        <v>Jul</v>
      </c>
      <c r="D9" s="1" t="str">
        <f>TEXT(Table1[[#This Row],[Date]], "YYYY")</f>
        <v>2024</v>
      </c>
      <c r="E9" t="s">
        <v>311</v>
      </c>
      <c r="F9" t="s">
        <v>314</v>
      </c>
      <c r="G9" t="s">
        <v>316</v>
      </c>
      <c r="H9">
        <v>4493.2</v>
      </c>
      <c r="I9">
        <v>5</v>
      </c>
      <c r="J9">
        <v>666.94</v>
      </c>
    </row>
    <row r="10" spans="1:10" x14ac:dyDescent="0.3">
      <c r="A10" t="s">
        <v>16</v>
      </c>
      <c r="B10" s="1">
        <v>45648</v>
      </c>
      <c r="C10" s="1" t="str">
        <f>TEXT(Table1[[#This Row],[Date]], "MMM")</f>
        <v>Dec</v>
      </c>
      <c r="D10" s="1" t="str">
        <f>TEXT(Table1[[#This Row],[Date]], "YYYY")</f>
        <v>2024</v>
      </c>
      <c r="E10" t="s">
        <v>312</v>
      </c>
      <c r="F10" t="s">
        <v>315</v>
      </c>
      <c r="G10" t="s">
        <v>317</v>
      </c>
      <c r="H10">
        <v>132.79</v>
      </c>
      <c r="I10">
        <v>2</v>
      </c>
      <c r="J10">
        <v>55.74</v>
      </c>
    </row>
    <row r="11" spans="1:10" x14ac:dyDescent="0.3">
      <c r="A11" t="s">
        <v>17</v>
      </c>
      <c r="B11" s="1">
        <v>45165</v>
      </c>
      <c r="C11" s="1" t="str">
        <f>TEXT(Table1[[#This Row],[Date]], "MMM")</f>
        <v>Aug</v>
      </c>
      <c r="D11" s="1" t="str">
        <f>TEXT(Table1[[#This Row],[Date]], "YYYY")</f>
        <v>2023</v>
      </c>
      <c r="E11" t="s">
        <v>312</v>
      </c>
      <c r="F11" t="s">
        <v>315</v>
      </c>
      <c r="G11" t="s">
        <v>316</v>
      </c>
      <c r="H11">
        <v>811.1</v>
      </c>
      <c r="I11">
        <v>2</v>
      </c>
      <c r="J11">
        <v>316.5</v>
      </c>
    </row>
    <row r="12" spans="1:10" x14ac:dyDescent="0.3">
      <c r="A12" t="s">
        <v>18</v>
      </c>
      <c r="B12" s="1">
        <v>45306</v>
      </c>
      <c r="C12" s="1" t="str">
        <f>TEXT(Table1[[#This Row],[Date]], "MMM")</f>
        <v>Jan</v>
      </c>
      <c r="D12" s="1" t="str">
        <f>TEXT(Table1[[#This Row],[Date]], "YYYY")</f>
        <v>2024</v>
      </c>
      <c r="E12" t="s">
        <v>312</v>
      </c>
      <c r="F12" t="s">
        <v>315</v>
      </c>
      <c r="G12" t="s">
        <v>317</v>
      </c>
      <c r="H12">
        <v>1328.1</v>
      </c>
      <c r="I12">
        <v>6</v>
      </c>
      <c r="J12">
        <v>183.42</v>
      </c>
    </row>
    <row r="13" spans="1:10" x14ac:dyDescent="0.3">
      <c r="A13" t="s">
        <v>19</v>
      </c>
      <c r="B13" s="1">
        <v>45550</v>
      </c>
      <c r="C13" s="1" t="str">
        <f>TEXT(Table1[[#This Row],[Date]], "MMM")</f>
        <v>Sep</v>
      </c>
      <c r="D13" s="1" t="str">
        <f>TEXT(Table1[[#This Row],[Date]], "YYYY")</f>
        <v>2024</v>
      </c>
      <c r="E13" t="s">
        <v>308</v>
      </c>
      <c r="F13" t="s">
        <v>314</v>
      </c>
      <c r="G13" t="s">
        <v>316</v>
      </c>
      <c r="H13">
        <v>1569.15</v>
      </c>
      <c r="I13">
        <v>3</v>
      </c>
      <c r="J13">
        <v>436.63</v>
      </c>
    </row>
    <row r="14" spans="1:10" x14ac:dyDescent="0.3">
      <c r="A14" t="s">
        <v>20</v>
      </c>
      <c r="B14" s="1">
        <v>45203</v>
      </c>
      <c r="C14" s="1" t="str">
        <f>TEXT(Table1[[#This Row],[Date]], "MMM")</f>
        <v>Oct</v>
      </c>
      <c r="D14" s="1" t="str">
        <f>TEXT(Table1[[#This Row],[Date]], "YYYY")</f>
        <v>2023</v>
      </c>
      <c r="E14" t="s">
        <v>311</v>
      </c>
      <c r="F14" t="s">
        <v>314</v>
      </c>
      <c r="G14" t="s">
        <v>318</v>
      </c>
      <c r="H14">
        <v>2117.1999999999998</v>
      </c>
      <c r="I14">
        <v>9</v>
      </c>
      <c r="J14">
        <v>191.3</v>
      </c>
    </row>
    <row r="15" spans="1:10" x14ac:dyDescent="0.3">
      <c r="A15" t="s">
        <v>21</v>
      </c>
      <c r="B15" s="1">
        <v>44959</v>
      </c>
      <c r="C15" s="1" t="str">
        <f>TEXT(Table1[[#This Row],[Date]], "MMM")</f>
        <v>Feb</v>
      </c>
      <c r="D15" s="1" t="str">
        <f>TEXT(Table1[[#This Row],[Date]], "YYYY")</f>
        <v>2023</v>
      </c>
      <c r="E15" t="s">
        <v>309</v>
      </c>
      <c r="F15" t="s">
        <v>314</v>
      </c>
      <c r="G15" t="s">
        <v>317</v>
      </c>
      <c r="H15">
        <v>2250.09</v>
      </c>
      <c r="I15">
        <v>6</v>
      </c>
      <c r="J15">
        <v>332.91</v>
      </c>
    </row>
    <row r="16" spans="1:10" x14ac:dyDescent="0.3">
      <c r="A16" t="s">
        <v>22</v>
      </c>
      <c r="B16" s="1">
        <v>45144</v>
      </c>
      <c r="C16" s="1" t="str">
        <f>TEXT(Table1[[#This Row],[Date]], "MMM")</f>
        <v>Aug</v>
      </c>
      <c r="D16" s="1" t="str">
        <f>TEXT(Table1[[#This Row],[Date]], "YYYY")</f>
        <v>2023</v>
      </c>
      <c r="E16" t="s">
        <v>313</v>
      </c>
      <c r="F16" t="s">
        <v>315</v>
      </c>
      <c r="G16" t="s">
        <v>319</v>
      </c>
      <c r="H16">
        <v>3853.23</v>
      </c>
      <c r="I16">
        <v>8</v>
      </c>
      <c r="J16">
        <v>328.59</v>
      </c>
    </row>
    <row r="17" spans="1:10" x14ac:dyDescent="0.3">
      <c r="A17" t="s">
        <v>23</v>
      </c>
      <c r="B17" s="1">
        <v>45198</v>
      </c>
      <c r="C17" s="1" t="str">
        <f>TEXT(Table1[[#This Row],[Date]], "MMM")</f>
        <v>Sep</v>
      </c>
      <c r="D17" s="1" t="str">
        <f>TEXT(Table1[[#This Row],[Date]], "YYYY")</f>
        <v>2023</v>
      </c>
      <c r="E17" t="s">
        <v>311</v>
      </c>
      <c r="F17" t="s">
        <v>314</v>
      </c>
      <c r="G17" t="s">
        <v>317</v>
      </c>
      <c r="H17">
        <v>843.88</v>
      </c>
      <c r="I17">
        <v>3</v>
      </c>
      <c r="J17">
        <v>212.37</v>
      </c>
    </row>
    <row r="18" spans="1:10" x14ac:dyDescent="0.3">
      <c r="A18" t="s">
        <v>24</v>
      </c>
      <c r="B18" s="1">
        <v>45524</v>
      </c>
      <c r="C18" s="1" t="str">
        <f>TEXT(Table1[[#This Row],[Date]], "MMM")</f>
        <v>Aug</v>
      </c>
      <c r="D18" s="1" t="str">
        <f>TEXT(Table1[[#This Row],[Date]], "YYYY")</f>
        <v>2024</v>
      </c>
      <c r="E18" t="s">
        <v>312</v>
      </c>
      <c r="F18" t="s">
        <v>315</v>
      </c>
      <c r="G18" t="s">
        <v>318</v>
      </c>
      <c r="H18">
        <v>3172.52</v>
      </c>
      <c r="I18">
        <v>7</v>
      </c>
      <c r="J18">
        <v>302.36</v>
      </c>
    </row>
    <row r="19" spans="1:10" x14ac:dyDescent="0.3">
      <c r="A19" t="s">
        <v>25</v>
      </c>
      <c r="B19" s="1">
        <v>45020</v>
      </c>
      <c r="C19" s="1" t="str">
        <f>TEXT(Table1[[#This Row],[Date]], "MMM")</f>
        <v>Apr</v>
      </c>
      <c r="D19" s="1" t="str">
        <f>TEXT(Table1[[#This Row],[Date]], "YYYY")</f>
        <v>2023</v>
      </c>
      <c r="E19" t="s">
        <v>310</v>
      </c>
      <c r="F19" t="s">
        <v>315</v>
      </c>
      <c r="G19" t="s">
        <v>318</v>
      </c>
      <c r="H19">
        <v>803.11</v>
      </c>
      <c r="I19">
        <v>1</v>
      </c>
      <c r="J19">
        <v>691.66</v>
      </c>
    </row>
    <row r="20" spans="1:10" x14ac:dyDescent="0.3">
      <c r="A20" t="s">
        <v>26</v>
      </c>
      <c r="B20" s="1">
        <v>45537</v>
      </c>
      <c r="C20" s="1" t="str">
        <f>TEXT(Table1[[#This Row],[Date]], "MMM")</f>
        <v>Sep</v>
      </c>
      <c r="D20" s="1" t="str">
        <f>TEXT(Table1[[#This Row],[Date]], "YYYY")</f>
        <v>2024</v>
      </c>
      <c r="E20" t="s">
        <v>310</v>
      </c>
      <c r="F20" t="s">
        <v>315</v>
      </c>
      <c r="G20" t="s">
        <v>318</v>
      </c>
      <c r="H20">
        <v>856.87</v>
      </c>
      <c r="I20">
        <v>2</v>
      </c>
      <c r="J20">
        <v>320.12</v>
      </c>
    </row>
    <row r="21" spans="1:10" x14ac:dyDescent="0.3">
      <c r="A21" t="s">
        <v>27</v>
      </c>
      <c r="B21" s="1">
        <v>45493</v>
      </c>
      <c r="C21" s="1" t="str">
        <f>TEXT(Table1[[#This Row],[Date]], "MMM")</f>
        <v>Jul</v>
      </c>
      <c r="D21" s="1" t="str">
        <f>TEXT(Table1[[#This Row],[Date]], "YYYY")</f>
        <v>2024</v>
      </c>
      <c r="E21" t="s">
        <v>311</v>
      </c>
      <c r="F21" t="s">
        <v>314</v>
      </c>
      <c r="G21" t="s">
        <v>319</v>
      </c>
      <c r="H21">
        <v>630.91</v>
      </c>
      <c r="I21">
        <v>1</v>
      </c>
      <c r="J21">
        <v>550.62</v>
      </c>
    </row>
    <row r="22" spans="1:10" x14ac:dyDescent="0.3">
      <c r="A22" t="s">
        <v>28</v>
      </c>
      <c r="B22" s="1">
        <v>45583</v>
      </c>
      <c r="C22" s="1" t="str">
        <f>TEXT(Table1[[#This Row],[Date]], "MMM")</f>
        <v>Oct</v>
      </c>
      <c r="D22" s="1" t="str">
        <f>TEXT(Table1[[#This Row],[Date]], "YYYY")</f>
        <v>2024</v>
      </c>
      <c r="E22" t="s">
        <v>313</v>
      </c>
      <c r="F22" t="s">
        <v>315</v>
      </c>
      <c r="G22" t="s">
        <v>319</v>
      </c>
      <c r="H22">
        <v>817.92</v>
      </c>
      <c r="I22">
        <v>6</v>
      </c>
      <c r="J22">
        <v>107.01</v>
      </c>
    </row>
    <row r="23" spans="1:10" x14ac:dyDescent="0.3">
      <c r="A23" t="s">
        <v>29</v>
      </c>
      <c r="B23" s="1">
        <v>45196</v>
      </c>
      <c r="C23" s="1" t="str">
        <f>TEXT(Table1[[#This Row],[Date]], "MMM")</f>
        <v>Sep</v>
      </c>
      <c r="D23" s="1" t="str">
        <f>TEXT(Table1[[#This Row],[Date]], "YYYY")</f>
        <v>2023</v>
      </c>
      <c r="E23" t="s">
        <v>311</v>
      </c>
      <c r="F23" t="s">
        <v>314</v>
      </c>
      <c r="G23" t="s">
        <v>316</v>
      </c>
      <c r="H23">
        <v>7204.65</v>
      </c>
      <c r="I23">
        <v>9</v>
      </c>
      <c r="J23">
        <v>614.33000000000004</v>
      </c>
    </row>
    <row r="24" spans="1:10" x14ac:dyDescent="0.3">
      <c r="A24" t="s">
        <v>30</v>
      </c>
      <c r="B24" s="1">
        <v>45581</v>
      </c>
      <c r="C24" s="1" t="str">
        <f>TEXT(Table1[[#This Row],[Date]], "MMM")</f>
        <v>Oct</v>
      </c>
      <c r="D24" s="1" t="str">
        <f>TEXT(Table1[[#This Row],[Date]], "YYYY")</f>
        <v>2024</v>
      </c>
      <c r="E24" t="s">
        <v>309</v>
      </c>
      <c r="F24" t="s">
        <v>314</v>
      </c>
      <c r="G24" t="s">
        <v>319</v>
      </c>
      <c r="H24">
        <v>5172.8599999999997</v>
      </c>
      <c r="I24">
        <v>9</v>
      </c>
      <c r="J24">
        <v>495</v>
      </c>
    </row>
    <row r="25" spans="1:10" x14ac:dyDescent="0.3">
      <c r="A25" t="s">
        <v>31</v>
      </c>
      <c r="B25" s="1">
        <v>45540</v>
      </c>
      <c r="C25" s="1" t="str">
        <f>TEXT(Table1[[#This Row],[Date]], "MMM")</f>
        <v>Sep</v>
      </c>
      <c r="D25" s="1" t="str">
        <f>TEXT(Table1[[#This Row],[Date]], "YYYY")</f>
        <v>2024</v>
      </c>
      <c r="E25" t="s">
        <v>310</v>
      </c>
      <c r="F25" t="s">
        <v>315</v>
      </c>
      <c r="G25" t="s">
        <v>316</v>
      </c>
      <c r="H25">
        <v>2755.02</v>
      </c>
      <c r="I25">
        <v>6</v>
      </c>
      <c r="J25">
        <v>401.11</v>
      </c>
    </row>
    <row r="26" spans="1:10" x14ac:dyDescent="0.3">
      <c r="A26" t="s">
        <v>32</v>
      </c>
      <c r="B26" s="1">
        <v>45172</v>
      </c>
      <c r="C26" s="1" t="str">
        <f>TEXT(Table1[[#This Row],[Date]], "MMM")</f>
        <v>Sep</v>
      </c>
      <c r="D26" s="1" t="str">
        <f>TEXT(Table1[[#This Row],[Date]], "YYYY")</f>
        <v>2023</v>
      </c>
      <c r="E26" t="s">
        <v>312</v>
      </c>
      <c r="F26" t="s">
        <v>315</v>
      </c>
      <c r="G26" t="s">
        <v>319</v>
      </c>
      <c r="H26">
        <v>275.83999999999997</v>
      </c>
      <c r="I26">
        <v>1</v>
      </c>
      <c r="J26">
        <v>207.88</v>
      </c>
    </row>
    <row r="27" spans="1:10" x14ac:dyDescent="0.3">
      <c r="A27" t="s">
        <v>33</v>
      </c>
      <c r="B27" s="1">
        <v>45424</v>
      </c>
      <c r="C27" s="1" t="str">
        <f>TEXT(Table1[[#This Row],[Date]], "MMM")</f>
        <v>May</v>
      </c>
      <c r="D27" s="1" t="str">
        <f>TEXT(Table1[[#This Row],[Date]], "YYYY")</f>
        <v>2024</v>
      </c>
      <c r="E27" t="s">
        <v>309</v>
      </c>
      <c r="F27" t="s">
        <v>314</v>
      </c>
      <c r="G27" t="s">
        <v>316</v>
      </c>
      <c r="H27">
        <v>2055.84</v>
      </c>
      <c r="I27">
        <v>2</v>
      </c>
      <c r="J27">
        <v>782.83</v>
      </c>
    </row>
    <row r="28" spans="1:10" x14ac:dyDescent="0.3">
      <c r="A28" t="s">
        <v>34</v>
      </c>
      <c r="B28" s="1">
        <v>45602</v>
      </c>
      <c r="C28" s="1" t="str">
        <f>TEXT(Table1[[#This Row],[Date]], "MMM")</f>
        <v>Nov</v>
      </c>
      <c r="D28" s="1" t="str">
        <f>TEXT(Table1[[#This Row],[Date]], "YYYY")</f>
        <v>2024</v>
      </c>
      <c r="E28" t="s">
        <v>310</v>
      </c>
      <c r="F28" t="s">
        <v>315</v>
      </c>
      <c r="G28" t="s">
        <v>317</v>
      </c>
      <c r="H28">
        <v>7075.97</v>
      </c>
      <c r="I28">
        <v>8</v>
      </c>
      <c r="J28">
        <v>758.54</v>
      </c>
    </row>
    <row r="29" spans="1:10" x14ac:dyDescent="0.3">
      <c r="A29" t="s">
        <v>35</v>
      </c>
      <c r="B29" s="1">
        <v>45143</v>
      </c>
      <c r="C29" s="1" t="str">
        <f>TEXT(Table1[[#This Row],[Date]], "MMM")</f>
        <v>Aug</v>
      </c>
      <c r="D29" s="1" t="str">
        <f>TEXT(Table1[[#This Row],[Date]], "YYYY")</f>
        <v>2023</v>
      </c>
      <c r="E29" t="s">
        <v>313</v>
      </c>
      <c r="F29" t="s">
        <v>315</v>
      </c>
      <c r="G29" t="s">
        <v>318</v>
      </c>
      <c r="H29">
        <v>7542.93</v>
      </c>
      <c r="I29">
        <v>9</v>
      </c>
      <c r="J29">
        <v>609.11</v>
      </c>
    </row>
    <row r="30" spans="1:10" x14ac:dyDescent="0.3">
      <c r="A30" t="s">
        <v>36</v>
      </c>
      <c r="B30" s="1">
        <v>45335</v>
      </c>
      <c r="C30" s="1" t="str">
        <f>TEXT(Table1[[#This Row],[Date]], "MMM")</f>
        <v>Feb</v>
      </c>
      <c r="D30" s="1" t="str">
        <f>TEXT(Table1[[#This Row],[Date]], "YYYY")</f>
        <v>2024</v>
      </c>
      <c r="E30" t="s">
        <v>308</v>
      </c>
      <c r="F30" t="s">
        <v>314</v>
      </c>
      <c r="G30" t="s">
        <v>319</v>
      </c>
      <c r="H30">
        <v>2836.67</v>
      </c>
      <c r="I30">
        <v>6</v>
      </c>
      <c r="J30">
        <v>361.72</v>
      </c>
    </row>
    <row r="31" spans="1:10" x14ac:dyDescent="0.3">
      <c r="A31" t="s">
        <v>37</v>
      </c>
      <c r="B31" s="1">
        <v>45157</v>
      </c>
      <c r="C31" s="1" t="str">
        <f>TEXT(Table1[[#This Row],[Date]], "MMM")</f>
        <v>Aug</v>
      </c>
      <c r="D31" s="1" t="str">
        <f>TEXT(Table1[[#This Row],[Date]], "YYYY")</f>
        <v>2023</v>
      </c>
      <c r="E31" t="s">
        <v>309</v>
      </c>
      <c r="F31" t="s">
        <v>314</v>
      </c>
      <c r="G31" t="s">
        <v>317</v>
      </c>
      <c r="H31">
        <v>757.69</v>
      </c>
      <c r="I31">
        <v>2</v>
      </c>
      <c r="J31">
        <v>283.70999999999998</v>
      </c>
    </row>
    <row r="32" spans="1:10" x14ac:dyDescent="0.3">
      <c r="A32" t="s">
        <v>38</v>
      </c>
      <c r="B32" s="1">
        <v>44934</v>
      </c>
      <c r="C32" s="1" t="str">
        <f>TEXT(Table1[[#This Row],[Date]], "MMM")</f>
        <v>Jan</v>
      </c>
      <c r="D32" s="1" t="str">
        <f>TEXT(Table1[[#This Row],[Date]], "YYYY")</f>
        <v>2023</v>
      </c>
      <c r="E32" t="s">
        <v>310</v>
      </c>
      <c r="F32" t="s">
        <v>315</v>
      </c>
      <c r="G32" t="s">
        <v>317</v>
      </c>
      <c r="H32">
        <v>1285.6099999999999</v>
      </c>
      <c r="I32">
        <v>2</v>
      </c>
      <c r="J32">
        <v>572.12</v>
      </c>
    </row>
    <row r="33" spans="1:10" x14ac:dyDescent="0.3">
      <c r="A33" t="s">
        <v>39</v>
      </c>
      <c r="B33" s="1">
        <v>45265</v>
      </c>
      <c r="C33" s="1" t="str">
        <f>TEXT(Table1[[#This Row],[Date]], "MMM")</f>
        <v>Dec</v>
      </c>
      <c r="D33" s="1" t="str">
        <f>TEXT(Table1[[#This Row],[Date]], "YYYY")</f>
        <v>2023</v>
      </c>
      <c r="E33" t="s">
        <v>309</v>
      </c>
      <c r="F33" t="s">
        <v>314</v>
      </c>
      <c r="G33" t="s">
        <v>316</v>
      </c>
      <c r="H33">
        <v>1020.09</v>
      </c>
      <c r="I33">
        <v>2</v>
      </c>
      <c r="J33">
        <v>421.04</v>
      </c>
    </row>
    <row r="34" spans="1:10" x14ac:dyDescent="0.3">
      <c r="A34" t="s">
        <v>40</v>
      </c>
      <c r="B34" s="1">
        <v>45479</v>
      </c>
      <c r="C34" s="1" t="str">
        <f>TEXT(Table1[[#This Row],[Date]], "MMM")</f>
        <v>Jul</v>
      </c>
      <c r="D34" s="1" t="str">
        <f>TEXT(Table1[[#This Row],[Date]], "YYYY")</f>
        <v>2024</v>
      </c>
      <c r="E34" t="s">
        <v>311</v>
      </c>
      <c r="F34" t="s">
        <v>314</v>
      </c>
      <c r="G34" t="s">
        <v>317</v>
      </c>
      <c r="H34">
        <v>2546.5300000000002</v>
      </c>
      <c r="I34">
        <v>3</v>
      </c>
      <c r="J34">
        <v>584.22</v>
      </c>
    </row>
    <row r="35" spans="1:10" x14ac:dyDescent="0.3">
      <c r="A35" t="s">
        <v>41</v>
      </c>
      <c r="B35" s="1">
        <v>45175</v>
      </c>
      <c r="C35" s="1" t="str">
        <f>TEXT(Table1[[#This Row],[Date]], "MMM")</f>
        <v>Sep</v>
      </c>
      <c r="D35" s="1" t="str">
        <f>TEXT(Table1[[#This Row],[Date]], "YYYY")</f>
        <v>2023</v>
      </c>
      <c r="E35" t="s">
        <v>313</v>
      </c>
      <c r="F35" t="s">
        <v>315</v>
      </c>
      <c r="G35" t="s">
        <v>318</v>
      </c>
      <c r="H35">
        <v>6114.64</v>
      </c>
      <c r="I35">
        <v>8</v>
      </c>
      <c r="J35">
        <v>649.85</v>
      </c>
    </row>
    <row r="36" spans="1:10" x14ac:dyDescent="0.3">
      <c r="A36" t="s">
        <v>42</v>
      </c>
      <c r="B36" s="1">
        <v>45289</v>
      </c>
      <c r="C36" s="1" t="str">
        <f>TEXT(Table1[[#This Row],[Date]], "MMM")</f>
        <v>Dec</v>
      </c>
      <c r="D36" s="1" t="str">
        <f>TEXT(Table1[[#This Row],[Date]], "YYYY")</f>
        <v>2023</v>
      </c>
      <c r="E36" t="s">
        <v>309</v>
      </c>
      <c r="F36" t="s">
        <v>314</v>
      </c>
      <c r="G36" t="s">
        <v>318</v>
      </c>
      <c r="H36">
        <v>3447.05</v>
      </c>
      <c r="I36">
        <v>7</v>
      </c>
      <c r="J36">
        <v>340.66</v>
      </c>
    </row>
    <row r="37" spans="1:10" x14ac:dyDescent="0.3">
      <c r="A37" t="s">
        <v>43</v>
      </c>
      <c r="B37" s="1">
        <v>44989</v>
      </c>
      <c r="C37" s="1" t="str">
        <f>TEXT(Table1[[#This Row],[Date]], "MMM")</f>
        <v>Mar</v>
      </c>
      <c r="D37" s="1" t="str">
        <f>TEXT(Table1[[#This Row],[Date]], "YYYY")</f>
        <v>2023</v>
      </c>
      <c r="E37" t="s">
        <v>309</v>
      </c>
      <c r="F37" t="s">
        <v>314</v>
      </c>
      <c r="G37" t="s">
        <v>316</v>
      </c>
      <c r="H37">
        <v>5845.79</v>
      </c>
      <c r="I37">
        <v>7</v>
      </c>
      <c r="J37">
        <v>588.01</v>
      </c>
    </row>
    <row r="38" spans="1:10" x14ac:dyDescent="0.3">
      <c r="A38" t="s">
        <v>44</v>
      </c>
      <c r="B38" s="1">
        <v>45123</v>
      </c>
      <c r="C38" s="1" t="str">
        <f>TEXT(Table1[[#This Row],[Date]], "MMM")</f>
        <v>Jul</v>
      </c>
      <c r="D38" s="1" t="str">
        <f>TEXT(Table1[[#This Row],[Date]], "YYYY")</f>
        <v>2023</v>
      </c>
      <c r="E38" t="s">
        <v>309</v>
      </c>
      <c r="F38" t="s">
        <v>314</v>
      </c>
      <c r="G38" t="s">
        <v>317</v>
      </c>
      <c r="H38">
        <v>2026.83</v>
      </c>
      <c r="I38">
        <v>4</v>
      </c>
      <c r="J38">
        <v>438.3</v>
      </c>
    </row>
    <row r="39" spans="1:10" x14ac:dyDescent="0.3">
      <c r="A39" t="s">
        <v>45</v>
      </c>
      <c r="B39" s="1">
        <v>45400</v>
      </c>
      <c r="C39" s="1" t="str">
        <f>TEXT(Table1[[#This Row],[Date]], "MMM")</f>
        <v>Apr</v>
      </c>
      <c r="D39" s="1" t="str">
        <f>TEXT(Table1[[#This Row],[Date]], "YYYY")</f>
        <v>2024</v>
      </c>
      <c r="E39" t="s">
        <v>310</v>
      </c>
      <c r="F39" t="s">
        <v>315</v>
      </c>
      <c r="G39" t="s">
        <v>319</v>
      </c>
      <c r="H39">
        <v>3173.92</v>
      </c>
      <c r="I39">
        <v>4</v>
      </c>
      <c r="J39">
        <v>702.1</v>
      </c>
    </row>
    <row r="40" spans="1:10" x14ac:dyDescent="0.3">
      <c r="A40" t="s">
        <v>46</v>
      </c>
      <c r="B40" s="1">
        <v>44978</v>
      </c>
      <c r="C40" s="1" t="str">
        <f>TEXT(Table1[[#This Row],[Date]], "MMM")</f>
        <v>Feb</v>
      </c>
      <c r="D40" s="1" t="str">
        <f>TEXT(Table1[[#This Row],[Date]], "YYYY")</f>
        <v>2023</v>
      </c>
      <c r="E40" t="s">
        <v>313</v>
      </c>
      <c r="F40" t="s">
        <v>315</v>
      </c>
      <c r="G40" t="s">
        <v>316</v>
      </c>
      <c r="H40">
        <v>8998.33</v>
      </c>
      <c r="I40">
        <v>9</v>
      </c>
      <c r="J40">
        <v>672.1</v>
      </c>
    </row>
    <row r="41" spans="1:10" x14ac:dyDescent="0.3">
      <c r="A41" t="s">
        <v>47</v>
      </c>
      <c r="B41" s="1">
        <v>45343</v>
      </c>
      <c r="C41" s="1" t="str">
        <f>TEXT(Table1[[#This Row],[Date]], "MMM")</f>
        <v>Feb</v>
      </c>
      <c r="D41" s="1" t="str">
        <f>TEXT(Table1[[#This Row],[Date]], "YYYY")</f>
        <v>2024</v>
      </c>
      <c r="E41" t="s">
        <v>310</v>
      </c>
      <c r="F41" t="s">
        <v>315</v>
      </c>
      <c r="G41" t="s">
        <v>317</v>
      </c>
      <c r="H41">
        <v>4574.24</v>
      </c>
      <c r="I41">
        <v>8</v>
      </c>
      <c r="J41">
        <v>395.46</v>
      </c>
    </row>
    <row r="42" spans="1:10" x14ac:dyDescent="0.3">
      <c r="A42" t="s">
        <v>48</v>
      </c>
      <c r="B42" s="1">
        <v>45315</v>
      </c>
      <c r="C42" s="1" t="str">
        <f>TEXT(Table1[[#This Row],[Date]], "MMM")</f>
        <v>Jan</v>
      </c>
      <c r="D42" s="1" t="str">
        <f>TEXT(Table1[[#This Row],[Date]], "YYYY")</f>
        <v>2024</v>
      </c>
      <c r="E42" t="s">
        <v>309</v>
      </c>
      <c r="F42" t="s">
        <v>314</v>
      </c>
      <c r="G42" t="s">
        <v>317</v>
      </c>
      <c r="H42">
        <v>951.04</v>
      </c>
      <c r="I42">
        <v>1</v>
      </c>
      <c r="J42">
        <v>788.54</v>
      </c>
    </row>
    <row r="43" spans="1:10" x14ac:dyDescent="0.3">
      <c r="A43" t="s">
        <v>49</v>
      </c>
      <c r="B43" s="1">
        <v>45360</v>
      </c>
      <c r="C43" s="1" t="str">
        <f>TEXT(Table1[[#This Row],[Date]], "MMM")</f>
        <v>Mar</v>
      </c>
      <c r="D43" s="1" t="str">
        <f>TEXT(Table1[[#This Row],[Date]], "YYYY")</f>
        <v>2024</v>
      </c>
      <c r="E43" t="s">
        <v>311</v>
      </c>
      <c r="F43" t="s">
        <v>314</v>
      </c>
      <c r="G43" t="s">
        <v>319</v>
      </c>
      <c r="H43">
        <v>6248.51</v>
      </c>
      <c r="I43">
        <v>9</v>
      </c>
      <c r="J43">
        <v>536.26</v>
      </c>
    </row>
    <row r="44" spans="1:10" x14ac:dyDescent="0.3">
      <c r="A44" t="s">
        <v>50</v>
      </c>
      <c r="B44" s="1">
        <v>45149</v>
      </c>
      <c r="C44" s="1" t="str">
        <f>TEXT(Table1[[#This Row],[Date]], "MMM")</f>
        <v>Aug</v>
      </c>
      <c r="D44" s="1" t="str">
        <f>TEXT(Table1[[#This Row],[Date]], "YYYY")</f>
        <v>2023</v>
      </c>
      <c r="E44" t="s">
        <v>310</v>
      </c>
      <c r="F44" t="s">
        <v>315</v>
      </c>
      <c r="G44" t="s">
        <v>319</v>
      </c>
      <c r="H44">
        <v>621.25</v>
      </c>
      <c r="I44">
        <v>1</v>
      </c>
      <c r="J44">
        <v>471.76</v>
      </c>
    </row>
    <row r="45" spans="1:10" x14ac:dyDescent="0.3">
      <c r="A45" t="s">
        <v>51</v>
      </c>
      <c r="B45" s="1">
        <v>44985</v>
      </c>
      <c r="C45" s="1" t="str">
        <f>TEXT(Table1[[#This Row],[Date]], "MMM")</f>
        <v>Feb</v>
      </c>
      <c r="D45" s="1" t="str">
        <f>TEXT(Table1[[#This Row],[Date]], "YYYY")</f>
        <v>2023</v>
      </c>
      <c r="E45" t="s">
        <v>308</v>
      </c>
      <c r="F45" t="s">
        <v>314</v>
      </c>
      <c r="G45" t="s">
        <v>319</v>
      </c>
      <c r="H45">
        <v>618.9</v>
      </c>
      <c r="I45">
        <v>1</v>
      </c>
      <c r="J45">
        <v>475.66</v>
      </c>
    </row>
    <row r="46" spans="1:10" x14ac:dyDescent="0.3">
      <c r="A46" t="s">
        <v>52</v>
      </c>
      <c r="B46" s="1">
        <v>44985</v>
      </c>
      <c r="C46" s="1" t="str">
        <f>TEXT(Table1[[#This Row],[Date]], "MMM")</f>
        <v>Feb</v>
      </c>
      <c r="D46" s="1" t="str">
        <f>TEXT(Table1[[#This Row],[Date]], "YYYY")</f>
        <v>2023</v>
      </c>
      <c r="E46" t="s">
        <v>313</v>
      </c>
      <c r="F46" t="s">
        <v>315</v>
      </c>
      <c r="G46" t="s">
        <v>317</v>
      </c>
      <c r="H46">
        <v>871.83</v>
      </c>
      <c r="I46">
        <v>9</v>
      </c>
      <c r="J46">
        <v>82.49</v>
      </c>
    </row>
    <row r="47" spans="1:10" x14ac:dyDescent="0.3">
      <c r="A47" t="s">
        <v>53</v>
      </c>
      <c r="B47" s="1">
        <v>45618</v>
      </c>
      <c r="C47" s="1" t="str">
        <f>TEXT(Table1[[#This Row],[Date]], "MMM")</f>
        <v>Nov</v>
      </c>
      <c r="D47" s="1" t="str">
        <f>TEXT(Table1[[#This Row],[Date]], "YYYY")</f>
        <v>2024</v>
      </c>
      <c r="E47" t="s">
        <v>313</v>
      </c>
      <c r="F47" t="s">
        <v>315</v>
      </c>
      <c r="G47" t="s">
        <v>316</v>
      </c>
      <c r="H47">
        <v>1978.34</v>
      </c>
      <c r="I47">
        <v>4</v>
      </c>
      <c r="J47">
        <v>334.94</v>
      </c>
    </row>
    <row r="48" spans="1:10" x14ac:dyDescent="0.3">
      <c r="A48" t="s">
        <v>54</v>
      </c>
      <c r="B48" s="1">
        <v>45519</v>
      </c>
      <c r="C48" s="1" t="str">
        <f>TEXT(Table1[[#This Row],[Date]], "MMM")</f>
        <v>Aug</v>
      </c>
      <c r="D48" s="1" t="str">
        <f>TEXT(Table1[[#This Row],[Date]], "YYYY")</f>
        <v>2024</v>
      </c>
      <c r="E48" t="s">
        <v>313</v>
      </c>
      <c r="F48" t="s">
        <v>315</v>
      </c>
      <c r="G48" t="s">
        <v>317</v>
      </c>
      <c r="H48">
        <v>577.72</v>
      </c>
      <c r="I48">
        <v>10</v>
      </c>
      <c r="J48">
        <v>51</v>
      </c>
    </row>
    <row r="49" spans="1:10" x14ac:dyDescent="0.3">
      <c r="A49" t="s">
        <v>55</v>
      </c>
      <c r="B49" s="1">
        <v>45194</v>
      </c>
      <c r="C49" s="1" t="str">
        <f>TEXT(Table1[[#This Row],[Date]], "MMM")</f>
        <v>Sep</v>
      </c>
      <c r="D49" s="1" t="str">
        <f>TEXT(Table1[[#This Row],[Date]], "YYYY")</f>
        <v>2023</v>
      </c>
      <c r="E49" t="s">
        <v>308</v>
      </c>
      <c r="F49" t="s">
        <v>314</v>
      </c>
      <c r="G49" t="s">
        <v>319</v>
      </c>
      <c r="H49">
        <v>2659.17</v>
      </c>
      <c r="I49">
        <v>4</v>
      </c>
      <c r="J49">
        <v>542.39</v>
      </c>
    </row>
    <row r="50" spans="1:10" x14ac:dyDescent="0.3">
      <c r="A50" t="s">
        <v>56</v>
      </c>
      <c r="B50" s="1">
        <v>45061</v>
      </c>
      <c r="C50" s="1" t="str">
        <f>TEXT(Table1[[#This Row],[Date]], "MMM")</f>
        <v>May</v>
      </c>
      <c r="D50" s="1" t="str">
        <f>TEXT(Table1[[#This Row],[Date]], "YYYY")</f>
        <v>2023</v>
      </c>
      <c r="E50" t="s">
        <v>312</v>
      </c>
      <c r="F50" t="s">
        <v>315</v>
      </c>
      <c r="G50" t="s">
        <v>318</v>
      </c>
      <c r="H50">
        <v>2771.33</v>
      </c>
      <c r="I50">
        <v>5</v>
      </c>
      <c r="J50">
        <v>376.64</v>
      </c>
    </row>
    <row r="51" spans="1:10" x14ac:dyDescent="0.3">
      <c r="A51" t="s">
        <v>57</v>
      </c>
      <c r="B51" s="1">
        <v>45396</v>
      </c>
      <c r="C51" s="1" t="str">
        <f>TEXT(Table1[[#This Row],[Date]], "MMM")</f>
        <v>Apr</v>
      </c>
      <c r="D51" s="1" t="str">
        <f>TEXT(Table1[[#This Row],[Date]], "YYYY")</f>
        <v>2024</v>
      </c>
      <c r="E51" t="s">
        <v>309</v>
      </c>
      <c r="F51" t="s">
        <v>314</v>
      </c>
      <c r="G51" t="s">
        <v>316</v>
      </c>
      <c r="H51">
        <v>11969.38</v>
      </c>
      <c r="I51">
        <v>10</v>
      </c>
      <c r="J51">
        <v>798.79</v>
      </c>
    </row>
    <row r="52" spans="1:10" x14ac:dyDescent="0.3">
      <c r="A52" t="s">
        <v>58</v>
      </c>
      <c r="B52" s="1">
        <v>45445</v>
      </c>
      <c r="C52" s="1" t="str">
        <f>TEXT(Table1[[#This Row],[Date]], "MMM")</f>
        <v>Jun</v>
      </c>
      <c r="D52" s="1" t="str">
        <f>TEXT(Table1[[#This Row],[Date]], "YYYY")</f>
        <v>2024</v>
      </c>
      <c r="E52" t="s">
        <v>309</v>
      </c>
      <c r="F52" t="s">
        <v>314</v>
      </c>
      <c r="G52" t="s">
        <v>317</v>
      </c>
      <c r="H52">
        <v>764.34</v>
      </c>
      <c r="I52">
        <v>5</v>
      </c>
      <c r="J52">
        <v>123.32</v>
      </c>
    </row>
    <row r="53" spans="1:10" x14ac:dyDescent="0.3">
      <c r="A53" t="s">
        <v>59</v>
      </c>
      <c r="B53" s="1">
        <v>45305</v>
      </c>
      <c r="C53" s="1" t="str">
        <f>TEXT(Table1[[#This Row],[Date]], "MMM")</f>
        <v>Jan</v>
      </c>
      <c r="D53" s="1" t="str">
        <f>TEXT(Table1[[#This Row],[Date]], "YYYY")</f>
        <v>2024</v>
      </c>
      <c r="E53" t="s">
        <v>309</v>
      </c>
      <c r="F53" t="s">
        <v>314</v>
      </c>
      <c r="G53" t="s">
        <v>317</v>
      </c>
      <c r="H53">
        <v>1025.24</v>
      </c>
      <c r="I53">
        <v>5</v>
      </c>
      <c r="J53">
        <v>143.04</v>
      </c>
    </row>
    <row r="54" spans="1:10" x14ac:dyDescent="0.3">
      <c r="A54" t="s">
        <v>60</v>
      </c>
      <c r="B54" s="1">
        <v>45553</v>
      </c>
      <c r="C54" s="1" t="str">
        <f>TEXT(Table1[[#This Row],[Date]], "MMM")</f>
        <v>Sep</v>
      </c>
      <c r="D54" s="1" t="str">
        <f>TEXT(Table1[[#This Row],[Date]], "YYYY")</f>
        <v>2024</v>
      </c>
      <c r="E54" t="s">
        <v>308</v>
      </c>
      <c r="F54" t="s">
        <v>314</v>
      </c>
      <c r="G54" t="s">
        <v>319</v>
      </c>
      <c r="H54">
        <v>335.17</v>
      </c>
      <c r="I54">
        <v>9</v>
      </c>
      <c r="J54">
        <v>26.1</v>
      </c>
    </row>
    <row r="55" spans="1:10" x14ac:dyDescent="0.3">
      <c r="A55" t="s">
        <v>61</v>
      </c>
      <c r="B55" s="1">
        <v>45064</v>
      </c>
      <c r="C55" s="1" t="str">
        <f>TEXT(Table1[[#This Row],[Date]], "MMM")</f>
        <v>May</v>
      </c>
      <c r="D55" s="1" t="str">
        <f>TEXT(Table1[[#This Row],[Date]], "YYYY")</f>
        <v>2023</v>
      </c>
      <c r="E55" t="s">
        <v>312</v>
      </c>
      <c r="F55" t="s">
        <v>315</v>
      </c>
      <c r="G55" t="s">
        <v>316</v>
      </c>
      <c r="H55">
        <v>628.72</v>
      </c>
      <c r="I55">
        <v>5</v>
      </c>
      <c r="J55">
        <v>110.03</v>
      </c>
    </row>
    <row r="56" spans="1:10" x14ac:dyDescent="0.3">
      <c r="A56" t="s">
        <v>62</v>
      </c>
      <c r="B56" s="1">
        <v>45205</v>
      </c>
      <c r="C56" s="1" t="str">
        <f>TEXT(Table1[[#This Row],[Date]], "MMM")</f>
        <v>Oct</v>
      </c>
      <c r="D56" s="1" t="str">
        <f>TEXT(Table1[[#This Row],[Date]], "YYYY")</f>
        <v>2023</v>
      </c>
      <c r="E56" t="s">
        <v>313</v>
      </c>
      <c r="F56" t="s">
        <v>315</v>
      </c>
      <c r="G56" t="s">
        <v>317</v>
      </c>
      <c r="H56">
        <v>3410.54</v>
      </c>
      <c r="I56">
        <v>5</v>
      </c>
      <c r="J56">
        <v>491.77</v>
      </c>
    </row>
    <row r="57" spans="1:10" x14ac:dyDescent="0.3">
      <c r="A57" t="s">
        <v>63</v>
      </c>
      <c r="B57" s="1">
        <v>45444</v>
      </c>
      <c r="C57" s="1" t="str">
        <f>TEXT(Table1[[#This Row],[Date]], "MMM")</f>
        <v>Jun</v>
      </c>
      <c r="D57" s="1" t="str">
        <f>TEXT(Table1[[#This Row],[Date]], "YYYY")</f>
        <v>2024</v>
      </c>
      <c r="E57" t="s">
        <v>310</v>
      </c>
      <c r="F57" t="s">
        <v>315</v>
      </c>
      <c r="G57" t="s">
        <v>319</v>
      </c>
      <c r="H57">
        <v>2527</v>
      </c>
      <c r="I57">
        <v>8</v>
      </c>
      <c r="J57">
        <v>215.87</v>
      </c>
    </row>
    <row r="58" spans="1:10" x14ac:dyDescent="0.3">
      <c r="A58" t="s">
        <v>64</v>
      </c>
      <c r="B58" s="1">
        <v>45576</v>
      </c>
      <c r="C58" s="1" t="str">
        <f>TEXT(Table1[[#This Row],[Date]], "MMM")</f>
        <v>Oct</v>
      </c>
      <c r="D58" s="1" t="str">
        <f>TEXT(Table1[[#This Row],[Date]], "YYYY")</f>
        <v>2024</v>
      </c>
      <c r="E58" t="s">
        <v>309</v>
      </c>
      <c r="F58" t="s">
        <v>314</v>
      </c>
      <c r="G58" t="s">
        <v>316</v>
      </c>
      <c r="H58">
        <v>5217.38</v>
      </c>
      <c r="I58">
        <v>7</v>
      </c>
      <c r="J58">
        <v>666.89</v>
      </c>
    </row>
    <row r="59" spans="1:10" x14ac:dyDescent="0.3">
      <c r="A59" t="s">
        <v>65</v>
      </c>
      <c r="B59" s="1">
        <v>45579</v>
      </c>
      <c r="C59" s="1" t="str">
        <f>TEXT(Table1[[#This Row],[Date]], "MMM")</f>
        <v>Oct</v>
      </c>
      <c r="D59" s="1" t="str">
        <f>TEXT(Table1[[#This Row],[Date]], "YYYY")</f>
        <v>2024</v>
      </c>
      <c r="E59" t="s">
        <v>312</v>
      </c>
      <c r="F59" t="s">
        <v>315</v>
      </c>
      <c r="G59" t="s">
        <v>317</v>
      </c>
      <c r="H59">
        <v>932.21</v>
      </c>
      <c r="I59">
        <v>5</v>
      </c>
      <c r="J59">
        <v>146.03</v>
      </c>
    </row>
    <row r="60" spans="1:10" x14ac:dyDescent="0.3">
      <c r="A60" t="s">
        <v>66</v>
      </c>
      <c r="B60" s="1">
        <v>45501</v>
      </c>
      <c r="C60" s="1" t="str">
        <f>TEXT(Table1[[#This Row],[Date]], "MMM")</f>
        <v>Jul</v>
      </c>
      <c r="D60" s="1" t="str">
        <f>TEXT(Table1[[#This Row],[Date]], "YYYY")</f>
        <v>2024</v>
      </c>
      <c r="E60" t="s">
        <v>308</v>
      </c>
      <c r="F60" t="s">
        <v>314</v>
      </c>
      <c r="G60" t="s">
        <v>318</v>
      </c>
      <c r="H60">
        <v>158.53</v>
      </c>
      <c r="I60">
        <v>1</v>
      </c>
      <c r="J60">
        <v>107.26</v>
      </c>
    </row>
    <row r="61" spans="1:10" x14ac:dyDescent="0.3">
      <c r="A61" t="s">
        <v>67</v>
      </c>
      <c r="B61" s="1">
        <v>45485</v>
      </c>
      <c r="C61" s="1" t="str">
        <f>TEXT(Table1[[#This Row],[Date]], "MMM")</f>
        <v>Jul</v>
      </c>
      <c r="D61" s="1" t="str">
        <f>TEXT(Table1[[#This Row],[Date]], "YYYY")</f>
        <v>2024</v>
      </c>
      <c r="E61" t="s">
        <v>308</v>
      </c>
      <c r="F61" t="s">
        <v>314</v>
      </c>
      <c r="G61" t="s">
        <v>317</v>
      </c>
      <c r="H61">
        <v>894.42</v>
      </c>
      <c r="I61">
        <v>1</v>
      </c>
      <c r="J61">
        <v>670.98</v>
      </c>
    </row>
    <row r="62" spans="1:10" x14ac:dyDescent="0.3">
      <c r="A62" t="s">
        <v>68</v>
      </c>
      <c r="B62" s="1">
        <v>45057</v>
      </c>
      <c r="C62" s="1" t="str">
        <f>TEXT(Table1[[#This Row],[Date]], "MMM")</f>
        <v>May</v>
      </c>
      <c r="D62" s="1" t="str">
        <f>TEXT(Table1[[#This Row],[Date]], "YYYY")</f>
        <v>2023</v>
      </c>
      <c r="E62" t="s">
        <v>310</v>
      </c>
      <c r="F62" t="s">
        <v>315</v>
      </c>
      <c r="G62" t="s">
        <v>318</v>
      </c>
      <c r="H62">
        <v>380.14</v>
      </c>
      <c r="I62">
        <v>1</v>
      </c>
      <c r="J62">
        <v>260.44</v>
      </c>
    </row>
    <row r="63" spans="1:10" x14ac:dyDescent="0.3">
      <c r="A63" t="s">
        <v>69</v>
      </c>
      <c r="B63" s="1">
        <v>45142</v>
      </c>
      <c r="C63" s="1" t="str">
        <f>TEXT(Table1[[#This Row],[Date]], "MMM")</f>
        <v>Aug</v>
      </c>
      <c r="D63" s="1" t="str">
        <f>TEXT(Table1[[#This Row],[Date]], "YYYY")</f>
        <v>2023</v>
      </c>
      <c r="E63" t="s">
        <v>309</v>
      </c>
      <c r="F63" t="s">
        <v>314</v>
      </c>
      <c r="G63" t="s">
        <v>319</v>
      </c>
      <c r="H63">
        <v>2682.62</v>
      </c>
      <c r="I63">
        <v>4</v>
      </c>
      <c r="J63">
        <v>540.21</v>
      </c>
    </row>
    <row r="64" spans="1:10" x14ac:dyDescent="0.3">
      <c r="A64" t="s">
        <v>70</v>
      </c>
      <c r="B64" s="1">
        <v>45562</v>
      </c>
      <c r="C64" s="1" t="str">
        <f>TEXT(Table1[[#This Row],[Date]], "MMM")</f>
        <v>Sep</v>
      </c>
      <c r="D64" s="1" t="str">
        <f>TEXT(Table1[[#This Row],[Date]], "YYYY")</f>
        <v>2024</v>
      </c>
      <c r="E64" t="s">
        <v>313</v>
      </c>
      <c r="F64" t="s">
        <v>315</v>
      </c>
      <c r="G64" t="s">
        <v>318</v>
      </c>
      <c r="H64">
        <v>2659.75</v>
      </c>
      <c r="I64">
        <v>3</v>
      </c>
      <c r="J64">
        <v>742.1</v>
      </c>
    </row>
    <row r="65" spans="1:10" x14ac:dyDescent="0.3">
      <c r="A65" t="s">
        <v>71</v>
      </c>
      <c r="B65" s="1">
        <v>45349</v>
      </c>
      <c r="C65" s="1" t="str">
        <f>TEXT(Table1[[#This Row],[Date]], "MMM")</f>
        <v>Feb</v>
      </c>
      <c r="D65" s="1" t="str">
        <f>TEXT(Table1[[#This Row],[Date]], "YYYY")</f>
        <v>2024</v>
      </c>
      <c r="E65" t="s">
        <v>310</v>
      </c>
      <c r="F65" t="s">
        <v>315</v>
      </c>
      <c r="G65" t="s">
        <v>317</v>
      </c>
      <c r="H65">
        <v>235.02</v>
      </c>
      <c r="I65">
        <v>1</v>
      </c>
      <c r="J65">
        <v>159.9</v>
      </c>
    </row>
    <row r="66" spans="1:10" x14ac:dyDescent="0.3">
      <c r="A66" t="s">
        <v>72</v>
      </c>
      <c r="B66" s="1">
        <v>45200</v>
      </c>
      <c r="C66" s="1" t="str">
        <f>TEXT(Table1[[#This Row],[Date]], "MMM")</f>
        <v>Oct</v>
      </c>
      <c r="D66" s="1" t="str">
        <f>TEXT(Table1[[#This Row],[Date]], "YYYY")</f>
        <v>2023</v>
      </c>
      <c r="E66" t="s">
        <v>311</v>
      </c>
      <c r="F66" t="s">
        <v>314</v>
      </c>
      <c r="G66" t="s">
        <v>317</v>
      </c>
      <c r="H66">
        <v>2174.9499999999998</v>
      </c>
      <c r="I66">
        <v>3</v>
      </c>
      <c r="J66">
        <v>634.15</v>
      </c>
    </row>
    <row r="67" spans="1:10" x14ac:dyDescent="0.3">
      <c r="A67" t="s">
        <v>73</v>
      </c>
      <c r="B67" s="1">
        <v>45154</v>
      </c>
      <c r="C67" s="1" t="str">
        <f>TEXT(Table1[[#This Row],[Date]], "MMM")</f>
        <v>Aug</v>
      </c>
      <c r="D67" s="1" t="str">
        <f>TEXT(Table1[[#This Row],[Date]], "YYYY")</f>
        <v>2023</v>
      </c>
      <c r="E67" t="s">
        <v>309</v>
      </c>
      <c r="F67" t="s">
        <v>314</v>
      </c>
      <c r="G67" t="s">
        <v>318</v>
      </c>
      <c r="H67">
        <v>3374.36</v>
      </c>
      <c r="I67">
        <v>4</v>
      </c>
      <c r="J67">
        <v>656.94</v>
      </c>
    </row>
    <row r="68" spans="1:10" x14ac:dyDescent="0.3">
      <c r="A68" t="s">
        <v>74</v>
      </c>
      <c r="B68" s="1">
        <v>45155</v>
      </c>
      <c r="C68" s="1" t="str">
        <f>TEXT(Table1[[#This Row],[Date]], "MMM")</f>
        <v>Aug</v>
      </c>
      <c r="D68" s="1" t="str">
        <f>TEXT(Table1[[#This Row],[Date]], "YYYY")</f>
        <v>2023</v>
      </c>
      <c r="E68" t="s">
        <v>312</v>
      </c>
      <c r="F68" t="s">
        <v>315</v>
      </c>
      <c r="G68" t="s">
        <v>317</v>
      </c>
      <c r="H68">
        <v>673.56</v>
      </c>
      <c r="I68">
        <v>1</v>
      </c>
      <c r="J68">
        <v>534.83000000000004</v>
      </c>
    </row>
    <row r="69" spans="1:10" x14ac:dyDescent="0.3">
      <c r="A69" t="s">
        <v>75</v>
      </c>
      <c r="B69" s="1">
        <v>45212</v>
      </c>
      <c r="C69" s="1" t="str">
        <f>TEXT(Table1[[#This Row],[Date]], "MMM")</f>
        <v>Oct</v>
      </c>
      <c r="D69" s="1" t="str">
        <f>TEXT(Table1[[#This Row],[Date]], "YYYY")</f>
        <v>2023</v>
      </c>
      <c r="E69" t="s">
        <v>312</v>
      </c>
      <c r="F69" t="s">
        <v>315</v>
      </c>
      <c r="G69" t="s">
        <v>316</v>
      </c>
      <c r="H69">
        <v>3933.52</v>
      </c>
      <c r="I69">
        <v>6</v>
      </c>
      <c r="J69">
        <v>520.36</v>
      </c>
    </row>
    <row r="70" spans="1:10" x14ac:dyDescent="0.3">
      <c r="A70" t="s">
        <v>76</v>
      </c>
      <c r="B70" s="1">
        <v>44955</v>
      </c>
      <c r="C70" s="1" t="str">
        <f>TEXT(Table1[[#This Row],[Date]], "MMM")</f>
        <v>Jan</v>
      </c>
      <c r="D70" s="1" t="str">
        <f>TEXT(Table1[[#This Row],[Date]], "YYYY")</f>
        <v>2023</v>
      </c>
      <c r="E70" t="s">
        <v>313</v>
      </c>
      <c r="F70" t="s">
        <v>315</v>
      </c>
      <c r="G70" t="s">
        <v>319</v>
      </c>
      <c r="H70">
        <v>1696.13</v>
      </c>
      <c r="I70">
        <v>2</v>
      </c>
      <c r="J70">
        <v>704.09</v>
      </c>
    </row>
    <row r="71" spans="1:10" x14ac:dyDescent="0.3">
      <c r="A71" t="s">
        <v>77</v>
      </c>
      <c r="B71" s="1">
        <v>44966</v>
      </c>
      <c r="C71" s="1" t="str">
        <f>TEXT(Table1[[#This Row],[Date]], "MMM")</f>
        <v>Feb</v>
      </c>
      <c r="D71" s="1" t="str">
        <f>TEXT(Table1[[#This Row],[Date]], "YYYY")</f>
        <v>2023</v>
      </c>
      <c r="E71" t="s">
        <v>313</v>
      </c>
      <c r="F71" t="s">
        <v>315</v>
      </c>
      <c r="G71" t="s">
        <v>319</v>
      </c>
      <c r="H71">
        <v>1201.94</v>
      </c>
      <c r="I71">
        <v>2</v>
      </c>
      <c r="J71">
        <v>485.33</v>
      </c>
    </row>
    <row r="72" spans="1:10" x14ac:dyDescent="0.3">
      <c r="A72" t="s">
        <v>78</v>
      </c>
      <c r="B72" s="1">
        <v>45547</v>
      </c>
      <c r="C72" s="1" t="str">
        <f>TEXT(Table1[[#This Row],[Date]], "MMM")</f>
        <v>Sep</v>
      </c>
      <c r="D72" s="1" t="str">
        <f>TEXT(Table1[[#This Row],[Date]], "YYYY")</f>
        <v>2024</v>
      </c>
      <c r="E72" t="s">
        <v>312</v>
      </c>
      <c r="F72" t="s">
        <v>315</v>
      </c>
      <c r="G72" t="s">
        <v>318</v>
      </c>
      <c r="H72">
        <v>1447.83</v>
      </c>
      <c r="I72">
        <v>9</v>
      </c>
      <c r="J72">
        <v>110.2</v>
      </c>
    </row>
    <row r="73" spans="1:10" x14ac:dyDescent="0.3">
      <c r="A73" t="s">
        <v>79</v>
      </c>
      <c r="B73" s="1">
        <v>44972</v>
      </c>
      <c r="C73" s="1" t="str">
        <f>TEXT(Table1[[#This Row],[Date]], "MMM")</f>
        <v>Feb</v>
      </c>
      <c r="D73" s="1" t="str">
        <f>TEXT(Table1[[#This Row],[Date]], "YYYY")</f>
        <v>2023</v>
      </c>
      <c r="E73" t="s">
        <v>310</v>
      </c>
      <c r="F73" t="s">
        <v>315</v>
      </c>
      <c r="G73" t="s">
        <v>319</v>
      </c>
      <c r="H73">
        <v>219.42</v>
      </c>
      <c r="I73">
        <v>7</v>
      </c>
      <c r="J73">
        <v>21.32</v>
      </c>
    </row>
    <row r="74" spans="1:10" x14ac:dyDescent="0.3">
      <c r="A74" t="s">
        <v>80</v>
      </c>
      <c r="B74" s="1">
        <v>45299</v>
      </c>
      <c r="C74" s="1" t="str">
        <f>TEXT(Table1[[#This Row],[Date]], "MMM")</f>
        <v>Jan</v>
      </c>
      <c r="D74" s="1" t="str">
        <f>TEXT(Table1[[#This Row],[Date]], "YYYY")</f>
        <v>2024</v>
      </c>
      <c r="E74" t="s">
        <v>313</v>
      </c>
      <c r="F74" t="s">
        <v>315</v>
      </c>
      <c r="G74" t="s">
        <v>317</v>
      </c>
      <c r="H74">
        <v>712.97</v>
      </c>
      <c r="I74">
        <v>7</v>
      </c>
      <c r="J74">
        <v>74.58</v>
      </c>
    </row>
    <row r="75" spans="1:10" x14ac:dyDescent="0.3">
      <c r="A75" t="s">
        <v>81</v>
      </c>
      <c r="B75" s="1">
        <v>45606</v>
      </c>
      <c r="C75" s="1" t="str">
        <f>TEXT(Table1[[#This Row],[Date]], "MMM")</f>
        <v>Nov</v>
      </c>
      <c r="D75" s="1" t="str">
        <f>TEXT(Table1[[#This Row],[Date]], "YYYY")</f>
        <v>2024</v>
      </c>
      <c r="E75" t="s">
        <v>312</v>
      </c>
      <c r="F75" t="s">
        <v>315</v>
      </c>
      <c r="G75" t="s">
        <v>319</v>
      </c>
      <c r="H75">
        <v>1418.79</v>
      </c>
      <c r="I75">
        <v>2</v>
      </c>
      <c r="J75">
        <v>581.41</v>
      </c>
    </row>
    <row r="76" spans="1:10" x14ac:dyDescent="0.3">
      <c r="A76" t="s">
        <v>82</v>
      </c>
      <c r="B76" s="1">
        <v>45261</v>
      </c>
      <c r="C76" s="1" t="str">
        <f>TEXT(Table1[[#This Row],[Date]], "MMM")</f>
        <v>Dec</v>
      </c>
      <c r="D76" s="1" t="str">
        <f>TEXT(Table1[[#This Row],[Date]], "YYYY")</f>
        <v>2023</v>
      </c>
      <c r="E76" t="s">
        <v>312</v>
      </c>
      <c r="F76" t="s">
        <v>315</v>
      </c>
      <c r="G76" t="s">
        <v>318</v>
      </c>
      <c r="H76">
        <v>5216.66</v>
      </c>
      <c r="I76">
        <v>7</v>
      </c>
      <c r="J76">
        <v>563.82000000000005</v>
      </c>
    </row>
    <row r="77" spans="1:10" x14ac:dyDescent="0.3">
      <c r="A77" t="s">
        <v>83</v>
      </c>
      <c r="B77" s="1">
        <v>45607</v>
      </c>
      <c r="C77" s="1" t="str">
        <f>TEXT(Table1[[#This Row],[Date]], "MMM")</f>
        <v>Nov</v>
      </c>
      <c r="D77" s="1" t="str">
        <f>TEXT(Table1[[#This Row],[Date]], "YYYY")</f>
        <v>2024</v>
      </c>
      <c r="E77" t="s">
        <v>310</v>
      </c>
      <c r="F77" t="s">
        <v>315</v>
      </c>
      <c r="G77" t="s">
        <v>318</v>
      </c>
      <c r="H77">
        <v>5608.04</v>
      </c>
      <c r="I77">
        <v>7</v>
      </c>
      <c r="J77">
        <v>548.30999999999995</v>
      </c>
    </row>
    <row r="78" spans="1:10" x14ac:dyDescent="0.3">
      <c r="A78" t="s">
        <v>84</v>
      </c>
      <c r="B78" s="1">
        <v>45342</v>
      </c>
      <c r="C78" s="1" t="str">
        <f>TEXT(Table1[[#This Row],[Date]], "MMM")</f>
        <v>Feb</v>
      </c>
      <c r="D78" s="1" t="str">
        <f>TEXT(Table1[[#This Row],[Date]], "YYYY")</f>
        <v>2024</v>
      </c>
      <c r="E78" t="s">
        <v>313</v>
      </c>
      <c r="F78" t="s">
        <v>315</v>
      </c>
      <c r="G78" t="s">
        <v>319</v>
      </c>
      <c r="H78">
        <v>7369.35</v>
      </c>
      <c r="I78">
        <v>9</v>
      </c>
      <c r="J78">
        <v>670.31</v>
      </c>
    </row>
    <row r="79" spans="1:10" x14ac:dyDescent="0.3">
      <c r="A79" t="s">
        <v>85</v>
      </c>
      <c r="B79" s="1">
        <v>45520</v>
      </c>
      <c r="C79" s="1" t="str">
        <f>TEXT(Table1[[#This Row],[Date]], "MMM")</f>
        <v>Aug</v>
      </c>
      <c r="D79" s="1" t="str">
        <f>TEXT(Table1[[#This Row],[Date]], "YYYY")</f>
        <v>2024</v>
      </c>
      <c r="E79" t="s">
        <v>310</v>
      </c>
      <c r="F79" t="s">
        <v>315</v>
      </c>
      <c r="G79" t="s">
        <v>318</v>
      </c>
      <c r="H79">
        <v>6824.39</v>
      </c>
      <c r="I79">
        <v>10</v>
      </c>
      <c r="J79">
        <v>530.66999999999996</v>
      </c>
    </row>
    <row r="80" spans="1:10" x14ac:dyDescent="0.3">
      <c r="A80" t="s">
        <v>86</v>
      </c>
      <c r="B80" s="1">
        <v>45450</v>
      </c>
      <c r="C80" s="1" t="str">
        <f>TEXT(Table1[[#This Row],[Date]], "MMM")</f>
        <v>Jun</v>
      </c>
      <c r="D80" s="1" t="str">
        <f>TEXT(Table1[[#This Row],[Date]], "YYYY")</f>
        <v>2024</v>
      </c>
      <c r="E80" t="s">
        <v>311</v>
      </c>
      <c r="F80" t="s">
        <v>314</v>
      </c>
      <c r="G80" t="s">
        <v>317</v>
      </c>
      <c r="H80">
        <v>7587.17</v>
      </c>
      <c r="I80">
        <v>8</v>
      </c>
      <c r="J80">
        <v>639.11</v>
      </c>
    </row>
    <row r="81" spans="1:10" x14ac:dyDescent="0.3">
      <c r="A81" t="s">
        <v>87</v>
      </c>
      <c r="B81" s="1">
        <v>45601</v>
      </c>
      <c r="C81" s="1" t="str">
        <f>TEXT(Table1[[#This Row],[Date]], "MMM")</f>
        <v>Nov</v>
      </c>
      <c r="D81" s="1" t="str">
        <f>TEXT(Table1[[#This Row],[Date]], "YYYY")</f>
        <v>2024</v>
      </c>
      <c r="E81" t="s">
        <v>308</v>
      </c>
      <c r="F81" t="s">
        <v>314</v>
      </c>
      <c r="G81" t="s">
        <v>317</v>
      </c>
      <c r="H81">
        <v>659.15</v>
      </c>
      <c r="I81">
        <v>2</v>
      </c>
      <c r="J81">
        <v>241.35</v>
      </c>
    </row>
    <row r="82" spans="1:10" x14ac:dyDescent="0.3">
      <c r="A82" t="s">
        <v>88</v>
      </c>
      <c r="B82" s="1">
        <v>45022</v>
      </c>
      <c r="C82" s="1" t="str">
        <f>TEXT(Table1[[#This Row],[Date]], "MMM")</f>
        <v>Apr</v>
      </c>
      <c r="D82" s="1" t="str">
        <f>TEXT(Table1[[#This Row],[Date]], "YYYY")</f>
        <v>2023</v>
      </c>
      <c r="E82" t="s">
        <v>313</v>
      </c>
      <c r="F82" t="s">
        <v>315</v>
      </c>
      <c r="G82" t="s">
        <v>319</v>
      </c>
      <c r="H82">
        <v>2592.84</v>
      </c>
      <c r="I82">
        <v>4</v>
      </c>
      <c r="J82">
        <v>544.78</v>
      </c>
    </row>
    <row r="83" spans="1:10" x14ac:dyDescent="0.3">
      <c r="A83" t="s">
        <v>89</v>
      </c>
      <c r="B83" s="1">
        <v>44952</v>
      </c>
      <c r="C83" s="1" t="str">
        <f>TEXT(Table1[[#This Row],[Date]], "MMM")</f>
        <v>Jan</v>
      </c>
      <c r="D83" s="1" t="str">
        <f>TEXT(Table1[[#This Row],[Date]], "YYYY")</f>
        <v>2023</v>
      </c>
      <c r="E83" t="s">
        <v>310</v>
      </c>
      <c r="F83" t="s">
        <v>315</v>
      </c>
      <c r="G83" t="s">
        <v>317</v>
      </c>
      <c r="H83">
        <v>272.18</v>
      </c>
      <c r="I83">
        <v>1</v>
      </c>
      <c r="J83">
        <v>210.98</v>
      </c>
    </row>
    <row r="84" spans="1:10" x14ac:dyDescent="0.3">
      <c r="A84" t="s">
        <v>90</v>
      </c>
      <c r="B84" s="1">
        <v>45351</v>
      </c>
      <c r="C84" s="1" t="str">
        <f>TEXT(Table1[[#This Row],[Date]], "MMM")</f>
        <v>Feb</v>
      </c>
      <c r="D84" s="1" t="str">
        <f>TEXT(Table1[[#This Row],[Date]], "YYYY")</f>
        <v>2024</v>
      </c>
      <c r="E84" t="s">
        <v>309</v>
      </c>
      <c r="F84" t="s">
        <v>314</v>
      </c>
      <c r="G84" t="s">
        <v>318</v>
      </c>
      <c r="H84">
        <v>2366.4</v>
      </c>
      <c r="I84">
        <v>10</v>
      </c>
      <c r="J84">
        <v>171.66</v>
      </c>
    </row>
    <row r="85" spans="1:10" x14ac:dyDescent="0.3">
      <c r="A85" t="s">
        <v>91</v>
      </c>
      <c r="B85" s="1">
        <v>45176</v>
      </c>
      <c r="C85" s="1" t="str">
        <f>TEXT(Table1[[#This Row],[Date]], "MMM")</f>
        <v>Sep</v>
      </c>
      <c r="D85" s="1" t="str">
        <f>TEXT(Table1[[#This Row],[Date]], "YYYY")</f>
        <v>2023</v>
      </c>
      <c r="E85" t="s">
        <v>311</v>
      </c>
      <c r="F85" t="s">
        <v>314</v>
      </c>
      <c r="G85" t="s">
        <v>318</v>
      </c>
      <c r="H85">
        <v>1758.25</v>
      </c>
      <c r="I85">
        <v>3</v>
      </c>
      <c r="J85">
        <v>531.73</v>
      </c>
    </row>
    <row r="86" spans="1:10" x14ac:dyDescent="0.3">
      <c r="A86" t="s">
        <v>92</v>
      </c>
      <c r="B86" s="1">
        <v>45151</v>
      </c>
      <c r="C86" s="1" t="str">
        <f>TEXT(Table1[[#This Row],[Date]], "MMM")</f>
        <v>Aug</v>
      </c>
      <c r="D86" s="1" t="str">
        <f>TEXT(Table1[[#This Row],[Date]], "YYYY")</f>
        <v>2023</v>
      </c>
      <c r="E86" t="s">
        <v>309</v>
      </c>
      <c r="F86" t="s">
        <v>314</v>
      </c>
      <c r="G86" t="s">
        <v>318</v>
      </c>
      <c r="H86">
        <v>2676.27</v>
      </c>
      <c r="I86">
        <v>3</v>
      </c>
      <c r="J86">
        <v>647.21</v>
      </c>
    </row>
    <row r="87" spans="1:10" x14ac:dyDescent="0.3">
      <c r="A87" t="s">
        <v>93</v>
      </c>
      <c r="B87" s="1">
        <v>45497</v>
      </c>
      <c r="C87" s="1" t="str">
        <f>TEXT(Table1[[#This Row],[Date]], "MMM")</f>
        <v>Jul</v>
      </c>
      <c r="D87" s="1" t="str">
        <f>TEXT(Table1[[#This Row],[Date]], "YYYY")</f>
        <v>2024</v>
      </c>
      <c r="E87" t="s">
        <v>311</v>
      </c>
      <c r="F87" t="s">
        <v>314</v>
      </c>
      <c r="G87" t="s">
        <v>316</v>
      </c>
      <c r="H87">
        <v>3379.61</v>
      </c>
      <c r="I87">
        <v>4</v>
      </c>
      <c r="J87">
        <v>735.63</v>
      </c>
    </row>
    <row r="88" spans="1:10" x14ac:dyDescent="0.3">
      <c r="A88" t="s">
        <v>94</v>
      </c>
      <c r="B88" s="1">
        <v>45610</v>
      </c>
      <c r="C88" s="1" t="str">
        <f>TEXT(Table1[[#This Row],[Date]], "MMM")</f>
        <v>Nov</v>
      </c>
      <c r="D88" s="1" t="str">
        <f>TEXT(Table1[[#This Row],[Date]], "YYYY")</f>
        <v>2024</v>
      </c>
      <c r="E88" t="s">
        <v>310</v>
      </c>
      <c r="F88" t="s">
        <v>315</v>
      </c>
      <c r="G88" t="s">
        <v>318</v>
      </c>
      <c r="H88">
        <v>9521.2099999999991</v>
      </c>
      <c r="I88">
        <v>9</v>
      </c>
      <c r="J88">
        <v>790.56</v>
      </c>
    </row>
    <row r="89" spans="1:10" x14ac:dyDescent="0.3">
      <c r="A89" t="s">
        <v>95</v>
      </c>
      <c r="B89" s="1">
        <v>45488</v>
      </c>
      <c r="C89" s="1" t="str">
        <f>TEXT(Table1[[#This Row],[Date]], "MMM")</f>
        <v>Jul</v>
      </c>
      <c r="D89" s="1" t="str">
        <f>TEXT(Table1[[#This Row],[Date]], "YYYY")</f>
        <v>2024</v>
      </c>
      <c r="E89" t="s">
        <v>311</v>
      </c>
      <c r="F89" t="s">
        <v>314</v>
      </c>
      <c r="G89" t="s">
        <v>318</v>
      </c>
      <c r="H89">
        <v>8047.37</v>
      </c>
      <c r="I89">
        <v>8</v>
      </c>
      <c r="J89">
        <v>719.82</v>
      </c>
    </row>
    <row r="90" spans="1:10" x14ac:dyDescent="0.3">
      <c r="A90" t="s">
        <v>96</v>
      </c>
      <c r="B90" s="1">
        <v>45192</v>
      </c>
      <c r="C90" s="1" t="str">
        <f>TEXT(Table1[[#This Row],[Date]], "MMM")</f>
        <v>Sep</v>
      </c>
      <c r="D90" s="1" t="str">
        <f>TEXT(Table1[[#This Row],[Date]], "YYYY")</f>
        <v>2023</v>
      </c>
      <c r="E90" t="s">
        <v>311</v>
      </c>
      <c r="F90" t="s">
        <v>314</v>
      </c>
      <c r="G90" t="s">
        <v>318</v>
      </c>
      <c r="H90">
        <v>3269.93</v>
      </c>
      <c r="I90">
        <v>4</v>
      </c>
      <c r="J90">
        <v>675.09</v>
      </c>
    </row>
    <row r="91" spans="1:10" x14ac:dyDescent="0.3">
      <c r="A91" t="s">
        <v>97</v>
      </c>
      <c r="B91" s="1">
        <v>45568</v>
      </c>
      <c r="C91" s="1" t="str">
        <f>TEXT(Table1[[#This Row],[Date]], "MMM")</f>
        <v>Oct</v>
      </c>
      <c r="D91" s="1" t="str">
        <f>TEXT(Table1[[#This Row],[Date]], "YYYY")</f>
        <v>2024</v>
      </c>
      <c r="E91" t="s">
        <v>313</v>
      </c>
      <c r="F91" t="s">
        <v>315</v>
      </c>
      <c r="G91" t="s">
        <v>318</v>
      </c>
      <c r="H91">
        <v>1059.47</v>
      </c>
      <c r="I91">
        <v>4</v>
      </c>
      <c r="J91">
        <v>234.19</v>
      </c>
    </row>
    <row r="92" spans="1:10" x14ac:dyDescent="0.3">
      <c r="A92" t="s">
        <v>98</v>
      </c>
      <c r="B92" s="1">
        <v>45205</v>
      </c>
      <c r="C92" s="1" t="str">
        <f>TEXT(Table1[[#This Row],[Date]], "MMM")</f>
        <v>Oct</v>
      </c>
      <c r="D92" s="1" t="str">
        <f>TEXT(Table1[[#This Row],[Date]], "YYYY")</f>
        <v>2023</v>
      </c>
      <c r="E92" t="s">
        <v>312</v>
      </c>
      <c r="F92" t="s">
        <v>315</v>
      </c>
      <c r="G92" t="s">
        <v>317</v>
      </c>
      <c r="H92">
        <v>2127.04</v>
      </c>
      <c r="I92">
        <v>6</v>
      </c>
      <c r="J92">
        <v>269.37</v>
      </c>
    </row>
    <row r="93" spans="1:10" x14ac:dyDescent="0.3">
      <c r="A93" t="s">
        <v>99</v>
      </c>
      <c r="B93" s="1">
        <v>45163</v>
      </c>
      <c r="C93" s="1" t="str">
        <f>TEXT(Table1[[#This Row],[Date]], "MMM")</f>
        <v>Aug</v>
      </c>
      <c r="D93" s="1" t="str">
        <f>TEXT(Table1[[#This Row],[Date]], "YYYY")</f>
        <v>2023</v>
      </c>
      <c r="E93" t="s">
        <v>310</v>
      </c>
      <c r="F93" t="s">
        <v>315</v>
      </c>
      <c r="G93" t="s">
        <v>317</v>
      </c>
      <c r="H93">
        <v>5432.05</v>
      </c>
      <c r="I93">
        <v>7</v>
      </c>
      <c r="J93">
        <v>561.28</v>
      </c>
    </row>
    <row r="94" spans="1:10" x14ac:dyDescent="0.3">
      <c r="A94" t="s">
        <v>100</v>
      </c>
      <c r="B94" s="1">
        <v>45344</v>
      </c>
      <c r="C94" s="1" t="str">
        <f>TEXT(Table1[[#This Row],[Date]], "MMM")</f>
        <v>Feb</v>
      </c>
      <c r="D94" s="1" t="str">
        <f>TEXT(Table1[[#This Row],[Date]], "YYYY")</f>
        <v>2024</v>
      </c>
      <c r="E94" t="s">
        <v>309</v>
      </c>
      <c r="F94" t="s">
        <v>314</v>
      </c>
      <c r="G94" t="s">
        <v>318</v>
      </c>
      <c r="H94">
        <v>3367.67</v>
      </c>
      <c r="I94">
        <v>6</v>
      </c>
      <c r="J94">
        <v>443.24</v>
      </c>
    </row>
    <row r="95" spans="1:10" x14ac:dyDescent="0.3">
      <c r="A95" t="s">
        <v>101</v>
      </c>
      <c r="B95" s="1">
        <v>45325</v>
      </c>
      <c r="C95" s="1" t="str">
        <f>TEXT(Table1[[#This Row],[Date]], "MMM")</f>
        <v>Feb</v>
      </c>
      <c r="D95" s="1" t="str">
        <f>TEXT(Table1[[#This Row],[Date]], "YYYY")</f>
        <v>2024</v>
      </c>
      <c r="E95" t="s">
        <v>310</v>
      </c>
      <c r="F95" t="s">
        <v>315</v>
      </c>
      <c r="G95" t="s">
        <v>318</v>
      </c>
      <c r="H95">
        <v>8396.4500000000007</v>
      </c>
      <c r="I95">
        <v>10</v>
      </c>
      <c r="J95">
        <v>757.93</v>
      </c>
    </row>
    <row r="96" spans="1:10" x14ac:dyDescent="0.3">
      <c r="A96" t="s">
        <v>102</v>
      </c>
      <c r="B96" s="1">
        <v>45415</v>
      </c>
      <c r="C96" s="1" t="str">
        <f>TEXT(Table1[[#This Row],[Date]], "MMM")</f>
        <v>May</v>
      </c>
      <c r="D96" s="1" t="str">
        <f>TEXT(Table1[[#This Row],[Date]], "YYYY")</f>
        <v>2024</v>
      </c>
      <c r="E96" t="s">
        <v>313</v>
      </c>
      <c r="F96" t="s">
        <v>315</v>
      </c>
      <c r="G96" t="s">
        <v>318</v>
      </c>
      <c r="H96">
        <v>921.1</v>
      </c>
      <c r="I96">
        <v>1</v>
      </c>
      <c r="J96">
        <v>755.34</v>
      </c>
    </row>
    <row r="97" spans="1:10" x14ac:dyDescent="0.3">
      <c r="A97" t="s">
        <v>103</v>
      </c>
      <c r="B97" s="1">
        <v>45478</v>
      </c>
      <c r="C97" s="1" t="str">
        <f>TEXT(Table1[[#This Row],[Date]], "MMM")</f>
        <v>Jul</v>
      </c>
      <c r="D97" s="1" t="str">
        <f>TEXT(Table1[[#This Row],[Date]], "YYYY")</f>
        <v>2024</v>
      </c>
      <c r="E97" t="s">
        <v>311</v>
      </c>
      <c r="F97" t="s">
        <v>314</v>
      </c>
      <c r="G97" t="s">
        <v>318</v>
      </c>
      <c r="H97">
        <v>8455.77</v>
      </c>
      <c r="I97">
        <v>9</v>
      </c>
      <c r="J97">
        <v>643.9</v>
      </c>
    </row>
    <row r="98" spans="1:10" x14ac:dyDescent="0.3">
      <c r="A98" t="s">
        <v>104</v>
      </c>
      <c r="B98" s="1">
        <v>45206</v>
      </c>
      <c r="C98" s="1" t="str">
        <f>TEXT(Table1[[#This Row],[Date]], "MMM")</f>
        <v>Oct</v>
      </c>
      <c r="D98" s="1" t="str">
        <f>TEXT(Table1[[#This Row],[Date]], "YYYY")</f>
        <v>2023</v>
      </c>
      <c r="E98" t="s">
        <v>311</v>
      </c>
      <c r="F98" t="s">
        <v>314</v>
      </c>
      <c r="G98" t="s">
        <v>317</v>
      </c>
      <c r="H98">
        <v>3504.97</v>
      </c>
      <c r="I98">
        <v>7</v>
      </c>
      <c r="J98">
        <v>398.8</v>
      </c>
    </row>
    <row r="99" spans="1:10" x14ac:dyDescent="0.3">
      <c r="A99" t="s">
        <v>105</v>
      </c>
      <c r="B99" s="1">
        <v>45096</v>
      </c>
      <c r="C99" s="1" t="str">
        <f>TEXT(Table1[[#This Row],[Date]], "MMM")</f>
        <v>Jun</v>
      </c>
      <c r="D99" s="1" t="str">
        <f>TEXT(Table1[[#This Row],[Date]], "YYYY")</f>
        <v>2023</v>
      </c>
      <c r="E99" t="s">
        <v>308</v>
      </c>
      <c r="F99" t="s">
        <v>314</v>
      </c>
      <c r="G99" t="s">
        <v>318</v>
      </c>
      <c r="H99">
        <v>8801.4</v>
      </c>
      <c r="I99">
        <v>8</v>
      </c>
      <c r="J99">
        <v>737.24</v>
      </c>
    </row>
    <row r="100" spans="1:10" x14ac:dyDescent="0.3">
      <c r="A100" t="s">
        <v>106</v>
      </c>
      <c r="B100" s="1">
        <v>45330</v>
      </c>
      <c r="C100" s="1" t="str">
        <f>TEXT(Table1[[#This Row],[Date]], "MMM")</f>
        <v>Feb</v>
      </c>
      <c r="D100" s="1" t="str">
        <f>TEXT(Table1[[#This Row],[Date]], "YYYY")</f>
        <v>2024</v>
      </c>
      <c r="E100" t="s">
        <v>313</v>
      </c>
      <c r="F100" t="s">
        <v>315</v>
      </c>
      <c r="G100" t="s">
        <v>316</v>
      </c>
      <c r="H100">
        <v>5112.42</v>
      </c>
      <c r="I100">
        <v>10</v>
      </c>
      <c r="J100">
        <v>460.23</v>
      </c>
    </row>
    <row r="101" spans="1:10" x14ac:dyDescent="0.3">
      <c r="A101" t="s">
        <v>107</v>
      </c>
      <c r="B101" s="1">
        <v>45065</v>
      </c>
      <c r="C101" s="1" t="str">
        <f>TEXT(Table1[[#This Row],[Date]], "MMM")</f>
        <v>May</v>
      </c>
      <c r="D101" s="1" t="str">
        <f>TEXT(Table1[[#This Row],[Date]], "YYYY")</f>
        <v>2023</v>
      </c>
      <c r="E101" t="s">
        <v>308</v>
      </c>
      <c r="F101" t="s">
        <v>314</v>
      </c>
      <c r="G101" t="s">
        <v>318</v>
      </c>
      <c r="H101">
        <v>1558.06</v>
      </c>
      <c r="I101">
        <v>8</v>
      </c>
      <c r="J101">
        <v>161.75</v>
      </c>
    </row>
    <row r="102" spans="1:10" x14ac:dyDescent="0.3">
      <c r="A102" t="s">
        <v>108</v>
      </c>
      <c r="B102" s="1">
        <v>45392</v>
      </c>
      <c r="C102" s="1" t="str">
        <f>TEXT(Table1[[#This Row],[Date]], "MMM")</f>
        <v>Apr</v>
      </c>
      <c r="D102" s="1" t="str">
        <f>TEXT(Table1[[#This Row],[Date]], "YYYY")</f>
        <v>2024</v>
      </c>
      <c r="E102" t="s">
        <v>312</v>
      </c>
      <c r="F102" t="s">
        <v>315</v>
      </c>
      <c r="G102" t="s">
        <v>317</v>
      </c>
      <c r="H102">
        <v>2467.4299999999998</v>
      </c>
      <c r="I102">
        <v>6</v>
      </c>
      <c r="J102">
        <v>283.25</v>
      </c>
    </row>
    <row r="103" spans="1:10" x14ac:dyDescent="0.3">
      <c r="A103" t="s">
        <v>109</v>
      </c>
      <c r="B103" s="1">
        <v>45185</v>
      </c>
      <c r="C103" s="1" t="str">
        <f>TEXT(Table1[[#This Row],[Date]], "MMM")</f>
        <v>Sep</v>
      </c>
      <c r="D103" s="1" t="str">
        <f>TEXT(Table1[[#This Row],[Date]], "YYYY")</f>
        <v>2023</v>
      </c>
      <c r="E103" t="s">
        <v>312</v>
      </c>
      <c r="F103" t="s">
        <v>315</v>
      </c>
      <c r="G103" t="s">
        <v>318</v>
      </c>
      <c r="H103">
        <v>1082.8499999999999</v>
      </c>
      <c r="I103">
        <v>2</v>
      </c>
      <c r="J103">
        <v>386.84</v>
      </c>
    </row>
    <row r="104" spans="1:10" x14ac:dyDescent="0.3">
      <c r="A104" t="s">
        <v>110</v>
      </c>
      <c r="B104" s="1">
        <v>45156</v>
      </c>
      <c r="C104" s="1" t="str">
        <f>TEXT(Table1[[#This Row],[Date]], "MMM")</f>
        <v>Aug</v>
      </c>
      <c r="D104" s="1" t="str">
        <f>TEXT(Table1[[#This Row],[Date]], "YYYY")</f>
        <v>2023</v>
      </c>
      <c r="E104" t="s">
        <v>309</v>
      </c>
      <c r="F104" t="s">
        <v>314</v>
      </c>
      <c r="G104" t="s">
        <v>319</v>
      </c>
      <c r="H104">
        <v>1712.74</v>
      </c>
      <c r="I104">
        <v>2</v>
      </c>
      <c r="J104">
        <v>629.36</v>
      </c>
    </row>
    <row r="105" spans="1:10" x14ac:dyDescent="0.3">
      <c r="A105" t="s">
        <v>111</v>
      </c>
      <c r="B105" s="1">
        <v>45131</v>
      </c>
      <c r="C105" s="1" t="str">
        <f>TEXT(Table1[[#This Row],[Date]], "MMM")</f>
        <v>Jul</v>
      </c>
      <c r="D105" s="1" t="str">
        <f>TEXT(Table1[[#This Row],[Date]], "YYYY")</f>
        <v>2023</v>
      </c>
      <c r="E105" t="s">
        <v>309</v>
      </c>
      <c r="F105" t="s">
        <v>314</v>
      </c>
      <c r="G105" t="s">
        <v>317</v>
      </c>
      <c r="H105">
        <v>603.26</v>
      </c>
      <c r="I105">
        <v>1</v>
      </c>
      <c r="J105">
        <v>504.64</v>
      </c>
    </row>
    <row r="106" spans="1:10" x14ac:dyDescent="0.3">
      <c r="A106" t="s">
        <v>112</v>
      </c>
      <c r="B106" s="1">
        <v>45504</v>
      </c>
      <c r="C106" s="1" t="str">
        <f>TEXT(Table1[[#This Row],[Date]], "MMM")</f>
        <v>Jul</v>
      </c>
      <c r="D106" s="1" t="str">
        <f>TEXT(Table1[[#This Row],[Date]], "YYYY")</f>
        <v>2024</v>
      </c>
      <c r="E106" t="s">
        <v>311</v>
      </c>
      <c r="F106" t="s">
        <v>314</v>
      </c>
      <c r="G106" t="s">
        <v>316</v>
      </c>
      <c r="H106">
        <v>1840.93</v>
      </c>
      <c r="I106">
        <v>4</v>
      </c>
      <c r="J106">
        <v>382.73</v>
      </c>
    </row>
    <row r="107" spans="1:10" x14ac:dyDescent="0.3">
      <c r="A107" t="s">
        <v>113</v>
      </c>
      <c r="B107" s="1">
        <v>45547</v>
      </c>
      <c r="C107" s="1" t="str">
        <f>TEXT(Table1[[#This Row],[Date]], "MMM")</f>
        <v>Sep</v>
      </c>
      <c r="D107" s="1" t="str">
        <f>TEXT(Table1[[#This Row],[Date]], "YYYY")</f>
        <v>2024</v>
      </c>
      <c r="E107" t="s">
        <v>312</v>
      </c>
      <c r="F107" t="s">
        <v>315</v>
      </c>
      <c r="G107" t="s">
        <v>317</v>
      </c>
      <c r="H107">
        <v>10706.26</v>
      </c>
      <c r="I107">
        <v>10</v>
      </c>
      <c r="J107">
        <v>771.71</v>
      </c>
    </row>
    <row r="108" spans="1:10" x14ac:dyDescent="0.3">
      <c r="A108" t="s">
        <v>114</v>
      </c>
      <c r="B108" s="1">
        <v>45037</v>
      </c>
      <c r="C108" s="1" t="str">
        <f>TEXT(Table1[[#This Row],[Date]], "MMM")</f>
        <v>Apr</v>
      </c>
      <c r="D108" s="1" t="str">
        <f>TEXT(Table1[[#This Row],[Date]], "YYYY")</f>
        <v>2023</v>
      </c>
      <c r="E108" t="s">
        <v>310</v>
      </c>
      <c r="F108" t="s">
        <v>315</v>
      </c>
      <c r="G108" t="s">
        <v>319</v>
      </c>
      <c r="H108">
        <v>490.28</v>
      </c>
      <c r="I108">
        <v>10</v>
      </c>
      <c r="J108">
        <v>40.03</v>
      </c>
    </row>
    <row r="109" spans="1:10" x14ac:dyDescent="0.3">
      <c r="A109" t="s">
        <v>115</v>
      </c>
      <c r="B109" s="1">
        <v>45333</v>
      </c>
      <c r="C109" s="1" t="str">
        <f>TEXT(Table1[[#This Row],[Date]], "MMM")</f>
        <v>Feb</v>
      </c>
      <c r="D109" s="1" t="str">
        <f>TEXT(Table1[[#This Row],[Date]], "YYYY")</f>
        <v>2024</v>
      </c>
      <c r="E109" t="s">
        <v>308</v>
      </c>
      <c r="F109" t="s">
        <v>314</v>
      </c>
      <c r="G109" t="s">
        <v>318</v>
      </c>
      <c r="H109">
        <v>436.44</v>
      </c>
      <c r="I109">
        <v>4</v>
      </c>
      <c r="J109">
        <v>79.28</v>
      </c>
    </row>
    <row r="110" spans="1:10" x14ac:dyDescent="0.3">
      <c r="A110" t="s">
        <v>116</v>
      </c>
      <c r="B110" s="1">
        <v>45031</v>
      </c>
      <c r="C110" s="1" t="str">
        <f>TEXT(Table1[[#This Row],[Date]], "MMM")</f>
        <v>Apr</v>
      </c>
      <c r="D110" s="1" t="str">
        <f>TEXT(Table1[[#This Row],[Date]], "YYYY")</f>
        <v>2023</v>
      </c>
      <c r="E110" t="s">
        <v>308</v>
      </c>
      <c r="F110" t="s">
        <v>314</v>
      </c>
      <c r="G110" t="s">
        <v>317</v>
      </c>
      <c r="H110">
        <v>4578.2</v>
      </c>
      <c r="I110">
        <v>5</v>
      </c>
      <c r="J110">
        <v>683.23</v>
      </c>
    </row>
    <row r="111" spans="1:10" x14ac:dyDescent="0.3">
      <c r="A111" t="s">
        <v>117</v>
      </c>
      <c r="B111" s="1">
        <v>45282</v>
      </c>
      <c r="C111" s="1" t="str">
        <f>TEXT(Table1[[#This Row],[Date]], "MMM")</f>
        <v>Dec</v>
      </c>
      <c r="D111" s="1" t="str">
        <f>TEXT(Table1[[#This Row],[Date]], "YYYY")</f>
        <v>2023</v>
      </c>
      <c r="E111" t="s">
        <v>309</v>
      </c>
      <c r="F111" t="s">
        <v>314</v>
      </c>
      <c r="G111" t="s">
        <v>316</v>
      </c>
      <c r="H111">
        <v>3978.32</v>
      </c>
      <c r="I111">
        <v>9</v>
      </c>
      <c r="J111">
        <v>354.13</v>
      </c>
    </row>
    <row r="112" spans="1:10" x14ac:dyDescent="0.3">
      <c r="A112" t="s">
        <v>118</v>
      </c>
      <c r="B112" s="1">
        <v>44939</v>
      </c>
      <c r="C112" s="1" t="str">
        <f>TEXT(Table1[[#This Row],[Date]], "MMM")</f>
        <v>Jan</v>
      </c>
      <c r="D112" s="1" t="str">
        <f>TEXT(Table1[[#This Row],[Date]], "YYYY")</f>
        <v>2023</v>
      </c>
      <c r="E112" t="s">
        <v>313</v>
      </c>
      <c r="F112" t="s">
        <v>315</v>
      </c>
      <c r="G112" t="s">
        <v>319</v>
      </c>
      <c r="H112">
        <v>5288.39</v>
      </c>
      <c r="I112">
        <v>7</v>
      </c>
      <c r="J112">
        <v>661.42</v>
      </c>
    </row>
    <row r="113" spans="1:10" x14ac:dyDescent="0.3">
      <c r="A113" t="s">
        <v>119</v>
      </c>
      <c r="B113" s="1">
        <v>45651</v>
      </c>
      <c r="C113" s="1" t="str">
        <f>TEXT(Table1[[#This Row],[Date]], "MMM")</f>
        <v>Dec</v>
      </c>
      <c r="D113" s="1" t="str">
        <f>TEXT(Table1[[#This Row],[Date]], "YYYY")</f>
        <v>2024</v>
      </c>
      <c r="E113" t="s">
        <v>312</v>
      </c>
      <c r="F113" t="s">
        <v>315</v>
      </c>
      <c r="G113" t="s">
        <v>318</v>
      </c>
      <c r="H113">
        <v>1503.66</v>
      </c>
      <c r="I113">
        <v>3</v>
      </c>
      <c r="J113">
        <v>359.68</v>
      </c>
    </row>
    <row r="114" spans="1:10" x14ac:dyDescent="0.3">
      <c r="A114" t="s">
        <v>120</v>
      </c>
      <c r="B114" s="1">
        <v>45557</v>
      </c>
      <c r="C114" s="1" t="str">
        <f>TEXT(Table1[[#This Row],[Date]], "MMM")</f>
        <v>Sep</v>
      </c>
      <c r="D114" s="1" t="str">
        <f>TEXT(Table1[[#This Row],[Date]], "YYYY")</f>
        <v>2024</v>
      </c>
      <c r="E114" t="s">
        <v>308</v>
      </c>
      <c r="F114" t="s">
        <v>314</v>
      </c>
      <c r="G114" t="s">
        <v>319</v>
      </c>
      <c r="H114">
        <v>7224.44</v>
      </c>
      <c r="I114">
        <v>9</v>
      </c>
      <c r="J114">
        <v>624.22</v>
      </c>
    </row>
    <row r="115" spans="1:10" x14ac:dyDescent="0.3">
      <c r="A115" t="s">
        <v>121</v>
      </c>
      <c r="B115" s="1">
        <v>45257</v>
      </c>
      <c r="C115" s="1" t="str">
        <f>TEXT(Table1[[#This Row],[Date]], "MMM")</f>
        <v>Nov</v>
      </c>
      <c r="D115" s="1" t="str">
        <f>TEXT(Table1[[#This Row],[Date]], "YYYY")</f>
        <v>2023</v>
      </c>
      <c r="E115" t="s">
        <v>308</v>
      </c>
      <c r="F115" t="s">
        <v>314</v>
      </c>
      <c r="G115" t="s">
        <v>319</v>
      </c>
      <c r="H115">
        <v>3031.69</v>
      </c>
      <c r="I115">
        <v>4</v>
      </c>
      <c r="J115">
        <v>667.97</v>
      </c>
    </row>
    <row r="116" spans="1:10" x14ac:dyDescent="0.3">
      <c r="A116" t="s">
        <v>122</v>
      </c>
      <c r="B116" s="1">
        <v>45402</v>
      </c>
      <c r="C116" s="1" t="str">
        <f>TEXT(Table1[[#This Row],[Date]], "MMM")</f>
        <v>Apr</v>
      </c>
      <c r="D116" s="1" t="str">
        <f>TEXT(Table1[[#This Row],[Date]], "YYYY")</f>
        <v>2024</v>
      </c>
      <c r="E116" t="s">
        <v>311</v>
      </c>
      <c r="F116" t="s">
        <v>314</v>
      </c>
      <c r="G116" t="s">
        <v>317</v>
      </c>
      <c r="H116">
        <v>6208.67</v>
      </c>
      <c r="I116">
        <v>10</v>
      </c>
      <c r="J116">
        <v>496.06</v>
      </c>
    </row>
    <row r="117" spans="1:10" x14ac:dyDescent="0.3">
      <c r="A117" t="s">
        <v>123</v>
      </c>
      <c r="B117" s="1">
        <v>45259</v>
      </c>
      <c r="C117" s="1" t="str">
        <f>TEXT(Table1[[#This Row],[Date]], "MMM")</f>
        <v>Nov</v>
      </c>
      <c r="D117" s="1" t="str">
        <f>TEXT(Table1[[#This Row],[Date]], "YYYY")</f>
        <v>2023</v>
      </c>
      <c r="E117" t="s">
        <v>309</v>
      </c>
      <c r="F117" t="s">
        <v>314</v>
      </c>
      <c r="G117" t="s">
        <v>318</v>
      </c>
      <c r="H117">
        <v>1491.4</v>
      </c>
      <c r="I117">
        <v>3</v>
      </c>
      <c r="J117">
        <v>400.29</v>
      </c>
    </row>
    <row r="118" spans="1:10" x14ac:dyDescent="0.3">
      <c r="A118" t="s">
        <v>124</v>
      </c>
      <c r="B118" s="1">
        <v>45213</v>
      </c>
      <c r="C118" s="1" t="str">
        <f>TEXT(Table1[[#This Row],[Date]], "MMM")</f>
        <v>Oct</v>
      </c>
      <c r="D118" s="1" t="str">
        <f>TEXT(Table1[[#This Row],[Date]], "YYYY")</f>
        <v>2023</v>
      </c>
      <c r="E118" t="s">
        <v>312</v>
      </c>
      <c r="F118" t="s">
        <v>315</v>
      </c>
      <c r="G118" t="s">
        <v>319</v>
      </c>
      <c r="H118">
        <v>6862.61</v>
      </c>
      <c r="I118">
        <v>10</v>
      </c>
      <c r="J118">
        <v>566.91999999999996</v>
      </c>
    </row>
    <row r="119" spans="1:10" x14ac:dyDescent="0.3">
      <c r="A119" t="s">
        <v>125</v>
      </c>
      <c r="B119" s="1">
        <v>45014</v>
      </c>
      <c r="C119" s="1" t="str">
        <f>TEXT(Table1[[#This Row],[Date]], "MMM")</f>
        <v>Mar</v>
      </c>
      <c r="D119" s="1" t="str">
        <f>TEXT(Table1[[#This Row],[Date]], "YYYY")</f>
        <v>2023</v>
      </c>
      <c r="E119" t="s">
        <v>309</v>
      </c>
      <c r="F119" t="s">
        <v>314</v>
      </c>
      <c r="G119" t="s">
        <v>317</v>
      </c>
      <c r="H119">
        <v>3014</v>
      </c>
      <c r="I119">
        <v>4</v>
      </c>
      <c r="J119">
        <v>581.66</v>
      </c>
    </row>
    <row r="120" spans="1:10" x14ac:dyDescent="0.3">
      <c r="A120" t="s">
        <v>126</v>
      </c>
      <c r="B120" s="1">
        <v>45588</v>
      </c>
      <c r="C120" s="1" t="str">
        <f>TEXT(Table1[[#This Row],[Date]], "MMM")</f>
        <v>Oct</v>
      </c>
      <c r="D120" s="1" t="str">
        <f>TEXT(Table1[[#This Row],[Date]], "YYYY")</f>
        <v>2024</v>
      </c>
      <c r="E120" t="s">
        <v>310</v>
      </c>
      <c r="F120" t="s">
        <v>315</v>
      </c>
      <c r="G120" t="s">
        <v>318</v>
      </c>
      <c r="H120">
        <v>3272.7</v>
      </c>
      <c r="I120">
        <v>8</v>
      </c>
      <c r="J120">
        <v>369.58</v>
      </c>
    </row>
    <row r="121" spans="1:10" x14ac:dyDescent="0.3">
      <c r="A121" t="s">
        <v>127</v>
      </c>
      <c r="B121" s="1">
        <v>45341</v>
      </c>
      <c r="C121" s="1" t="str">
        <f>TEXT(Table1[[#This Row],[Date]], "MMM")</f>
        <v>Feb</v>
      </c>
      <c r="D121" s="1" t="str">
        <f>TEXT(Table1[[#This Row],[Date]], "YYYY")</f>
        <v>2024</v>
      </c>
      <c r="E121" t="s">
        <v>312</v>
      </c>
      <c r="F121" t="s">
        <v>315</v>
      </c>
      <c r="G121" t="s">
        <v>317</v>
      </c>
      <c r="H121">
        <v>1379.74</v>
      </c>
      <c r="I121">
        <v>4</v>
      </c>
      <c r="J121">
        <v>258.83999999999997</v>
      </c>
    </row>
    <row r="122" spans="1:10" x14ac:dyDescent="0.3">
      <c r="A122" t="s">
        <v>128</v>
      </c>
      <c r="B122" s="1">
        <v>45362</v>
      </c>
      <c r="C122" s="1" t="str">
        <f>TEXT(Table1[[#This Row],[Date]], "MMM")</f>
        <v>Mar</v>
      </c>
      <c r="D122" s="1" t="str">
        <f>TEXT(Table1[[#This Row],[Date]], "YYYY")</f>
        <v>2024</v>
      </c>
      <c r="E122" t="s">
        <v>311</v>
      </c>
      <c r="F122" t="s">
        <v>314</v>
      </c>
      <c r="G122" t="s">
        <v>319</v>
      </c>
      <c r="H122">
        <v>3455.87</v>
      </c>
      <c r="I122">
        <v>9</v>
      </c>
      <c r="J122">
        <v>278.02</v>
      </c>
    </row>
    <row r="123" spans="1:10" x14ac:dyDescent="0.3">
      <c r="A123" t="s">
        <v>129</v>
      </c>
      <c r="B123" s="1">
        <v>45184</v>
      </c>
      <c r="C123" s="1" t="str">
        <f>TEXT(Table1[[#This Row],[Date]], "MMM")</f>
        <v>Sep</v>
      </c>
      <c r="D123" s="1" t="str">
        <f>TEXT(Table1[[#This Row],[Date]], "YYYY")</f>
        <v>2023</v>
      </c>
      <c r="E123" t="s">
        <v>312</v>
      </c>
      <c r="F123" t="s">
        <v>315</v>
      </c>
      <c r="G123" t="s">
        <v>319</v>
      </c>
      <c r="H123">
        <v>537.25</v>
      </c>
      <c r="I123">
        <v>4</v>
      </c>
      <c r="J123">
        <v>114.11</v>
      </c>
    </row>
    <row r="124" spans="1:10" x14ac:dyDescent="0.3">
      <c r="A124" t="s">
        <v>130</v>
      </c>
      <c r="B124" s="1">
        <v>45123</v>
      </c>
      <c r="C124" s="1" t="str">
        <f>TEXT(Table1[[#This Row],[Date]], "MMM")</f>
        <v>Jul</v>
      </c>
      <c r="D124" s="1" t="str">
        <f>TEXT(Table1[[#This Row],[Date]], "YYYY")</f>
        <v>2023</v>
      </c>
      <c r="E124" t="s">
        <v>309</v>
      </c>
      <c r="F124" t="s">
        <v>314</v>
      </c>
      <c r="G124" t="s">
        <v>317</v>
      </c>
      <c r="H124">
        <v>2886.6</v>
      </c>
      <c r="I124">
        <v>4</v>
      </c>
      <c r="J124">
        <v>596.11</v>
      </c>
    </row>
    <row r="125" spans="1:10" x14ac:dyDescent="0.3">
      <c r="A125" t="s">
        <v>131</v>
      </c>
      <c r="B125" s="1">
        <v>45029</v>
      </c>
      <c r="C125" s="1" t="str">
        <f>TEXT(Table1[[#This Row],[Date]], "MMM")</f>
        <v>Apr</v>
      </c>
      <c r="D125" s="1" t="str">
        <f>TEXT(Table1[[#This Row],[Date]], "YYYY")</f>
        <v>2023</v>
      </c>
      <c r="E125" t="s">
        <v>313</v>
      </c>
      <c r="F125" t="s">
        <v>315</v>
      </c>
      <c r="G125" t="s">
        <v>319</v>
      </c>
      <c r="H125">
        <v>1249.68</v>
      </c>
      <c r="I125">
        <v>4</v>
      </c>
      <c r="J125">
        <v>251.07</v>
      </c>
    </row>
    <row r="126" spans="1:10" x14ac:dyDescent="0.3">
      <c r="A126" t="s">
        <v>132</v>
      </c>
      <c r="B126" s="1">
        <v>45652</v>
      </c>
      <c r="C126" s="1" t="str">
        <f>TEXT(Table1[[#This Row],[Date]], "MMM")</f>
        <v>Dec</v>
      </c>
      <c r="D126" s="1" t="str">
        <f>TEXT(Table1[[#This Row],[Date]], "YYYY")</f>
        <v>2024</v>
      </c>
      <c r="E126" t="s">
        <v>312</v>
      </c>
      <c r="F126" t="s">
        <v>315</v>
      </c>
      <c r="G126" t="s">
        <v>316</v>
      </c>
      <c r="H126">
        <v>1194.8800000000001</v>
      </c>
      <c r="I126">
        <v>9</v>
      </c>
      <c r="J126">
        <v>118.73</v>
      </c>
    </row>
    <row r="127" spans="1:10" x14ac:dyDescent="0.3">
      <c r="A127" t="s">
        <v>133</v>
      </c>
      <c r="B127" s="1">
        <v>45641</v>
      </c>
      <c r="C127" s="1" t="str">
        <f>TEXT(Table1[[#This Row],[Date]], "MMM")</f>
        <v>Dec</v>
      </c>
      <c r="D127" s="1" t="str">
        <f>TEXT(Table1[[#This Row],[Date]], "YYYY")</f>
        <v>2024</v>
      </c>
      <c r="E127" t="s">
        <v>309</v>
      </c>
      <c r="F127" t="s">
        <v>314</v>
      </c>
      <c r="G127" t="s">
        <v>319</v>
      </c>
      <c r="H127">
        <v>2175.4</v>
      </c>
      <c r="I127">
        <v>3</v>
      </c>
      <c r="J127">
        <v>517.54</v>
      </c>
    </row>
    <row r="128" spans="1:10" x14ac:dyDescent="0.3">
      <c r="A128" t="s">
        <v>134</v>
      </c>
      <c r="B128" s="1">
        <v>45514</v>
      </c>
      <c r="C128" s="1" t="str">
        <f>TEXT(Table1[[#This Row],[Date]], "MMM")</f>
        <v>Aug</v>
      </c>
      <c r="D128" s="1" t="str">
        <f>TEXT(Table1[[#This Row],[Date]], "YYYY")</f>
        <v>2024</v>
      </c>
      <c r="E128" t="s">
        <v>309</v>
      </c>
      <c r="F128" t="s">
        <v>314</v>
      </c>
      <c r="G128" t="s">
        <v>316</v>
      </c>
      <c r="H128">
        <v>2463.87</v>
      </c>
      <c r="I128">
        <v>5</v>
      </c>
      <c r="J128">
        <v>386.13</v>
      </c>
    </row>
    <row r="129" spans="1:10" x14ac:dyDescent="0.3">
      <c r="A129" t="s">
        <v>135</v>
      </c>
      <c r="B129" s="1">
        <v>45185</v>
      </c>
      <c r="C129" s="1" t="str">
        <f>TEXT(Table1[[#This Row],[Date]], "MMM")</f>
        <v>Sep</v>
      </c>
      <c r="D129" s="1" t="str">
        <f>TEXT(Table1[[#This Row],[Date]], "YYYY")</f>
        <v>2023</v>
      </c>
      <c r="E129" t="s">
        <v>310</v>
      </c>
      <c r="F129" t="s">
        <v>315</v>
      </c>
      <c r="G129" t="s">
        <v>316</v>
      </c>
      <c r="H129">
        <v>981.9</v>
      </c>
      <c r="I129">
        <v>8</v>
      </c>
      <c r="J129">
        <v>108.99</v>
      </c>
    </row>
    <row r="130" spans="1:10" x14ac:dyDescent="0.3">
      <c r="A130" t="s">
        <v>136</v>
      </c>
      <c r="B130" s="1">
        <v>45517</v>
      </c>
      <c r="C130" s="1" t="str">
        <f>TEXT(Table1[[#This Row],[Date]], "MMM")</f>
        <v>Aug</v>
      </c>
      <c r="D130" s="1" t="str">
        <f>TEXT(Table1[[#This Row],[Date]], "YYYY")</f>
        <v>2024</v>
      </c>
      <c r="E130" t="s">
        <v>311</v>
      </c>
      <c r="F130" t="s">
        <v>314</v>
      </c>
      <c r="G130" t="s">
        <v>316</v>
      </c>
      <c r="H130">
        <v>197.07</v>
      </c>
      <c r="I130">
        <v>1</v>
      </c>
      <c r="J130">
        <v>138.35</v>
      </c>
    </row>
    <row r="131" spans="1:10" x14ac:dyDescent="0.3">
      <c r="A131" t="s">
        <v>137</v>
      </c>
      <c r="B131" s="1">
        <v>45181</v>
      </c>
      <c r="C131" s="1" t="str">
        <f>TEXT(Table1[[#This Row],[Date]], "MMM")</f>
        <v>Sep</v>
      </c>
      <c r="D131" s="1" t="str">
        <f>TEXT(Table1[[#This Row],[Date]], "YYYY")</f>
        <v>2023</v>
      </c>
      <c r="E131" t="s">
        <v>312</v>
      </c>
      <c r="F131" t="s">
        <v>315</v>
      </c>
      <c r="G131" t="s">
        <v>316</v>
      </c>
      <c r="H131">
        <v>1153.25</v>
      </c>
      <c r="I131">
        <v>2</v>
      </c>
      <c r="J131">
        <v>455.3</v>
      </c>
    </row>
    <row r="132" spans="1:10" x14ac:dyDescent="0.3">
      <c r="A132" t="s">
        <v>138</v>
      </c>
      <c r="B132" s="1">
        <v>45462</v>
      </c>
      <c r="C132" s="1" t="str">
        <f>TEXT(Table1[[#This Row],[Date]], "MMM")</f>
        <v>Jun</v>
      </c>
      <c r="D132" s="1" t="str">
        <f>TEXT(Table1[[#This Row],[Date]], "YYYY")</f>
        <v>2024</v>
      </c>
      <c r="E132" t="s">
        <v>313</v>
      </c>
      <c r="F132" t="s">
        <v>315</v>
      </c>
      <c r="G132" t="s">
        <v>317</v>
      </c>
      <c r="H132">
        <v>3320.17</v>
      </c>
      <c r="I132">
        <v>7</v>
      </c>
      <c r="J132">
        <v>371.4</v>
      </c>
    </row>
    <row r="133" spans="1:10" x14ac:dyDescent="0.3">
      <c r="A133" t="s">
        <v>139</v>
      </c>
      <c r="B133" s="1">
        <v>45239</v>
      </c>
      <c r="C133" s="1" t="str">
        <f>TEXT(Table1[[#This Row],[Date]], "MMM")</f>
        <v>Nov</v>
      </c>
      <c r="D133" s="1" t="str">
        <f>TEXT(Table1[[#This Row],[Date]], "YYYY")</f>
        <v>2023</v>
      </c>
      <c r="E133" t="s">
        <v>313</v>
      </c>
      <c r="F133" t="s">
        <v>315</v>
      </c>
      <c r="G133" t="s">
        <v>318</v>
      </c>
      <c r="H133">
        <v>6778.39</v>
      </c>
      <c r="I133">
        <v>10</v>
      </c>
      <c r="J133">
        <v>504.4</v>
      </c>
    </row>
    <row r="134" spans="1:10" x14ac:dyDescent="0.3">
      <c r="A134" t="s">
        <v>140</v>
      </c>
      <c r="B134" s="1">
        <v>45139</v>
      </c>
      <c r="C134" s="1" t="str">
        <f>TEXT(Table1[[#This Row],[Date]], "MMM")</f>
        <v>Aug</v>
      </c>
      <c r="D134" s="1" t="str">
        <f>TEXT(Table1[[#This Row],[Date]], "YYYY")</f>
        <v>2023</v>
      </c>
      <c r="E134" t="s">
        <v>308</v>
      </c>
      <c r="F134" t="s">
        <v>314</v>
      </c>
      <c r="G134" t="s">
        <v>316</v>
      </c>
      <c r="H134">
        <v>1025.6600000000001</v>
      </c>
      <c r="I134">
        <v>4</v>
      </c>
      <c r="J134">
        <v>226.42</v>
      </c>
    </row>
    <row r="135" spans="1:10" x14ac:dyDescent="0.3">
      <c r="A135" t="s">
        <v>141</v>
      </c>
      <c r="B135" s="1">
        <v>45492</v>
      </c>
      <c r="C135" s="1" t="str">
        <f>TEXT(Table1[[#This Row],[Date]], "MMM")</f>
        <v>Jul</v>
      </c>
      <c r="D135" s="1" t="str">
        <f>TEXT(Table1[[#This Row],[Date]], "YYYY")</f>
        <v>2024</v>
      </c>
      <c r="E135" t="s">
        <v>310</v>
      </c>
      <c r="F135" t="s">
        <v>315</v>
      </c>
      <c r="G135" t="s">
        <v>317</v>
      </c>
      <c r="H135">
        <v>359.06</v>
      </c>
      <c r="I135">
        <v>2</v>
      </c>
      <c r="J135">
        <v>142.1</v>
      </c>
    </row>
    <row r="136" spans="1:10" x14ac:dyDescent="0.3">
      <c r="A136" t="s">
        <v>142</v>
      </c>
      <c r="B136" s="1">
        <v>45225</v>
      </c>
      <c r="C136" s="1" t="str">
        <f>TEXT(Table1[[#This Row],[Date]], "MMM")</f>
        <v>Oct</v>
      </c>
      <c r="D136" s="1" t="str">
        <f>TEXT(Table1[[#This Row],[Date]], "YYYY")</f>
        <v>2023</v>
      </c>
      <c r="E136" t="s">
        <v>308</v>
      </c>
      <c r="F136" t="s">
        <v>314</v>
      </c>
      <c r="G136" t="s">
        <v>318</v>
      </c>
      <c r="H136">
        <v>277.32</v>
      </c>
      <c r="I136">
        <v>1</v>
      </c>
      <c r="J136">
        <v>200.55</v>
      </c>
    </row>
    <row r="137" spans="1:10" x14ac:dyDescent="0.3">
      <c r="A137" t="s">
        <v>143</v>
      </c>
      <c r="B137" s="1">
        <v>44999</v>
      </c>
      <c r="C137" s="1" t="str">
        <f>TEXT(Table1[[#This Row],[Date]], "MMM")</f>
        <v>Mar</v>
      </c>
      <c r="D137" s="1" t="str">
        <f>TEXT(Table1[[#This Row],[Date]], "YYYY")</f>
        <v>2023</v>
      </c>
      <c r="E137" t="s">
        <v>308</v>
      </c>
      <c r="F137" t="s">
        <v>314</v>
      </c>
      <c r="G137" t="s">
        <v>318</v>
      </c>
      <c r="H137">
        <v>4192.47</v>
      </c>
      <c r="I137">
        <v>4</v>
      </c>
      <c r="J137">
        <v>740.65</v>
      </c>
    </row>
    <row r="138" spans="1:10" x14ac:dyDescent="0.3">
      <c r="A138" t="s">
        <v>144</v>
      </c>
      <c r="B138" s="1">
        <v>45362</v>
      </c>
      <c r="C138" s="1" t="str">
        <f>TEXT(Table1[[#This Row],[Date]], "MMM")</f>
        <v>Mar</v>
      </c>
      <c r="D138" s="1" t="str">
        <f>TEXT(Table1[[#This Row],[Date]], "YYYY")</f>
        <v>2024</v>
      </c>
      <c r="E138" t="s">
        <v>308</v>
      </c>
      <c r="F138" t="s">
        <v>314</v>
      </c>
      <c r="G138" t="s">
        <v>317</v>
      </c>
      <c r="H138">
        <v>1208.9100000000001</v>
      </c>
      <c r="I138">
        <v>2</v>
      </c>
      <c r="J138">
        <v>444.76</v>
      </c>
    </row>
    <row r="139" spans="1:10" x14ac:dyDescent="0.3">
      <c r="A139" t="s">
        <v>145</v>
      </c>
      <c r="B139" s="1">
        <v>45000</v>
      </c>
      <c r="C139" s="1" t="str">
        <f>TEXT(Table1[[#This Row],[Date]], "MMM")</f>
        <v>Mar</v>
      </c>
      <c r="D139" s="1" t="str">
        <f>TEXT(Table1[[#This Row],[Date]], "YYYY")</f>
        <v>2023</v>
      </c>
      <c r="E139" t="s">
        <v>312</v>
      </c>
      <c r="F139" t="s">
        <v>315</v>
      </c>
      <c r="G139" t="s">
        <v>317</v>
      </c>
      <c r="H139">
        <v>182.75</v>
      </c>
      <c r="I139">
        <v>1</v>
      </c>
      <c r="J139">
        <v>149.41999999999999</v>
      </c>
    </row>
    <row r="140" spans="1:10" x14ac:dyDescent="0.3">
      <c r="A140" t="s">
        <v>146</v>
      </c>
      <c r="B140" s="1">
        <v>45376</v>
      </c>
      <c r="C140" s="1" t="str">
        <f>TEXT(Table1[[#This Row],[Date]], "MMM")</f>
        <v>Mar</v>
      </c>
      <c r="D140" s="1" t="str">
        <f>TEXT(Table1[[#This Row],[Date]], "YYYY")</f>
        <v>2024</v>
      </c>
      <c r="E140" t="s">
        <v>308</v>
      </c>
      <c r="F140" t="s">
        <v>314</v>
      </c>
      <c r="G140" t="s">
        <v>319</v>
      </c>
      <c r="H140">
        <v>942.08</v>
      </c>
      <c r="I140">
        <v>2</v>
      </c>
      <c r="J140">
        <v>385.58</v>
      </c>
    </row>
    <row r="141" spans="1:10" x14ac:dyDescent="0.3">
      <c r="A141" t="s">
        <v>147</v>
      </c>
      <c r="B141" s="1">
        <v>45439</v>
      </c>
      <c r="C141" s="1" t="str">
        <f>TEXT(Table1[[#This Row],[Date]], "MMM")</f>
        <v>May</v>
      </c>
      <c r="D141" s="1" t="str">
        <f>TEXT(Table1[[#This Row],[Date]], "YYYY")</f>
        <v>2024</v>
      </c>
      <c r="E141" t="s">
        <v>311</v>
      </c>
      <c r="F141" t="s">
        <v>314</v>
      </c>
      <c r="G141" t="s">
        <v>319</v>
      </c>
      <c r="H141">
        <v>4128.41</v>
      </c>
      <c r="I141">
        <v>9</v>
      </c>
      <c r="J141">
        <v>405.16</v>
      </c>
    </row>
    <row r="142" spans="1:10" x14ac:dyDescent="0.3">
      <c r="A142" t="s">
        <v>148</v>
      </c>
      <c r="B142" s="1">
        <v>45257</v>
      </c>
      <c r="C142" s="1" t="str">
        <f>TEXT(Table1[[#This Row],[Date]], "MMM")</f>
        <v>Nov</v>
      </c>
      <c r="D142" s="1" t="str">
        <f>TEXT(Table1[[#This Row],[Date]], "YYYY")</f>
        <v>2023</v>
      </c>
      <c r="E142" t="s">
        <v>309</v>
      </c>
      <c r="F142" t="s">
        <v>314</v>
      </c>
      <c r="G142" t="s">
        <v>318</v>
      </c>
      <c r="H142">
        <v>2446.84</v>
      </c>
      <c r="I142">
        <v>10</v>
      </c>
      <c r="J142">
        <v>215.29</v>
      </c>
    </row>
    <row r="143" spans="1:10" x14ac:dyDescent="0.3">
      <c r="A143" t="s">
        <v>149</v>
      </c>
      <c r="B143" s="1">
        <v>45615</v>
      </c>
      <c r="C143" s="1" t="str">
        <f>TEXT(Table1[[#This Row],[Date]], "MMM")</f>
        <v>Nov</v>
      </c>
      <c r="D143" s="1" t="str">
        <f>TEXT(Table1[[#This Row],[Date]], "YYYY")</f>
        <v>2024</v>
      </c>
      <c r="E143" t="s">
        <v>308</v>
      </c>
      <c r="F143" t="s">
        <v>314</v>
      </c>
      <c r="G143" t="s">
        <v>316</v>
      </c>
      <c r="H143">
        <v>3298.6</v>
      </c>
      <c r="I143">
        <v>5</v>
      </c>
      <c r="J143">
        <v>469.47</v>
      </c>
    </row>
    <row r="144" spans="1:10" x14ac:dyDescent="0.3">
      <c r="A144" t="s">
        <v>150</v>
      </c>
      <c r="B144" s="1">
        <v>45458</v>
      </c>
      <c r="C144" s="1" t="str">
        <f>TEXT(Table1[[#This Row],[Date]], "MMM")</f>
        <v>Jun</v>
      </c>
      <c r="D144" s="1" t="str">
        <f>TEXT(Table1[[#This Row],[Date]], "YYYY")</f>
        <v>2024</v>
      </c>
      <c r="E144" t="s">
        <v>310</v>
      </c>
      <c r="F144" t="s">
        <v>315</v>
      </c>
      <c r="G144" t="s">
        <v>318</v>
      </c>
      <c r="H144">
        <v>6890.55</v>
      </c>
      <c r="I144">
        <v>8</v>
      </c>
      <c r="J144">
        <v>734.54</v>
      </c>
    </row>
    <row r="145" spans="1:10" x14ac:dyDescent="0.3">
      <c r="A145" t="s">
        <v>151</v>
      </c>
      <c r="B145" s="1">
        <v>45577</v>
      </c>
      <c r="C145" s="1" t="str">
        <f>TEXT(Table1[[#This Row],[Date]], "MMM")</f>
        <v>Oct</v>
      </c>
      <c r="D145" s="1" t="str">
        <f>TEXT(Table1[[#This Row],[Date]], "YYYY")</f>
        <v>2024</v>
      </c>
      <c r="E145" t="s">
        <v>313</v>
      </c>
      <c r="F145" t="s">
        <v>315</v>
      </c>
      <c r="G145" t="s">
        <v>318</v>
      </c>
      <c r="H145">
        <v>7994.49</v>
      </c>
      <c r="I145">
        <v>8</v>
      </c>
      <c r="J145">
        <v>775.86</v>
      </c>
    </row>
    <row r="146" spans="1:10" x14ac:dyDescent="0.3">
      <c r="A146" t="s">
        <v>152</v>
      </c>
      <c r="B146" s="1">
        <v>45255</v>
      </c>
      <c r="C146" s="1" t="str">
        <f>TEXT(Table1[[#This Row],[Date]], "MMM")</f>
        <v>Nov</v>
      </c>
      <c r="D146" s="1" t="str">
        <f>TEXT(Table1[[#This Row],[Date]], "YYYY")</f>
        <v>2023</v>
      </c>
      <c r="E146" t="s">
        <v>311</v>
      </c>
      <c r="F146" t="s">
        <v>314</v>
      </c>
      <c r="G146" t="s">
        <v>319</v>
      </c>
      <c r="H146">
        <v>1697.66</v>
      </c>
      <c r="I146">
        <v>2</v>
      </c>
      <c r="J146">
        <v>689.03</v>
      </c>
    </row>
    <row r="147" spans="1:10" x14ac:dyDescent="0.3">
      <c r="A147" t="s">
        <v>153</v>
      </c>
      <c r="B147" s="1">
        <v>45222</v>
      </c>
      <c r="C147" s="1" t="str">
        <f>TEXT(Table1[[#This Row],[Date]], "MMM")</f>
        <v>Oct</v>
      </c>
      <c r="D147" s="1" t="str">
        <f>TEXT(Table1[[#This Row],[Date]], "YYYY")</f>
        <v>2023</v>
      </c>
      <c r="E147" t="s">
        <v>308</v>
      </c>
      <c r="F147" t="s">
        <v>314</v>
      </c>
      <c r="G147" t="s">
        <v>318</v>
      </c>
      <c r="H147">
        <v>6048.5</v>
      </c>
      <c r="I147">
        <v>7</v>
      </c>
      <c r="J147">
        <v>654.58000000000004</v>
      </c>
    </row>
    <row r="148" spans="1:10" x14ac:dyDescent="0.3">
      <c r="A148" t="s">
        <v>154</v>
      </c>
      <c r="B148" s="1">
        <v>45249</v>
      </c>
      <c r="C148" s="1" t="str">
        <f>TEXT(Table1[[#This Row],[Date]], "MMM")</f>
        <v>Nov</v>
      </c>
      <c r="D148" s="1" t="str">
        <f>TEXT(Table1[[#This Row],[Date]], "YYYY")</f>
        <v>2023</v>
      </c>
      <c r="E148" t="s">
        <v>311</v>
      </c>
      <c r="F148" t="s">
        <v>314</v>
      </c>
      <c r="G148" t="s">
        <v>316</v>
      </c>
      <c r="H148">
        <v>2024.9</v>
      </c>
      <c r="I148">
        <v>5</v>
      </c>
      <c r="J148">
        <v>272.14999999999998</v>
      </c>
    </row>
    <row r="149" spans="1:10" x14ac:dyDescent="0.3">
      <c r="A149" t="s">
        <v>155</v>
      </c>
      <c r="B149" s="1">
        <v>45600</v>
      </c>
      <c r="C149" s="1" t="str">
        <f>TEXT(Table1[[#This Row],[Date]], "MMM")</f>
        <v>Nov</v>
      </c>
      <c r="D149" s="1" t="str">
        <f>TEXT(Table1[[#This Row],[Date]], "YYYY")</f>
        <v>2024</v>
      </c>
      <c r="E149" t="s">
        <v>311</v>
      </c>
      <c r="F149" t="s">
        <v>314</v>
      </c>
      <c r="G149" t="s">
        <v>316</v>
      </c>
      <c r="H149">
        <v>3839.58</v>
      </c>
      <c r="I149">
        <v>9</v>
      </c>
      <c r="J149">
        <v>380.34</v>
      </c>
    </row>
    <row r="150" spans="1:10" x14ac:dyDescent="0.3">
      <c r="A150" t="s">
        <v>156</v>
      </c>
      <c r="B150" s="1">
        <v>45564</v>
      </c>
      <c r="C150" s="1" t="str">
        <f>TEXT(Table1[[#This Row],[Date]], "MMM")</f>
        <v>Sep</v>
      </c>
      <c r="D150" s="1" t="str">
        <f>TEXT(Table1[[#This Row],[Date]], "YYYY")</f>
        <v>2024</v>
      </c>
      <c r="E150" t="s">
        <v>313</v>
      </c>
      <c r="F150" t="s">
        <v>315</v>
      </c>
      <c r="G150" t="s">
        <v>319</v>
      </c>
      <c r="H150">
        <v>5703.82</v>
      </c>
      <c r="I150">
        <v>8</v>
      </c>
      <c r="J150">
        <v>507.82</v>
      </c>
    </row>
    <row r="151" spans="1:10" x14ac:dyDescent="0.3">
      <c r="A151" t="s">
        <v>157</v>
      </c>
      <c r="B151" s="1">
        <v>45489</v>
      </c>
      <c r="C151" s="1" t="str">
        <f>TEXT(Table1[[#This Row],[Date]], "MMM")</f>
        <v>Jul</v>
      </c>
      <c r="D151" s="1" t="str">
        <f>TEXT(Table1[[#This Row],[Date]], "YYYY")</f>
        <v>2024</v>
      </c>
      <c r="E151" t="s">
        <v>310</v>
      </c>
      <c r="F151" t="s">
        <v>315</v>
      </c>
      <c r="G151" t="s">
        <v>319</v>
      </c>
      <c r="H151">
        <v>2844.74</v>
      </c>
      <c r="I151">
        <v>3</v>
      </c>
      <c r="J151">
        <v>743.58</v>
      </c>
    </row>
    <row r="152" spans="1:10" x14ac:dyDescent="0.3">
      <c r="A152" t="s">
        <v>158</v>
      </c>
      <c r="B152" s="1">
        <v>45051</v>
      </c>
      <c r="C152" s="1" t="str">
        <f>TEXT(Table1[[#This Row],[Date]], "MMM")</f>
        <v>May</v>
      </c>
      <c r="D152" s="1" t="str">
        <f>TEXT(Table1[[#This Row],[Date]], "YYYY")</f>
        <v>2023</v>
      </c>
      <c r="E152" t="s">
        <v>308</v>
      </c>
      <c r="F152" t="s">
        <v>314</v>
      </c>
      <c r="G152" t="s">
        <v>318</v>
      </c>
      <c r="H152">
        <v>1046.69</v>
      </c>
      <c r="I152">
        <v>1</v>
      </c>
      <c r="J152">
        <v>779.05</v>
      </c>
    </row>
    <row r="153" spans="1:10" x14ac:dyDescent="0.3">
      <c r="A153" t="s">
        <v>159</v>
      </c>
      <c r="B153" s="1">
        <v>45245</v>
      </c>
      <c r="C153" s="1" t="str">
        <f>TEXT(Table1[[#This Row],[Date]], "MMM")</f>
        <v>Nov</v>
      </c>
      <c r="D153" s="1" t="str">
        <f>TEXT(Table1[[#This Row],[Date]], "YYYY")</f>
        <v>2023</v>
      </c>
      <c r="E153" t="s">
        <v>310</v>
      </c>
      <c r="F153" t="s">
        <v>315</v>
      </c>
      <c r="G153" t="s">
        <v>317</v>
      </c>
      <c r="H153">
        <v>348.68</v>
      </c>
      <c r="I153">
        <v>9</v>
      </c>
      <c r="J153">
        <v>30.67</v>
      </c>
    </row>
    <row r="154" spans="1:10" x14ac:dyDescent="0.3">
      <c r="A154" t="s">
        <v>160</v>
      </c>
      <c r="B154" s="1">
        <v>45399</v>
      </c>
      <c r="C154" s="1" t="str">
        <f>TEXT(Table1[[#This Row],[Date]], "MMM")</f>
        <v>Apr</v>
      </c>
      <c r="D154" s="1" t="str">
        <f>TEXT(Table1[[#This Row],[Date]], "YYYY")</f>
        <v>2024</v>
      </c>
      <c r="E154" t="s">
        <v>310</v>
      </c>
      <c r="F154" t="s">
        <v>315</v>
      </c>
      <c r="G154" t="s">
        <v>316</v>
      </c>
      <c r="H154">
        <v>1220.1600000000001</v>
      </c>
      <c r="I154">
        <v>2</v>
      </c>
      <c r="J154">
        <v>525.21</v>
      </c>
    </row>
    <row r="155" spans="1:10" x14ac:dyDescent="0.3">
      <c r="A155" t="s">
        <v>161</v>
      </c>
      <c r="B155" s="1">
        <v>45448</v>
      </c>
      <c r="C155" s="1" t="str">
        <f>TEXT(Table1[[#This Row],[Date]], "MMM")</f>
        <v>Jun</v>
      </c>
      <c r="D155" s="1" t="str">
        <f>TEXT(Table1[[#This Row],[Date]], "YYYY")</f>
        <v>2024</v>
      </c>
      <c r="E155" t="s">
        <v>308</v>
      </c>
      <c r="F155" t="s">
        <v>314</v>
      </c>
      <c r="G155" t="s">
        <v>319</v>
      </c>
      <c r="H155">
        <v>2224.48</v>
      </c>
      <c r="I155">
        <v>5</v>
      </c>
      <c r="J155">
        <v>344.08</v>
      </c>
    </row>
    <row r="156" spans="1:10" x14ac:dyDescent="0.3">
      <c r="A156" t="s">
        <v>162</v>
      </c>
      <c r="B156" s="1">
        <v>45394</v>
      </c>
      <c r="C156" s="1" t="str">
        <f>TEXT(Table1[[#This Row],[Date]], "MMM")</f>
        <v>Apr</v>
      </c>
      <c r="D156" s="1" t="str">
        <f>TEXT(Table1[[#This Row],[Date]], "YYYY")</f>
        <v>2024</v>
      </c>
      <c r="E156" t="s">
        <v>311</v>
      </c>
      <c r="F156" t="s">
        <v>314</v>
      </c>
      <c r="G156" t="s">
        <v>317</v>
      </c>
      <c r="H156">
        <v>1406.06</v>
      </c>
      <c r="I156">
        <v>9</v>
      </c>
      <c r="J156">
        <v>132.82</v>
      </c>
    </row>
    <row r="157" spans="1:10" x14ac:dyDescent="0.3">
      <c r="A157" t="s">
        <v>163</v>
      </c>
      <c r="B157" s="1">
        <v>44998</v>
      </c>
      <c r="C157" s="1" t="str">
        <f>TEXT(Table1[[#This Row],[Date]], "MMM")</f>
        <v>Mar</v>
      </c>
      <c r="D157" s="1" t="str">
        <f>TEXT(Table1[[#This Row],[Date]], "YYYY")</f>
        <v>2023</v>
      </c>
      <c r="E157" t="s">
        <v>313</v>
      </c>
      <c r="F157" t="s">
        <v>315</v>
      </c>
      <c r="G157" t="s">
        <v>317</v>
      </c>
      <c r="H157">
        <v>4488.8599999999997</v>
      </c>
      <c r="I157">
        <v>5</v>
      </c>
      <c r="J157">
        <v>622.69000000000005</v>
      </c>
    </row>
    <row r="158" spans="1:10" x14ac:dyDescent="0.3">
      <c r="A158" t="s">
        <v>164</v>
      </c>
      <c r="B158" s="1">
        <v>44929</v>
      </c>
      <c r="C158" s="1" t="str">
        <f>TEXT(Table1[[#This Row],[Date]], "MMM")</f>
        <v>Jan</v>
      </c>
      <c r="D158" s="1" t="str">
        <f>TEXT(Table1[[#This Row],[Date]], "YYYY")</f>
        <v>2023</v>
      </c>
      <c r="E158" t="s">
        <v>312</v>
      </c>
      <c r="F158" t="s">
        <v>315</v>
      </c>
      <c r="G158" t="s">
        <v>319</v>
      </c>
      <c r="H158">
        <v>4206.82</v>
      </c>
      <c r="I158">
        <v>5</v>
      </c>
      <c r="J158">
        <v>586.32000000000005</v>
      </c>
    </row>
    <row r="159" spans="1:10" x14ac:dyDescent="0.3">
      <c r="A159" t="s">
        <v>165</v>
      </c>
      <c r="B159" s="1">
        <v>45079</v>
      </c>
      <c r="C159" s="1" t="str">
        <f>TEXT(Table1[[#This Row],[Date]], "MMM")</f>
        <v>Jun</v>
      </c>
      <c r="D159" s="1" t="str">
        <f>TEXT(Table1[[#This Row],[Date]], "YYYY")</f>
        <v>2023</v>
      </c>
      <c r="E159" t="s">
        <v>313</v>
      </c>
      <c r="F159" t="s">
        <v>315</v>
      </c>
      <c r="G159" t="s">
        <v>318</v>
      </c>
      <c r="H159">
        <v>4358.83</v>
      </c>
      <c r="I159">
        <v>8</v>
      </c>
      <c r="J159">
        <v>440.09</v>
      </c>
    </row>
    <row r="160" spans="1:10" x14ac:dyDescent="0.3">
      <c r="A160" t="s">
        <v>166</v>
      </c>
      <c r="B160" s="1">
        <v>45393</v>
      </c>
      <c r="C160" s="1" t="str">
        <f>TEXT(Table1[[#This Row],[Date]], "MMM")</f>
        <v>Apr</v>
      </c>
      <c r="D160" s="1" t="str">
        <f>TEXT(Table1[[#This Row],[Date]], "YYYY")</f>
        <v>2024</v>
      </c>
      <c r="E160" t="s">
        <v>313</v>
      </c>
      <c r="F160" t="s">
        <v>315</v>
      </c>
      <c r="G160" t="s">
        <v>318</v>
      </c>
      <c r="H160">
        <v>6252.39</v>
      </c>
      <c r="I160">
        <v>6</v>
      </c>
      <c r="J160">
        <v>698.29</v>
      </c>
    </row>
    <row r="161" spans="1:10" x14ac:dyDescent="0.3">
      <c r="A161" t="s">
        <v>167</v>
      </c>
      <c r="B161" s="1">
        <v>45166</v>
      </c>
      <c r="C161" s="1" t="str">
        <f>TEXT(Table1[[#This Row],[Date]], "MMM")</f>
        <v>Aug</v>
      </c>
      <c r="D161" s="1" t="str">
        <f>TEXT(Table1[[#This Row],[Date]], "YYYY")</f>
        <v>2023</v>
      </c>
      <c r="E161" t="s">
        <v>310</v>
      </c>
      <c r="F161" t="s">
        <v>315</v>
      </c>
      <c r="G161" t="s">
        <v>318</v>
      </c>
      <c r="H161">
        <v>528.79</v>
      </c>
      <c r="I161">
        <v>7</v>
      </c>
      <c r="J161">
        <v>54.04</v>
      </c>
    </row>
    <row r="162" spans="1:10" x14ac:dyDescent="0.3">
      <c r="A162" t="s">
        <v>168</v>
      </c>
      <c r="B162" s="1">
        <v>45322</v>
      </c>
      <c r="C162" s="1" t="str">
        <f>TEXT(Table1[[#This Row],[Date]], "MMM")</f>
        <v>Jan</v>
      </c>
      <c r="D162" s="1" t="str">
        <f>TEXT(Table1[[#This Row],[Date]], "YYYY")</f>
        <v>2024</v>
      </c>
      <c r="E162" t="s">
        <v>308</v>
      </c>
      <c r="F162" t="s">
        <v>314</v>
      </c>
      <c r="G162" t="s">
        <v>318</v>
      </c>
      <c r="H162">
        <v>1359.04</v>
      </c>
      <c r="I162">
        <v>3</v>
      </c>
      <c r="J162">
        <v>406.36</v>
      </c>
    </row>
    <row r="163" spans="1:10" x14ac:dyDescent="0.3">
      <c r="A163" t="s">
        <v>169</v>
      </c>
      <c r="B163" s="1">
        <v>45029</v>
      </c>
      <c r="C163" s="1" t="str">
        <f>TEXT(Table1[[#This Row],[Date]], "MMM")</f>
        <v>Apr</v>
      </c>
      <c r="D163" s="1" t="str">
        <f>TEXT(Table1[[#This Row],[Date]], "YYYY")</f>
        <v>2023</v>
      </c>
      <c r="E163" t="s">
        <v>313</v>
      </c>
      <c r="F163" t="s">
        <v>315</v>
      </c>
      <c r="G163" t="s">
        <v>319</v>
      </c>
      <c r="H163">
        <v>1145.3399999999999</v>
      </c>
      <c r="I163">
        <v>8</v>
      </c>
      <c r="J163">
        <v>97.78</v>
      </c>
    </row>
    <row r="164" spans="1:10" x14ac:dyDescent="0.3">
      <c r="A164" t="s">
        <v>170</v>
      </c>
      <c r="B164" s="1">
        <v>45346</v>
      </c>
      <c r="C164" s="1" t="str">
        <f>TEXT(Table1[[#This Row],[Date]], "MMM")</f>
        <v>Feb</v>
      </c>
      <c r="D164" s="1" t="str">
        <f>TEXT(Table1[[#This Row],[Date]], "YYYY")</f>
        <v>2024</v>
      </c>
      <c r="E164" t="s">
        <v>309</v>
      </c>
      <c r="F164" t="s">
        <v>314</v>
      </c>
      <c r="G164" t="s">
        <v>317</v>
      </c>
      <c r="H164">
        <v>332.12</v>
      </c>
      <c r="I164">
        <v>3</v>
      </c>
      <c r="J164">
        <v>78.37</v>
      </c>
    </row>
    <row r="165" spans="1:10" x14ac:dyDescent="0.3">
      <c r="A165" t="s">
        <v>171</v>
      </c>
      <c r="B165" s="1">
        <v>45565</v>
      </c>
      <c r="C165" s="1" t="str">
        <f>TEXT(Table1[[#This Row],[Date]], "MMM")</f>
        <v>Sep</v>
      </c>
      <c r="D165" s="1" t="str">
        <f>TEXT(Table1[[#This Row],[Date]], "YYYY")</f>
        <v>2024</v>
      </c>
      <c r="E165" t="s">
        <v>312</v>
      </c>
      <c r="F165" t="s">
        <v>315</v>
      </c>
      <c r="G165" t="s">
        <v>319</v>
      </c>
      <c r="H165">
        <v>5313.45</v>
      </c>
      <c r="I165">
        <v>7</v>
      </c>
      <c r="J165">
        <v>526.87</v>
      </c>
    </row>
    <row r="166" spans="1:10" x14ac:dyDescent="0.3">
      <c r="A166" t="s">
        <v>172</v>
      </c>
      <c r="B166" s="1">
        <v>45251</v>
      </c>
      <c r="C166" s="1" t="str">
        <f>TEXT(Table1[[#This Row],[Date]], "MMM")</f>
        <v>Nov</v>
      </c>
      <c r="D166" s="1" t="str">
        <f>TEXT(Table1[[#This Row],[Date]], "YYYY")</f>
        <v>2023</v>
      </c>
      <c r="E166" t="s">
        <v>308</v>
      </c>
      <c r="F166" t="s">
        <v>314</v>
      </c>
      <c r="G166" t="s">
        <v>318</v>
      </c>
      <c r="H166">
        <v>6244.51</v>
      </c>
      <c r="I166">
        <v>8</v>
      </c>
      <c r="J166">
        <v>700.46</v>
      </c>
    </row>
    <row r="167" spans="1:10" x14ac:dyDescent="0.3">
      <c r="A167" t="s">
        <v>173</v>
      </c>
      <c r="B167" s="1">
        <v>45573</v>
      </c>
      <c r="C167" s="1" t="str">
        <f>TEXT(Table1[[#This Row],[Date]], "MMM")</f>
        <v>Oct</v>
      </c>
      <c r="D167" s="1" t="str">
        <f>TEXT(Table1[[#This Row],[Date]], "YYYY")</f>
        <v>2024</v>
      </c>
      <c r="E167" t="s">
        <v>309</v>
      </c>
      <c r="F167" t="s">
        <v>314</v>
      </c>
      <c r="G167" t="s">
        <v>317</v>
      </c>
      <c r="H167">
        <v>5580.77</v>
      </c>
      <c r="I167">
        <v>5</v>
      </c>
      <c r="J167">
        <v>797.99</v>
      </c>
    </row>
    <row r="168" spans="1:10" x14ac:dyDescent="0.3">
      <c r="A168" t="s">
        <v>174</v>
      </c>
      <c r="B168" s="1">
        <v>45575</v>
      </c>
      <c r="C168" s="1" t="str">
        <f>TEXT(Table1[[#This Row],[Date]], "MMM")</f>
        <v>Oct</v>
      </c>
      <c r="D168" s="1" t="str">
        <f>TEXT(Table1[[#This Row],[Date]], "YYYY")</f>
        <v>2024</v>
      </c>
      <c r="E168" t="s">
        <v>311</v>
      </c>
      <c r="F168" t="s">
        <v>314</v>
      </c>
      <c r="G168" t="s">
        <v>316</v>
      </c>
      <c r="H168">
        <v>1008.6</v>
      </c>
      <c r="I168">
        <v>2</v>
      </c>
      <c r="J168">
        <v>366.07</v>
      </c>
    </row>
    <row r="169" spans="1:10" x14ac:dyDescent="0.3">
      <c r="A169" t="s">
        <v>175</v>
      </c>
      <c r="B169" s="1">
        <v>45259</v>
      </c>
      <c r="C169" s="1" t="str">
        <f>TEXT(Table1[[#This Row],[Date]], "MMM")</f>
        <v>Nov</v>
      </c>
      <c r="D169" s="1" t="str">
        <f>TEXT(Table1[[#This Row],[Date]], "YYYY")</f>
        <v>2023</v>
      </c>
      <c r="E169" t="s">
        <v>309</v>
      </c>
      <c r="F169" t="s">
        <v>314</v>
      </c>
      <c r="G169" t="s">
        <v>316</v>
      </c>
      <c r="H169">
        <v>311.02</v>
      </c>
      <c r="I169">
        <v>1</v>
      </c>
      <c r="J169">
        <v>248.83</v>
      </c>
    </row>
    <row r="170" spans="1:10" x14ac:dyDescent="0.3">
      <c r="A170" t="s">
        <v>176</v>
      </c>
      <c r="B170" s="1">
        <v>45470</v>
      </c>
      <c r="C170" s="1" t="str">
        <f>TEXT(Table1[[#This Row],[Date]], "MMM")</f>
        <v>Jun</v>
      </c>
      <c r="D170" s="1" t="str">
        <f>TEXT(Table1[[#This Row],[Date]], "YYYY")</f>
        <v>2024</v>
      </c>
      <c r="E170" t="s">
        <v>310</v>
      </c>
      <c r="F170" t="s">
        <v>315</v>
      </c>
      <c r="G170" t="s">
        <v>317</v>
      </c>
      <c r="H170">
        <v>4576.8500000000004</v>
      </c>
      <c r="I170">
        <v>7</v>
      </c>
      <c r="J170">
        <v>461.42</v>
      </c>
    </row>
    <row r="171" spans="1:10" x14ac:dyDescent="0.3">
      <c r="A171" t="s">
        <v>177</v>
      </c>
      <c r="B171" s="1">
        <v>45007</v>
      </c>
      <c r="C171" s="1" t="str">
        <f>TEXT(Table1[[#This Row],[Date]], "MMM")</f>
        <v>Mar</v>
      </c>
      <c r="D171" s="1" t="str">
        <f>TEXT(Table1[[#This Row],[Date]], "YYYY")</f>
        <v>2023</v>
      </c>
      <c r="E171" t="s">
        <v>310</v>
      </c>
      <c r="F171" t="s">
        <v>315</v>
      </c>
      <c r="G171" t="s">
        <v>317</v>
      </c>
      <c r="H171">
        <v>9425.08</v>
      </c>
      <c r="I171">
        <v>10</v>
      </c>
      <c r="J171">
        <v>699.25</v>
      </c>
    </row>
    <row r="172" spans="1:10" x14ac:dyDescent="0.3">
      <c r="A172" t="s">
        <v>178</v>
      </c>
      <c r="B172" s="1">
        <v>45524</v>
      </c>
      <c r="C172" s="1" t="str">
        <f>TEXT(Table1[[#This Row],[Date]], "MMM")</f>
        <v>Aug</v>
      </c>
      <c r="D172" s="1" t="str">
        <f>TEXT(Table1[[#This Row],[Date]], "YYYY")</f>
        <v>2024</v>
      </c>
      <c r="E172" t="s">
        <v>310</v>
      </c>
      <c r="F172" t="s">
        <v>315</v>
      </c>
      <c r="G172" t="s">
        <v>318</v>
      </c>
      <c r="H172">
        <v>817.61</v>
      </c>
      <c r="I172">
        <v>3</v>
      </c>
      <c r="J172">
        <v>201.11</v>
      </c>
    </row>
    <row r="173" spans="1:10" x14ac:dyDescent="0.3">
      <c r="A173" t="s">
        <v>179</v>
      </c>
      <c r="B173" s="1">
        <v>45609</v>
      </c>
      <c r="C173" s="1" t="str">
        <f>TEXT(Table1[[#This Row],[Date]], "MMM")</f>
        <v>Nov</v>
      </c>
      <c r="D173" s="1" t="str">
        <f>TEXT(Table1[[#This Row],[Date]], "YYYY")</f>
        <v>2024</v>
      </c>
      <c r="E173" t="s">
        <v>311</v>
      </c>
      <c r="F173" t="s">
        <v>314</v>
      </c>
      <c r="G173" t="s">
        <v>319</v>
      </c>
      <c r="H173">
        <v>927.47</v>
      </c>
      <c r="I173">
        <v>1</v>
      </c>
      <c r="J173">
        <v>721.15</v>
      </c>
    </row>
    <row r="174" spans="1:10" x14ac:dyDescent="0.3">
      <c r="A174" t="s">
        <v>180</v>
      </c>
      <c r="B174" s="1">
        <v>45002</v>
      </c>
      <c r="C174" s="1" t="str">
        <f>TEXT(Table1[[#This Row],[Date]], "MMM")</f>
        <v>Mar</v>
      </c>
      <c r="D174" s="1" t="str">
        <f>TEXT(Table1[[#This Row],[Date]], "YYYY")</f>
        <v>2023</v>
      </c>
      <c r="E174" t="s">
        <v>312</v>
      </c>
      <c r="F174" t="s">
        <v>315</v>
      </c>
      <c r="G174" t="s">
        <v>317</v>
      </c>
      <c r="H174">
        <v>9057.44</v>
      </c>
      <c r="I174">
        <v>8</v>
      </c>
      <c r="J174">
        <v>757.28</v>
      </c>
    </row>
    <row r="175" spans="1:10" x14ac:dyDescent="0.3">
      <c r="A175" t="s">
        <v>181</v>
      </c>
      <c r="B175" s="1">
        <v>45633</v>
      </c>
      <c r="C175" s="1" t="str">
        <f>TEXT(Table1[[#This Row],[Date]], "MMM")</f>
        <v>Dec</v>
      </c>
      <c r="D175" s="1" t="str">
        <f>TEXT(Table1[[#This Row],[Date]], "YYYY")</f>
        <v>2024</v>
      </c>
      <c r="E175" t="s">
        <v>312</v>
      </c>
      <c r="F175" t="s">
        <v>315</v>
      </c>
      <c r="G175" t="s">
        <v>318</v>
      </c>
      <c r="H175">
        <v>2297.21</v>
      </c>
      <c r="I175">
        <v>5</v>
      </c>
      <c r="J175">
        <v>376.33</v>
      </c>
    </row>
    <row r="176" spans="1:10" x14ac:dyDescent="0.3">
      <c r="A176" t="s">
        <v>182</v>
      </c>
      <c r="B176" s="1">
        <v>45036</v>
      </c>
      <c r="C176" s="1" t="str">
        <f>TEXT(Table1[[#This Row],[Date]], "MMM")</f>
        <v>Apr</v>
      </c>
      <c r="D176" s="1" t="str">
        <f>TEXT(Table1[[#This Row],[Date]], "YYYY")</f>
        <v>2023</v>
      </c>
      <c r="E176" t="s">
        <v>311</v>
      </c>
      <c r="F176" t="s">
        <v>314</v>
      </c>
      <c r="G176" t="s">
        <v>318</v>
      </c>
      <c r="H176">
        <v>1579.15</v>
      </c>
      <c r="I176">
        <v>4</v>
      </c>
      <c r="J176">
        <v>317.45999999999998</v>
      </c>
    </row>
    <row r="177" spans="1:10" x14ac:dyDescent="0.3">
      <c r="A177" t="s">
        <v>183</v>
      </c>
      <c r="B177" s="1">
        <v>44949</v>
      </c>
      <c r="C177" s="1" t="str">
        <f>TEXT(Table1[[#This Row],[Date]], "MMM")</f>
        <v>Jan</v>
      </c>
      <c r="D177" s="1" t="str">
        <f>TEXT(Table1[[#This Row],[Date]], "YYYY")</f>
        <v>2023</v>
      </c>
      <c r="E177" t="s">
        <v>312</v>
      </c>
      <c r="F177" t="s">
        <v>315</v>
      </c>
      <c r="G177" t="s">
        <v>319</v>
      </c>
      <c r="H177">
        <v>2173.4299999999998</v>
      </c>
      <c r="I177">
        <v>7</v>
      </c>
      <c r="J177">
        <v>234.09</v>
      </c>
    </row>
    <row r="178" spans="1:10" x14ac:dyDescent="0.3">
      <c r="A178" t="s">
        <v>184</v>
      </c>
      <c r="B178" s="1">
        <v>45547</v>
      </c>
      <c r="C178" s="1" t="str">
        <f>TEXT(Table1[[#This Row],[Date]], "MMM")</f>
        <v>Sep</v>
      </c>
      <c r="D178" s="1" t="str">
        <f>TEXT(Table1[[#This Row],[Date]], "YYYY")</f>
        <v>2024</v>
      </c>
      <c r="E178" t="s">
        <v>308</v>
      </c>
      <c r="F178" t="s">
        <v>314</v>
      </c>
      <c r="G178" t="s">
        <v>316</v>
      </c>
      <c r="H178">
        <v>7827.33</v>
      </c>
      <c r="I178">
        <v>8</v>
      </c>
      <c r="J178">
        <v>669.61</v>
      </c>
    </row>
    <row r="179" spans="1:10" x14ac:dyDescent="0.3">
      <c r="A179" t="s">
        <v>185</v>
      </c>
      <c r="B179" s="1">
        <v>45151</v>
      </c>
      <c r="C179" s="1" t="str">
        <f>TEXT(Table1[[#This Row],[Date]], "MMM")</f>
        <v>Aug</v>
      </c>
      <c r="D179" s="1" t="str">
        <f>TEXT(Table1[[#This Row],[Date]], "YYYY")</f>
        <v>2023</v>
      </c>
      <c r="E179" t="s">
        <v>310</v>
      </c>
      <c r="F179" t="s">
        <v>315</v>
      </c>
      <c r="G179" t="s">
        <v>319</v>
      </c>
      <c r="H179">
        <v>2765.79</v>
      </c>
      <c r="I179">
        <v>4</v>
      </c>
      <c r="J179">
        <v>504.3</v>
      </c>
    </row>
    <row r="180" spans="1:10" x14ac:dyDescent="0.3">
      <c r="A180" t="s">
        <v>186</v>
      </c>
      <c r="B180" s="1">
        <v>45570</v>
      </c>
      <c r="C180" s="1" t="str">
        <f>TEXT(Table1[[#This Row],[Date]], "MMM")</f>
        <v>Oct</v>
      </c>
      <c r="D180" s="1" t="str">
        <f>TEXT(Table1[[#This Row],[Date]], "YYYY")</f>
        <v>2024</v>
      </c>
      <c r="E180" t="s">
        <v>308</v>
      </c>
      <c r="F180" t="s">
        <v>314</v>
      </c>
      <c r="G180" t="s">
        <v>317</v>
      </c>
      <c r="H180">
        <v>1968.93</v>
      </c>
      <c r="I180">
        <v>2</v>
      </c>
      <c r="J180">
        <v>724.65</v>
      </c>
    </row>
    <row r="181" spans="1:10" x14ac:dyDescent="0.3">
      <c r="A181" t="s">
        <v>187</v>
      </c>
      <c r="B181" s="1">
        <v>44961</v>
      </c>
      <c r="C181" s="1" t="str">
        <f>TEXT(Table1[[#This Row],[Date]], "MMM")</f>
        <v>Feb</v>
      </c>
      <c r="D181" s="1" t="str">
        <f>TEXT(Table1[[#This Row],[Date]], "YYYY")</f>
        <v>2023</v>
      </c>
      <c r="E181" t="s">
        <v>312</v>
      </c>
      <c r="F181" t="s">
        <v>315</v>
      </c>
      <c r="G181" t="s">
        <v>318</v>
      </c>
      <c r="H181">
        <v>3510.6</v>
      </c>
      <c r="I181">
        <v>10</v>
      </c>
      <c r="J181">
        <v>304.58999999999997</v>
      </c>
    </row>
    <row r="182" spans="1:10" x14ac:dyDescent="0.3">
      <c r="A182" t="s">
        <v>188</v>
      </c>
      <c r="B182" s="1">
        <v>45352</v>
      </c>
      <c r="C182" s="1" t="str">
        <f>TEXT(Table1[[#This Row],[Date]], "MMM")</f>
        <v>Mar</v>
      </c>
      <c r="D182" s="1" t="str">
        <f>TEXT(Table1[[#This Row],[Date]], "YYYY")</f>
        <v>2024</v>
      </c>
      <c r="E182" t="s">
        <v>312</v>
      </c>
      <c r="F182" t="s">
        <v>315</v>
      </c>
      <c r="G182" t="s">
        <v>319</v>
      </c>
      <c r="H182">
        <v>749.54</v>
      </c>
      <c r="I182">
        <v>3</v>
      </c>
      <c r="J182">
        <v>176.62</v>
      </c>
    </row>
    <row r="183" spans="1:10" x14ac:dyDescent="0.3">
      <c r="A183" t="s">
        <v>189</v>
      </c>
      <c r="B183" s="1">
        <v>45095</v>
      </c>
      <c r="C183" s="1" t="str">
        <f>TEXT(Table1[[#This Row],[Date]], "MMM")</f>
        <v>Jun</v>
      </c>
      <c r="D183" s="1" t="str">
        <f>TEXT(Table1[[#This Row],[Date]], "YYYY")</f>
        <v>2023</v>
      </c>
      <c r="E183" t="s">
        <v>312</v>
      </c>
      <c r="F183" t="s">
        <v>315</v>
      </c>
      <c r="G183" t="s">
        <v>319</v>
      </c>
      <c r="H183">
        <v>5415.38</v>
      </c>
      <c r="I183">
        <v>5</v>
      </c>
      <c r="J183">
        <v>732.96</v>
      </c>
    </row>
    <row r="184" spans="1:10" x14ac:dyDescent="0.3">
      <c r="A184" t="s">
        <v>190</v>
      </c>
      <c r="B184" s="1">
        <v>45044</v>
      </c>
      <c r="C184" s="1" t="str">
        <f>TEXT(Table1[[#This Row],[Date]], "MMM")</f>
        <v>Apr</v>
      </c>
      <c r="D184" s="1" t="str">
        <f>TEXT(Table1[[#This Row],[Date]], "YYYY")</f>
        <v>2023</v>
      </c>
      <c r="E184" t="s">
        <v>312</v>
      </c>
      <c r="F184" t="s">
        <v>315</v>
      </c>
      <c r="G184" t="s">
        <v>319</v>
      </c>
      <c r="H184">
        <v>7132.63</v>
      </c>
      <c r="I184">
        <v>8</v>
      </c>
      <c r="J184">
        <v>771.06</v>
      </c>
    </row>
    <row r="185" spans="1:10" x14ac:dyDescent="0.3">
      <c r="A185" t="s">
        <v>191</v>
      </c>
      <c r="B185" s="1">
        <v>45497</v>
      </c>
      <c r="C185" s="1" t="str">
        <f>TEXT(Table1[[#This Row],[Date]], "MMM")</f>
        <v>Jul</v>
      </c>
      <c r="D185" s="1" t="str">
        <f>TEXT(Table1[[#This Row],[Date]], "YYYY")</f>
        <v>2024</v>
      </c>
      <c r="E185" t="s">
        <v>310</v>
      </c>
      <c r="F185" t="s">
        <v>315</v>
      </c>
      <c r="G185" t="s">
        <v>318</v>
      </c>
      <c r="H185">
        <v>682.55</v>
      </c>
      <c r="I185">
        <v>6</v>
      </c>
      <c r="J185">
        <v>90.44</v>
      </c>
    </row>
    <row r="186" spans="1:10" x14ac:dyDescent="0.3">
      <c r="A186" t="s">
        <v>192</v>
      </c>
      <c r="B186" s="1">
        <v>45392</v>
      </c>
      <c r="C186" s="1" t="str">
        <f>TEXT(Table1[[#This Row],[Date]], "MMM")</f>
        <v>Apr</v>
      </c>
      <c r="D186" s="1" t="str">
        <f>TEXT(Table1[[#This Row],[Date]], "YYYY")</f>
        <v>2024</v>
      </c>
      <c r="E186" t="s">
        <v>312</v>
      </c>
      <c r="F186" t="s">
        <v>315</v>
      </c>
      <c r="G186" t="s">
        <v>316</v>
      </c>
      <c r="H186">
        <v>4474.8599999999997</v>
      </c>
      <c r="I186">
        <v>6</v>
      </c>
      <c r="J186">
        <v>544.80999999999995</v>
      </c>
    </row>
    <row r="187" spans="1:10" x14ac:dyDescent="0.3">
      <c r="A187" t="s">
        <v>193</v>
      </c>
      <c r="B187" s="1">
        <v>45580</v>
      </c>
      <c r="C187" s="1" t="str">
        <f>TEXT(Table1[[#This Row],[Date]], "MMM")</f>
        <v>Oct</v>
      </c>
      <c r="D187" s="1" t="str">
        <f>TEXT(Table1[[#This Row],[Date]], "YYYY")</f>
        <v>2024</v>
      </c>
      <c r="E187" t="s">
        <v>313</v>
      </c>
      <c r="F187" t="s">
        <v>315</v>
      </c>
      <c r="G187" t="s">
        <v>318</v>
      </c>
      <c r="H187">
        <v>748.41</v>
      </c>
      <c r="I187">
        <v>6</v>
      </c>
      <c r="J187">
        <v>104.51</v>
      </c>
    </row>
    <row r="188" spans="1:10" x14ac:dyDescent="0.3">
      <c r="A188" t="s">
        <v>194</v>
      </c>
      <c r="B188" s="1">
        <v>45551</v>
      </c>
      <c r="C188" s="1" t="str">
        <f>TEXT(Table1[[#This Row],[Date]], "MMM")</f>
        <v>Sep</v>
      </c>
      <c r="D188" s="1" t="str">
        <f>TEXT(Table1[[#This Row],[Date]], "YYYY")</f>
        <v>2024</v>
      </c>
      <c r="E188" t="s">
        <v>309</v>
      </c>
      <c r="F188" t="s">
        <v>314</v>
      </c>
      <c r="G188" t="s">
        <v>319</v>
      </c>
      <c r="H188">
        <v>2844.66</v>
      </c>
      <c r="I188">
        <v>4</v>
      </c>
      <c r="J188">
        <v>525.16999999999996</v>
      </c>
    </row>
    <row r="189" spans="1:10" x14ac:dyDescent="0.3">
      <c r="A189" t="s">
        <v>195</v>
      </c>
      <c r="B189" s="1">
        <v>45591</v>
      </c>
      <c r="C189" s="1" t="str">
        <f>TEXT(Table1[[#This Row],[Date]], "MMM")</f>
        <v>Oct</v>
      </c>
      <c r="D189" s="1" t="str">
        <f>TEXT(Table1[[#This Row],[Date]], "YYYY")</f>
        <v>2024</v>
      </c>
      <c r="E189" t="s">
        <v>311</v>
      </c>
      <c r="F189" t="s">
        <v>314</v>
      </c>
      <c r="G189" t="s">
        <v>319</v>
      </c>
      <c r="H189">
        <v>868.87</v>
      </c>
      <c r="I189">
        <v>7</v>
      </c>
      <c r="J189">
        <v>111.01</v>
      </c>
    </row>
    <row r="190" spans="1:10" x14ac:dyDescent="0.3">
      <c r="A190" t="s">
        <v>196</v>
      </c>
      <c r="B190" s="1">
        <v>45431</v>
      </c>
      <c r="C190" s="1" t="str">
        <f>TEXT(Table1[[#This Row],[Date]], "MMM")</f>
        <v>May</v>
      </c>
      <c r="D190" s="1" t="str">
        <f>TEXT(Table1[[#This Row],[Date]], "YYYY")</f>
        <v>2024</v>
      </c>
      <c r="E190" t="s">
        <v>309</v>
      </c>
      <c r="F190" t="s">
        <v>314</v>
      </c>
      <c r="G190" t="s">
        <v>319</v>
      </c>
      <c r="H190">
        <v>278.79000000000002</v>
      </c>
      <c r="I190">
        <v>2</v>
      </c>
      <c r="J190">
        <v>95.81</v>
      </c>
    </row>
    <row r="191" spans="1:10" x14ac:dyDescent="0.3">
      <c r="A191" t="s">
        <v>197</v>
      </c>
      <c r="B191" s="1">
        <v>45391</v>
      </c>
      <c r="C191" s="1" t="str">
        <f>TEXT(Table1[[#This Row],[Date]], "MMM")</f>
        <v>Apr</v>
      </c>
      <c r="D191" s="1" t="str">
        <f>TEXT(Table1[[#This Row],[Date]], "YYYY")</f>
        <v>2024</v>
      </c>
      <c r="E191" t="s">
        <v>310</v>
      </c>
      <c r="F191" t="s">
        <v>315</v>
      </c>
      <c r="G191" t="s">
        <v>318</v>
      </c>
      <c r="H191">
        <v>4552.09</v>
      </c>
      <c r="I191">
        <v>6</v>
      </c>
      <c r="J191">
        <v>542.98</v>
      </c>
    </row>
    <row r="192" spans="1:10" x14ac:dyDescent="0.3">
      <c r="A192" t="s">
        <v>198</v>
      </c>
      <c r="B192" s="1">
        <v>45528</v>
      </c>
      <c r="C192" s="1" t="str">
        <f>TEXT(Table1[[#This Row],[Date]], "MMM")</f>
        <v>Aug</v>
      </c>
      <c r="D192" s="1" t="str">
        <f>TEXT(Table1[[#This Row],[Date]], "YYYY")</f>
        <v>2024</v>
      </c>
      <c r="E192" t="s">
        <v>313</v>
      </c>
      <c r="F192" t="s">
        <v>315</v>
      </c>
      <c r="G192" t="s">
        <v>318</v>
      </c>
      <c r="H192">
        <v>2903.53</v>
      </c>
      <c r="I192">
        <v>3</v>
      </c>
      <c r="J192">
        <v>710.62</v>
      </c>
    </row>
    <row r="193" spans="1:10" x14ac:dyDescent="0.3">
      <c r="A193" t="s">
        <v>199</v>
      </c>
      <c r="B193" s="1">
        <v>45213</v>
      </c>
      <c r="C193" s="1" t="str">
        <f>TEXT(Table1[[#This Row],[Date]], "MMM")</f>
        <v>Oct</v>
      </c>
      <c r="D193" s="1" t="str">
        <f>TEXT(Table1[[#This Row],[Date]], "YYYY")</f>
        <v>2023</v>
      </c>
      <c r="E193" t="s">
        <v>311</v>
      </c>
      <c r="F193" t="s">
        <v>314</v>
      </c>
      <c r="G193" t="s">
        <v>318</v>
      </c>
      <c r="H193">
        <v>662.79</v>
      </c>
      <c r="I193">
        <v>1</v>
      </c>
      <c r="J193">
        <v>558.41999999999996</v>
      </c>
    </row>
    <row r="194" spans="1:10" x14ac:dyDescent="0.3">
      <c r="A194" t="s">
        <v>200</v>
      </c>
      <c r="B194" s="1">
        <v>45298</v>
      </c>
      <c r="C194" s="1" t="str">
        <f>TEXT(Table1[[#This Row],[Date]], "MMM")</f>
        <v>Jan</v>
      </c>
      <c r="D194" s="1" t="str">
        <f>TEXT(Table1[[#This Row],[Date]], "YYYY")</f>
        <v>2024</v>
      </c>
      <c r="E194" t="s">
        <v>311</v>
      </c>
      <c r="F194" t="s">
        <v>314</v>
      </c>
      <c r="G194" t="s">
        <v>317</v>
      </c>
      <c r="H194">
        <v>1957.99</v>
      </c>
      <c r="I194">
        <v>2</v>
      </c>
      <c r="J194">
        <v>785.12</v>
      </c>
    </row>
    <row r="195" spans="1:10" x14ac:dyDescent="0.3">
      <c r="A195" t="s">
        <v>201</v>
      </c>
      <c r="B195" s="1">
        <v>44989</v>
      </c>
      <c r="C195" s="1" t="str">
        <f>TEXT(Table1[[#This Row],[Date]], "MMM")</f>
        <v>Mar</v>
      </c>
      <c r="D195" s="1" t="str">
        <f>TEXT(Table1[[#This Row],[Date]], "YYYY")</f>
        <v>2023</v>
      </c>
      <c r="E195" t="s">
        <v>308</v>
      </c>
      <c r="F195" t="s">
        <v>314</v>
      </c>
      <c r="G195" t="s">
        <v>319</v>
      </c>
      <c r="H195">
        <v>2448.56</v>
      </c>
      <c r="I195">
        <v>7</v>
      </c>
      <c r="J195">
        <v>235.19</v>
      </c>
    </row>
    <row r="196" spans="1:10" x14ac:dyDescent="0.3">
      <c r="A196" t="s">
        <v>202</v>
      </c>
      <c r="B196" s="1">
        <v>45605</v>
      </c>
      <c r="C196" s="1" t="str">
        <f>TEXT(Table1[[#This Row],[Date]], "MMM")</f>
        <v>Nov</v>
      </c>
      <c r="D196" s="1" t="str">
        <f>TEXT(Table1[[#This Row],[Date]], "YYYY")</f>
        <v>2024</v>
      </c>
      <c r="E196" t="s">
        <v>311</v>
      </c>
      <c r="F196" t="s">
        <v>314</v>
      </c>
      <c r="G196" t="s">
        <v>316</v>
      </c>
      <c r="H196">
        <v>2787.66</v>
      </c>
      <c r="I196">
        <v>4</v>
      </c>
      <c r="J196">
        <v>520.53</v>
      </c>
    </row>
    <row r="197" spans="1:10" x14ac:dyDescent="0.3">
      <c r="A197" t="s">
        <v>203</v>
      </c>
      <c r="B197" s="1">
        <v>45268</v>
      </c>
      <c r="C197" s="1" t="str">
        <f>TEXT(Table1[[#This Row],[Date]], "MMM")</f>
        <v>Dec</v>
      </c>
      <c r="D197" s="1" t="str">
        <f>TEXT(Table1[[#This Row],[Date]], "YYYY")</f>
        <v>2023</v>
      </c>
      <c r="E197" t="s">
        <v>309</v>
      </c>
      <c r="F197" t="s">
        <v>314</v>
      </c>
      <c r="G197" t="s">
        <v>316</v>
      </c>
      <c r="H197">
        <v>4477.9799999999996</v>
      </c>
      <c r="I197">
        <v>4</v>
      </c>
      <c r="J197">
        <v>791.28</v>
      </c>
    </row>
    <row r="198" spans="1:10" x14ac:dyDescent="0.3">
      <c r="A198" t="s">
        <v>204</v>
      </c>
      <c r="B198" s="1">
        <v>45494</v>
      </c>
      <c r="C198" s="1" t="str">
        <f>TEXT(Table1[[#This Row],[Date]], "MMM")</f>
        <v>Jul</v>
      </c>
      <c r="D198" s="1" t="str">
        <f>TEXT(Table1[[#This Row],[Date]], "YYYY")</f>
        <v>2024</v>
      </c>
      <c r="E198" t="s">
        <v>310</v>
      </c>
      <c r="F198" t="s">
        <v>315</v>
      </c>
      <c r="G198" t="s">
        <v>316</v>
      </c>
      <c r="H198">
        <v>2721.49</v>
      </c>
      <c r="I198">
        <v>4</v>
      </c>
      <c r="J198">
        <v>477.38</v>
      </c>
    </row>
    <row r="199" spans="1:10" x14ac:dyDescent="0.3">
      <c r="A199" t="s">
        <v>205</v>
      </c>
      <c r="B199" s="1">
        <v>45078</v>
      </c>
      <c r="C199" s="1" t="str">
        <f>TEXT(Table1[[#This Row],[Date]], "MMM")</f>
        <v>Jun</v>
      </c>
      <c r="D199" s="1" t="str">
        <f>TEXT(Table1[[#This Row],[Date]], "YYYY")</f>
        <v>2023</v>
      </c>
      <c r="E199" t="s">
        <v>310</v>
      </c>
      <c r="F199" t="s">
        <v>315</v>
      </c>
      <c r="G199" t="s">
        <v>319</v>
      </c>
      <c r="H199">
        <v>320.57</v>
      </c>
      <c r="I199">
        <v>10</v>
      </c>
      <c r="J199">
        <v>22.21</v>
      </c>
    </row>
    <row r="200" spans="1:10" x14ac:dyDescent="0.3">
      <c r="A200" t="s">
        <v>206</v>
      </c>
      <c r="B200" s="1">
        <v>45480</v>
      </c>
      <c r="C200" s="1" t="str">
        <f>TEXT(Table1[[#This Row],[Date]], "MMM")</f>
        <v>Jul</v>
      </c>
      <c r="D200" s="1" t="str">
        <f>TEXT(Table1[[#This Row],[Date]], "YYYY")</f>
        <v>2024</v>
      </c>
      <c r="E200" t="s">
        <v>310</v>
      </c>
      <c r="F200" t="s">
        <v>315</v>
      </c>
      <c r="G200" t="s">
        <v>317</v>
      </c>
      <c r="H200">
        <v>3676.95</v>
      </c>
      <c r="I200">
        <v>5</v>
      </c>
      <c r="J200">
        <v>642.84</v>
      </c>
    </row>
    <row r="201" spans="1:10" x14ac:dyDescent="0.3">
      <c r="A201" t="s">
        <v>207</v>
      </c>
      <c r="B201" s="1">
        <v>44942</v>
      </c>
      <c r="C201" s="1" t="str">
        <f>TEXT(Table1[[#This Row],[Date]], "MMM")</f>
        <v>Jan</v>
      </c>
      <c r="D201" s="1" t="str">
        <f>TEXT(Table1[[#This Row],[Date]], "YYYY")</f>
        <v>2023</v>
      </c>
      <c r="E201" t="s">
        <v>309</v>
      </c>
      <c r="F201" t="s">
        <v>314</v>
      </c>
      <c r="G201" t="s">
        <v>317</v>
      </c>
      <c r="H201">
        <v>4562.1400000000003</v>
      </c>
      <c r="I201">
        <v>6</v>
      </c>
      <c r="J201">
        <v>636.19000000000005</v>
      </c>
    </row>
    <row r="202" spans="1:10" x14ac:dyDescent="0.3">
      <c r="A202" t="s">
        <v>208</v>
      </c>
      <c r="B202" s="1">
        <v>45105</v>
      </c>
      <c r="C202" s="1" t="str">
        <f>TEXT(Table1[[#This Row],[Date]], "MMM")</f>
        <v>Jun</v>
      </c>
      <c r="D202" s="1" t="str">
        <f>TEXT(Table1[[#This Row],[Date]], "YYYY")</f>
        <v>2023</v>
      </c>
      <c r="E202" t="s">
        <v>312</v>
      </c>
      <c r="F202" t="s">
        <v>315</v>
      </c>
      <c r="G202" t="s">
        <v>316</v>
      </c>
      <c r="H202">
        <v>425.08</v>
      </c>
      <c r="I202">
        <v>5</v>
      </c>
      <c r="J202">
        <v>60.87</v>
      </c>
    </row>
    <row r="203" spans="1:10" x14ac:dyDescent="0.3">
      <c r="A203" t="s">
        <v>209</v>
      </c>
      <c r="B203" s="1">
        <v>44992</v>
      </c>
      <c r="C203" s="1" t="str">
        <f>TEXT(Table1[[#This Row],[Date]], "MMM")</f>
        <v>Mar</v>
      </c>
      <c r="D203" s="1" t="str">
        <f>TEXT(Table1[[#This Row],[Date]], "YYYY")</f>
        <v>2023</v>
      </c>
      <c r="E203" t="s">
        <v>313</v>
      </c>
      <c r="F203" t="s">
        <v>315</v>
      </c>
      <c r="G203" t="s">
        <v>316</v>
      </c>
      <c r="H203">
        <v>3681.17</v>
      </c>
      <c r="I203">
        <v>8</v>
      </c>
      <c r="J203">
        <v>369.65</v>
      </c>
    </row>
    <row r="204" spans="1:10" x14ac:dyDescent="0.3">
      <c r="A204" t="s">
        <v>210</v>
      </c>
      <c r="B204" s="1">
        <v>45389</v>
      </c>
      <c r="C204" s="1" t="str">
        <f>TEXT(Table1[[#This Row],[Date]], "MMM")</f>
        <v>Apr</v>
      </c>
      <c r="D204" s="1" t="str">
        <f>TEXT(Table1[[#This Row],[Date]], "YYYY")</f>
        <v>2024</v>
      </c>
      <c r="E204" t="s">
        <v>313</v>
      </c>
      <c r="F204" t="s">
        <v>315</v>
      </c>
      <c r="G204" t="s">
        <v>316</v>
      </c>
      <c r="H204">
        <v>2335.77</v>
      </c>
      <c r="I204">
        <v>9</v>
      </c>
      <c r="J204">
        <v>192.81</v>
      </c>
    </row>
    <row r="205" spans="1:10" x14ac:dyDescent="0.3">
      <c r="A205" t="s">
        <v>211</v>
      </c>
      <c r="B205" s="1">
        <v>45396</v>
      </c>
      <c r="C205" s="1" t="str">
        <f>TEXT(Table1[[#This Row],[Date]], "MMM")</f>
        <v>Apr</v>
      </c>
      <c r="D205" s="1" t="str">
        <f>TEXT(Table1[[#This Row],[Date]], "YYYY")</f>
        <v>2024</v>
      </c>
      <c r="E205" t="s">
        <v>308</v>
      </c>
      <c r="F205" t="s">
        <v>314</v>
      </c>
      <c r="G205" t="s">
        <v>319</v>
      </c>
      <c r="H205">
        <v>87.11</v>
      </c>
      <c r="I205">
        <v>1</v>
      </c>
      <c r="J205">
        <v>67.44</v>
      </c>
    </row>
    <row r="206" spans="1:10" x14ac:dyDescent="0.3">
      <c r="A206" t="s">
        <v>212</v>
      </c>
      <c r="B206" s="1">
        <v>45629</v>
      </c>
      <c r="C206" s="1" t="str">
        <f>TEXT(Table1[[#This Row],[Date]], "MMM")</f>
        <v>Dec</v>
      </c>
      <c r="D206" s="1" t="str">
        <f>TEXT(Table1[[#This Row],[Date]], "YYYY")</f>
        <v>2024</v>
      </c>
      <c r="E206" t="s">
        <v>311</v>
      </c>
      <c r="F206" t="s">
        <v>314</v>
      </c>
      <c r="G206" t="s">
        <v>318</v>
      </c>
      <c r="H206">
        <v>1178.1600000000001</v>
      </c>
      <c r="I206">
        <v>2</v>
      </c>
      <c r="J206">
        <v>402.41</v>
      </c>
    </row>
    <row r="207" spans="1:10" x14ac:dyDescent="0.3">
      <c r="A207" t="s">
        <v>213</v>
      </c>
      <c r="B207" s="1">
        <v>45256</v>
      </c>
      <c r="C207" s="1" t="str">
        <f>TEXT(Table1[[#This Row],[Date]], "MMM")</f>
        <v>Nov</v>
      </c>
      <c r="D207" s="1" t="str">
        <f>TEXT(Table1[[#This Row],[Date]], "YYYY")</f>
        <v>2023</v>
      </c>
      <c r="E207" t="s">
        <v>309</v>
      </c>
      <c r="F207" t="s">
        <v>314</v>
      </c>
      <c r="G207" t="s">
        <v>316</v>
      </c>
      <c r="H207">
        <v>1561.2</v>
      </c>
      <c r="I207">
        <v>10</v>
      </c>
      <c r="J207">
        <v>135.69999999999999</v>
      </c>
    </row>
    <row r="208" spans="1:10" x14ac:dyDescent="0.3">
      <c r="A208" t="s">
        <v>214</v>
      </c>
      <c r="B208" s="1">
        <v>45317</v>
      </c>
      <c r="C208" s="1" t="str">
        <f>TEXT(Table1[[#This Row],[Date]], "MMM")</f>
        <v>Jan</v>
      </c>
      <c r="D208" s="1" t="str">
        <f>TEXT(Table1[[#This Row],[Date]], "YYYY")</f>
        <v>2024</v>
      </c>
      <c r="E208" t="s">
        <v>313</v>
      </c>
      <c r="F208" t="s">
        <v>315</v>
      </c>
      <c r="G208" t="s">
        <v>319</v>
      </c>
      <c r="H208">
        <v>5559.47</v>
      </c>
      <c r="I208">
        <v>10</v>
      </c>
      <c r="J208">
        <v>433.83</v>
      </c>
    </row>
    <row r="209" spans="1:10" x14ac:dyDescent="0.3">
      <c r="A209" t="s">
        <v>215</v>
      </c>
      <c r="B209" s="1">
        <v>45028</v>
      </c>
      <c r="C209" s="1" t="str">
        <f>TEXT(Table1[[#This Row],[Date]], "MMM")</f>
        <v>Apr</v>
      </c>
      <c r="D209" s="1" t="str">
        <f>TEXT(Table1[[#This Row],[Date]], "YYYY")</f>
        <v>2023</v>
      </c>
      <c r="E209" t="s">
        <v>313</v>
      </c>
      <c r="F209" t="s">
        <v>315</v>
      </c>
      <c r="G209" t="s">
        <v>318</v>
      </c>
      <c r="H209">
        <v>1864.19</v>
      </c>
      <c r="I209">
        <v>2</v>
      </c>
      <c r="J209">
        <v>685.18</v>
      </c>
    </row>
    <row r="210" spans="1:10" x14ac:dyDescent="0.3">
      <c r="A210" t="s">
        <v>216</v>
      </c>
      <c r="B210" s="1">
        <v>45367</v>
      </c>
      <c r="C210" s="1" t="str">
        <f>TEXT(Table1[[#This Row],[Date]], "MMM")</f>
        <v>Mar</v>
      </c>
      <c r="D210" s="1" t="str">
        <f>TEXT(Table1[[#This Row],[Date]], "YYYY")</f>
        <v>2024</v>
      </c>
      <c r="E210" t="s">
        <v>313</v>
      </c>
      <c r="F210" t="s">
        <v>315</v>
      </c>
      <c r="G210" t="s">
        <v>317</v>
      </c>
      <c r="H210">
        <v>7215.62</v>
      </c>
      <c r="I210">
        <v>8</v>
      </c>
      <c r="J210">
        <v>712.71</v>
      </c>
    </row>
    <row r="211" spans="1:10" x14ac:dyDescent="0.3">
      <c r="A211" t="s">
        <v>217</v>
      </c>
      <c r="B211" s="1">
        <v>45352</v>
      </c>
      <c r="C211" s="1" t="str">
        <f>TEXT(Table1[[#This Row],[Date]], "MMM")</f>
        <v>Mar</v>
      </c>
      <c r="D211" s="1" t="str">
        <f>TEXT(Table1[[#This Row],[Date]], "YYYY")</f>
        <v>2024</v>
      </c>
      <c r="E211" t="s">
        <v>311</v>
      </c>
      <c r="F211" t="s">
        <v>314</v>
      </c>
      <c r="G211" t="s">
        <v>318</v>
      </c>
      <c r="H211">
        <v>646.29</v>
      </c>
      <c r="I211">
        <v>2</v>
      </c>
      <c r="J211">
        <v>263.79000000000002</v>
      </c>
    </row>
    <row r="212" spans="1:10" x14ac:dyDescent="0.3">
      <c r="A212" t="s">
        <v>218</v>
      </c>
      <c r="B212" s="1">
        <v>45083</v>
      </c>
      <c r="C212" s="1" t="str">
        <f>TEXT(Table1[[#This Row],[Date]], "MMM")</f>
        <v>Jun</v>
      </c>
      <c r="D212" s="1" t="str">
        <f>TEXT(Table1[[#This Row],[Date]], "YYYY")</f>
        <v>2023</v>
      </c>
      <c r="E212" t="s">
        <v>312</v>
      </c>
      <c r="F212" t="s">
        <v>315</v>
      </c>
      <c r="G212" t="s">
        <v>319</v>
      </c>
      <c r="H212">
        <v>829.37</v>
      </c>
      <c r="I212">
        <v>8</v>
      </c>
      <c r="J212">
        <v>72.36</v>
      </c>
    </row>
    <row r="213" spans="1:10" x14ac:dyDescent="0.3">
      <c r="A213" t="s">
        <v>219</v>
      </c>
      <c r="B213" s="1">
        <v>45025</v>
      </c>
      <c r="C213" s="1" t="str">
        <f>TEXT(Table1[[#This Row],[Date]], "MMM")</f>
        <v>Apr</v>
      </c>
      <c r="D213" s="1" t="str">
        <f>TEXT(Table1[[#This Row],[Date]], "YYYY")</f>
        <v>2023</v>
      </c>
      <c r="E213" t="s">
        <v>309</v>
      </c>
      <c r="F213" t="s">
        <v>314</v>
      </c>
      <c r="G213" t="s">
        <v>318</v>
      </c>
      <c r="H213">
        <v>5183.17</v>
      </c>
      <c r="I213">
        <v>6</v>
      </c>
      <c r="J213">
        <v>653.17999999999995</v>
      </c>
    </row>
    <row r="214" spans="1:10" x14ac:dyDescent="0.3">
      <c r="A214" t="s">
        <v>220</v>
      </c>
      <c r="B214" s="1">
        <v>45613</v>
      </c>
      <c r="C214" s="1" t="str">
        <f>TEXT(Table1[[#This Row],[Date]], "MMM")</f>
        <v>Nov</v>
      </c>
      <c r="D214" s="1" t="str">
        <f>TEXT(Table1[[#This Row],[Date]], "YYYY")</f>
        <v>2024</v>
      </c>
      <c r="E214" t="s">
        <v>313</v>
      </c>
      <c r="F214" t="s">
        <v>315</v>
      </c>
      <c r="G214" t="s">
        <v>319</v>
      </c>
      <c r="H214">
        <v>986.87</v>
      </c>
      <c r="I214">
        <v>2</v>
      </c>
      <c r="J214">
        <v>340.43</v>
      </c>
    </row>
    <row r="215" spans="1:10" x14ac:dyDescent="0.3">
      <c r="A215" t="s">
        <v>221</v>
      </c>
      <c r="B215" s="1">
        <v>45221</v>
      </c>
      <c r="C215" s="1" t="str">
        <f>TEXT(Table1[[#This Row],[Date]], "MMM")</f>
        <v>Oct</v>
      </c>
      <c r="D215" s="1" t="str">
        <f>TEXT(Table1[[#This Row],[Date]], "YYYY")</f>
        <v>2023</v>
      </c>
      <c r="E215" t="s">
        <v>311</v>
      </c>
      <c r="F215" t="s">
        <v>314</v>
      </c>
      <c r="G215" t="s">
        <v>316</v>
      </c>
      <c r="H215">
        <v>3010.09</v>
      </c>
      <c r="I215">
        <v>10</v>
      </c>
      <c r="J215">
        <v>263.70999999999998</v>
      </c>
    </row>
    <row r="216" spans="1:10" x14ac:dyDescent="0.3">
      <c r="A216" t="s">
        <v>222</v>
      </c>
      <c r="B216" s="1">
        <v>45085</v>
      </c>
      <c r="C216" s="1" t="str">
        <f>TEXT(Table1[[#This Row],[Date]], "MMM")</f>
        <v>Jun</v>
      </c>
      <c r="D216" s="1" t="str">
        <f>TEXT(Table1[[#This Row],[Date]], "YYYY")</f>
        <v>2023</v>
      </c>
      <c r="E216" t="s">
        <v>313</v>
      </c>
      <c r="F216" t="s">
        <v>315</v>
      </c>
      <c r="G216" t="s">
        <v>317</v>
      </c>
      <c r="H216">
        <v>1782.71</v>
      </c>
      <c r="I216">
        <v>8</v>
      </c>
      <c r="J216">
        <v>194.91</v>
      </c>
    </row>
    <row r="217" spans="1:10" x14ac:dyDescent="0.3">
      <c r="A217" t="s">
        <v>223</v>
      </c>
      <c r="B217" s="1">
        <v>45044</v>
      </c>
      <c r="C217" s="1" t="str">
        <f>TEXT(Table1[[#This Row],[Date]], "MMM")</f>
        <v>Apr</v>
      </c>
      <c r="D217" s="1" t="str">
        <f>TEXT(Table1[[#This Row],[Date]], "YYYY")</f>
        <v>2023</v>
      </c>
      <c r="E217" t="s">
        <v>313</v>
      </c>
      <c r="F217" t="s">
        <v>315</v>
      </c>
      <c r="G217" t="s">
        <v>319</v>
      </c>
      <c r="H217">
        <v>3328.14</v>
      </c>
      <c r="I217">
        <v>5</v>
      </c>
      <c r="J217">
        <v>467.8</v>
      </c>
    </row>
    <row r="218" spans="1:10" x14ac:dyDescent="0.3">
      <c r="A218" t="s">
        <v>224</v>
      </c>
      <c r="B218" s="1">
        <v>45550</v>
      </c>
      <c r="C218" s="1" t="str">
        <f>TEXT(Table1[[#This Row],[Date]], "MMM")</f>
        <v>Sep</v>
      </c>
      <c r="D218" s="1" t="str">
        <f>TEXT(Table1[[#This Row],[Date]], "YYYY")</f>
        <v>2024</v>
      </c>
      <c r="E218" t="s">
        <v>313</v>
      </c>
      <c r="F218" t="s">
        <v>315</v>
      </c>
      <c r="G218" t="s">
        <v>316</v>
      </c>
      <c r="H218">
        <v>257.45999999999998</v>
      </c>
      <c r="I218">
        <v>5</v>
      </c>
      <c r="J218">
        <v>42.58</v>
      </c>
    </row>
    <row r="219" spans="1:10" x14ac:dyDescent="0.3">
      <c r="A219" t="s">
        <v>225</v>
      </c>
      <c r="B219" s="1">
        <v>45286</v>
      </c>
      <c r="C219" s="1" t="str">
        <f>TEXT(Table1[[#This Row],[Date]], "MMM")</f>
        <v>Dec</v>
      </c>
      <c r="D219" s="1" t="str">
        <f>TEXT(Table1[[#This Row],[Date]], "YYYY")</f>
        <v>2023</v>
      </c>
      <c r="E219" t="s">
        <v>312</v>
      </c>
      <c r="F219" t="s">
        <v>315</v>
      </c>
      <c r="G219" t="s">
        <v>319</v>
      </c>
      <c r="H219">
        <v>186.9</v>
      </c>
      <c r="I219">
        <v>1</v>
      </c>
      <c r="J219">
        <v>161.5</v>
      </c>
    </row>
    <row r="220" spans="1:10" x14ac:dyDescent="0.3">
      <c r="A220" t="s">
        <v>226</v>
      </c>
      <c r="B220" s="1">
        <v>44998</v>
      </c>
      <c r="C220" s="1" t="str">
        <f>TEXT(Table1[[#This Row],[Date]], "MMM")</f>
        <v>Mar</v>
      </c>
      <c r="D220" s="1" t="str">
        <f>TEXT(Table1[[#This Row],[Date]], "YYYY")</f>
        <v>2023</v>
      </c>
      <c r="E220" t="s">
        <v>308</v>
      </c>
      <c r="F220" t="s">
        <v>314</v>
      </c>
      <c r="G220" t="s">
        <v>318</v>
      </c>
      <c r="H220">
        <v>2670.59</v>
      </c>
      <c r="I220">
        <v>3</v>
      </c>
      <c r="J220">
        <v>597.96</v>
      </c>
    </row>
    <row r="221" spans="1:10" x14ac:dyDescent="0.3">
      <c r="A221" t="s">
        <v>227</v>
      </c>
      <c r="B221" s="1">
        <v>45312</v>
      </c>
      <c r="C221" s="1" t="str">
        <f>TEXT(Table1[[#This Row],[Date]], "MMM")</f>
        <v>Jan</v>
      </c>
      <c r="D221" s="1" t="str">
        <f>TEXT(Table1[[#This Row],[Date]], "YYYY")</f>
        <v>2024</v>
      </c>
      <c r="E221" t="s">
        <v>309</v>
      </c>
      <c r="F221" t="s">
        <v>314</v>
      </c>
      <c r="G221" t="s">
        <v>317</v>
      </c>
      <c r="H221">
        <v>3043.34</v>
      </c>
      <c r="I221">
        <v>7</v>
      </c>
      <c r="J221">
        <v>373.84</v>
      </c>
    </row>
    <row r="222" spans="1:10" x14ac:dyDescent="0.3">
      <c r="A222" t="s">
        <v>228</v>
      </c>
      <c r="B222" s="1">
        <v>45508</v>
      </c>
      <c r="C222" s="1" t="str">
        <f>TEXT(Table1[[#This Row],[Date]], "MMM")</f>
        <v>Aug</v>
      </c>
      <c r="D222" s="1" t="str">
        <f>TEXT(Table1[[#This Row],[Date]], "YYYY")</f>
        <v>2024</v>
      </c>
      <c r="E222" t="s">
        <v>312</v>
      </c>
      <c r="F222" t="s">
        <v>315</v>
      </c>
      <c r="G222" t="s">
        <v>319</v>
      </c>
      <c r="H222">
        <v>967.12</v>
      </c>
      <c r="I222">
        <v>10</v>
      </c>
      <c r="J222">
        <v>86.27</v>
      </c>
    </row>
    <row r="223" spans="1:10" x14ac:dyDescent="0.3">
      <c r="A223" t="s">
        <v>229</v>
      </c>
      <c r="B223" s="1">
        <v>45617</v>
      </c>
      <c r="C223" s="1" t="str">
        <f>TEXT(Table1[[#This Row],[Date]], "MMM")</f>
        <v>Nov</v>
      </c>
      <c r="D223" s="1" t="str">
        <f>TEXT(Table1[[#This Row],[Date]], "YYYY")</f>
        <v>2024</v>
      </c>
      <c r="E223" t="s">
        <v>310</v>
      </c>
      <c r="F223" t="s">
        <v>315</v>
      </c>
      <c r="G223" t="s">
        <v>316</v>
      </c>
      <c r="H223">
        <v>633.91</v>
      </c>
      <c r="I223">
        <v>2</v>
      </c>
      <c r="J223">
        <v>232.24</v>
      </c>
    </row>
    <row r="224" spans="1:10" x14ac:dyDescent="0.3">
      <c r="A224" t="s">
        <v>230</v>
      </c>
      <c r="B224" s="1">
        <v>45351</v>
      </c>
      <c r="C224" s="1" t="str">
        <f>TEXT(Table1[[#This Row],[Date]], "MMM")</f>
        <v>Feb</v>
      </c>
      <c r="D224" s="1" t="str">
        <f>TEXT(Table1[[#This Row],[Date]], "YYYY")</f>
        <v>2024</v>
      </c>
      <c r="E224" t="s">
        <v>311</v>
      </c>
      <c r="F224" t="s">
        <v>314</v>
      </c>
      <c r="G224" t="s">
        <v>318</v>
      </c>
      <c r="H224">
        <v>1227.56</v>
      </c>
      <c r="I224">
        <v>5</v>
      </c>
      <c r="J224">
        <v>188.14</v>
      </c>
    </row>
    <row r="225" spans="1:10" x14ac:dyDescent="0.3">
      <c r="A225" t="s">
        <v>231</v>
      </c>
      <c r="B225" s="1">
        <v>45040</v>
      </c>
      <c r="C225" s="1" t="str">
        <f>TEXT(Table1[[#This Row],[Date]], "MMM")</f>
        <v>Apr</v>
      </c>
      <c r="D225" s="1" t="str">
        <f>TEXT(Table1[[#This Row],[Date]], "YYYY")</f>
        <v>2023</v>
      </c>
      <c r="E225" t="s">
        <v>312</v>
      </c>
      <c r="F225" t="s">
        <v>315</v>
      </c>
      <c r="G225" t="s">
        <v>318</v>
      </c>
      <c r="H225">
        <v>3670.83</v>
      </c>
      <c r="I225">
        <v>5</v>
      </c>
      <c r="J225">
        <v>549.01</v>
      </c>
    </row>
    <row r="226" spans="1:10" x14ac:dyDescent="0.3">
      <c r="A226" t="s">
        <v>232</v>
      </c>
      <c r="B226" s="1">
        <v>44973</v>
      </c>
      <c r="C226" s="1" t="str">
        <f>TEXT(Table1[[#This Row],[Date]], "MMM")</f>
        <v>Feb</v>
      </c>
      <c r="D226" s="1" t="str">
        <f>TEXT(Table1[[#This Row],[Date]], "YYYY")</f>
        <v>2023</v>
      </c>
      <c r="E226" t="s">
        <v>313</v>
      </c>
      <c r="F226" t="s">
        <v>315</v>
      </c>
      <c r="G226" t="s">
        <v>319</v>
      </c>
      <c r="H226">
        <v>1759.39</v>
      </c>
      <c r="I226">
        <v>4</v>
      </c>
      <c r="J226">
        <v>328.31</v>
      </c>
    </row>
    <row r="227" spans="1:10" x14ac:dyDescent="0.3">
      <c r="A227" t="s">
        <v>233</v>
      </c>
      <c r="B227" s="1">
        <v>45235</v>
      </c>
      <c r="C227" s="1" t="str">
        <f>TEXT(Table1[[#This Row],[Date]], "MMM")</f>
        <v>Nov</v>
      </c>
      <c r="D227" s="1" t="str">
        <f>TEXT(Table1[[#This Row],[Date]], "YYYY")</f>
        <v>2023</v>
      </c>
      <c r="E227" t="s">
        <v>309</v>
      </c>
      <c r="F227" t="s">
        <v>314</v>
      </c>
      <c r="G227" t="s">
        <v>317</v>
      </c>
      <c r="H227">
        <v>3477.78</v>
      </c>
      <c r="I227">
        <v>4</v>
      </c>
      <c r="J227">
        <v>618.53</v>
      </c>
    </row>
    <row r="228" spans="1:10" x14ac:dyDescent="0.3">
      <c r="A228" t="s">
        <v>234</v>
      </c>
      <c r="B228" s="1">
        <v>45049</v>
      </c>
      <c r="C228" s="1" t="str">
        <f>TEXT(Table1[[#This Row],[Date]], "MMM")</f>
        <v>May</v>
      </c>
      <c r="D228" s="1" t="str">
        <f>TEXT(Table1[[#This Row],[Date]], "YYYY")</f>
        <v>2023</v>
      </c>
      <c r="E228" t="s">
        <v>312</v>
      </c>
      <c r="F228" t="s">
        <v>315</v>
      </c>
      <c r="G228" t="s">
        <v>319</v>
      </c>
      <c r="H228">
        <v>519.03</v>
      </c>
      <c r="I228">
        <v>1</v>
      </c>
      <c r="J228">
        <v>407.96</v>
      </c>
    </row>
    <row r="229" spans="1:10" x14ac:dyDescent="0.3">
      <c r="A229" t="s">
        <v>235</v>
      </c>
      <c r="B229" s="1">
        <v>45472</v>
      </c>
      <c r="C229" s="1" t="str">
        <f>TEXT(Table1[[#This Row],[Date]], "MMM")</f>
        <v>Jun</v>
      </c>
      <c r="D229" s="1" t="str">
        <f>TEXT(Table1[[#This Row],[Date]], "YYYY")</f>
        <v>2024</v>
      </c>
      <c r="E229" t="s">
        <v>310</v>
      </c>
      <c r="F229" t="s">
        <v>315</v>
      </c>
      <c r="G229" t="s">
        <v>318</v>
      </c>
      <c r="H229">
        <v>2351.83</v>
      </c>
      <c r="I229">
        <v>4</v>
      </c>
      <c r="J229">
        <v>410.2</v>
      </c>
    </row>
    <row r="230" spans="1:10" x14ac:dyDescent="0.3">
      <c r="A230" t="s">
        <v>236</v>
      </c>
      <c r="B230" s="1">
        <v>45333</v>
      </c>
      <c r="C230" s="1" t="str">
        <f>TEXT(Table1[[#This Row],[Date]], "MMM")</f>
        <v>Feb</v>
      </c>
      <c r="D230" s="1" t="str">
        <f>TEXT(Table1[[#This Row],[Date]], "YYYY")</f>
        <v>2024</v>
      </c>
      <c r="E230" t="s">
        <v>312</v>
      </c>
      <c r="F230" t="s">
        <v>315</v>
      </c>
      <c r="G230" t="s">
        <v>316</v>
      </c>
      <c r="H230">
        <v>462.53</v>
      </c>
      <c r="I230">
        <v>1</v>
      </c>
      <c r="J230">
        <v>360.25</v>
      </c>
    </row>
    <row r="231" spans="1:10" x14ac:dyDescent="0.3">
      <c r="A231" t="s">
        <v>237</v>
      </c>
      <c r="B231" s="1">
        <v>45516</v>
      </c>
      <c r="C231" s="1" t="str">
        <f>TEXT(Table1[[#This Row],[Date]], "MMM")</f>
        <v>Aug</v>
      </c>
      <c r="D231" s="1" t="str">
        <f>TEXT(Table1[[#This Row],[Date]], "YYYY")</f>
        <v>2024</v>
      </c>
      <c r="E231" t="s">
        <v>309</v>
      </c>
      <c r="F231" t="s">
        <v>314</v>
      </c>
      <c r="G231" t="s">
        <v>319</v>
      </c>
      <c r="H231">
        <v>4526.0600000000004</v>
      </c>
      <c r="I231">
        <v>7</v>
      </c>
      <c r="J231">
        <v>467.25</v>
      </c>
    </row>
    <row r="232" spans="1:10" x14ac:dyDescent="0.3">
      <c r="A232" t="s">
        <v>238</v>
      </c>
      <c r="B232" s="1">
        <v>45044</v>
      </c>
      <c r="C232" s="1" t="str">
        <f>TEXT(Table1[[#This Row],[Date]], "MMM")</f>
        <v>Apr</v>
      </c>
      <c r="D232" s="1" t="str">
        <f>TEXT(Table1[[#This Row],[Date]], "YYYY")</f>
        <v>2023</v>
      </c>
      <c r="E232" t="s">
        <v>311</v>
      </c>
      <c r="F232" t="s">
        <v>314</v>
      </c>
      <c r="G232" t="s">
        <v>319</v>
      </c>
      <c r="H232">
        <v>312.26</v>
      </c>
      <c r="I232">
        <v>7</v>
      </c>
      <c r="J232">
        <v>36.270000000000003</v>
      </c>
    </row>
    <row r="233" spans="1:10" x14ac:dyDescent="0.3">
      <c r="A233" t="s">
        <v>239</v>
      </c>
      <c r="B233" s="1">
        <v>45633</v>
      </c>
      <c r="C233" s="1" t="str">
        <f>TEXT(Table1[[#This Row],[Date]], "MMM")</f>
        <v>Dec</v>
      </c>
      <c r="D233" s="1" t="str">
        <f>TEXT(Table1[[#This Row],[Date]], "YYYY")</f>
        <v>2024</v>
      </c>
      <c r="E233" t="s">
        <v>313</v>
      </c>
      <c r="F233" t="s">
        <v>315</v>
      </c>
      <c r="G233" t="s">
        <v>318</v>
      </c>
      <c r="H233">
        <v>765.54</v>
      </c>
      <c r="I233">
        <v>6</v>
      </c>
      <c r="J233">
        <v>88.74</v>
      </c>
    </row>
    <row r="234" spans="1:10" x14ac:dyDescent="0.3">
      <c r="A234" t="s">
        <v>240</v>
      </c>
      <c r="B234" s="1">
        <v>45530</v>
      </c>
      <c r="C234" s="1" t="str">
        <f>TEXT(Table1[[#This Row],[Date]], "MMM")</f>
        <v>Aug</v>
      </c>
      <c r="D234" s="1" t="str">
        <f>TEXT(Table1[[#This Row],[Date]], "YYYY")</f>
        <v>2024</v>
      </c>
      <c r="E234" t="s">
        <v>310</v>
      </c>
      <c r="F234" t="s">
        <v>315</v>
      </c>
      <c r="G234" t="s">
        <v>318</v>
      </c>
      <c r="H234">
        <v>3775.96</v>
      </c>
      <c r="I234">
        <v>7</v>
      </c>
      <c r="J234">
        <v>428.69</v>
      </c>
    </row>
    <row r="235" spans="1:10" x14ac:dyDescent="0.3">
      <c r="A235" t="s">
        <v>241</v>
      </c>
      <c r="B235" s="1">
        <v>45153</v>
      </c>
      <c r="C235" s="1" t="str">
        <f>TEXT(Table1[[#This Row],[Date]], "MMM")</f>
        <v>Aug</v>
      </c>
      <c r="D235" s="1" t="str">
        <f>TEXT(Table1[[#This Row],[Date]], "YYYY")</f>
        <v>2023</v>
      </c>
      <c r="E235" t="s">
        <v>312</v>
      </c>
      <c r="F235" t="s">
        <v>315</v>
      </c>
      <c r="G235" t="s">
        <v>319</v>
      </c>
      <c r="H235">
        <v>4257.95</v>
      </c>
      <c r="I235">
        <v>6</v>
      </c>
      <c r="J235">
        <v>627.71</v>
      </c>
    </row>
    <row r="236" spans="1:10" x14ac:dyDescent="0.3">
      <c r="A236" t="s">
        <v>242</v>
      </c>
      <c r="B236" s="1">
        <v>45470</v>
      </c>
      <c r="C236" s="1" t="str">
        <f>TEXT(Table1[[#This Row],[Date]], "MMM")</f>
        <v>Jun</v>
      </c>
      <c r="D236" s="1" t="str">
        <f>TEXT(Table1[[#This Row],[Date]], "YYYY")</f>
        <v>2024</v>
      </c>
      <c r="E236" t="s">
        <v>308</v>
      </c>
      <c r="F236" t="s">
        <v>314</v>
      </c>
      <c r="G236" t="s">
        <v>316</v>
      </c>
      <c r="H236">
        <v>2173.79</v>
      </c>
      <c r="I236">
        <v>9</v>
      </c>
      <c r="J236">
        <v>171.24</v>
      </c>
    </row>
    <row r="237" spans="1:10" x14ac:dyDescent="0.3">
      <c r="A237" t="s">
        <v>243</v>
      </c>
      <c r="B237" s="1">
        <v>45168</v>
      </c>
      <c r="C237" s="1" t="str">
        <f>TEXT(Table1[[#This Row],[Date]], "MMM")</f>
        <v>Aug</v>
      </c>
      <c r="D237" s="1" t="str">
        <f>TEXT(Table1[[#This Row],[Date]], "YYYY")</f>
        <v>2023</v>
      </c>
      <c r="E237" t="s">
        <v>312</v>
      </c>
      <c r="F237" t="s">
        <v>315</v>
      </c>
      <c r="G237" t="s">
        <v>317</v>
      </c>
      <c r="H237">
        <v>316.49</v>
      </c>
      <c r="I237">
        <v>2</v>
      </c>
      <c r="J237">
        <v>134.22999999999999</v>
      </c>
    </row>
    <row r="238" spans="1:10" x14ac:dyDescent="0.3">
      <c r="A238" t="s">
        <v>244</v>
      </c>
      <c r="B238" s="1">
        <v>45598</v>
      </c>
      <c r="C238" s="1" t="str">
        <f>TEXT(Table1[[#This Row],[Date]], "MMM")</f>
        <v>Nov</v>
      </c>
      <c r="D238" s="1" t="str">
        <f>TEXT(Table1[[#This Row],[Date]], "YYYY")</f>
        <v>2024</v>
      </c>
      <c r="E238" t="s">
        <v>313</v>
      </c>
      <c r="F238" t="s">
        <v>315</v>
      </c>
      <c r="G238" t="s">
        <v>317</v>
      </c>
      <c r="H238">
        <v>445.77</v>
      </c>
      <c r="I238">
        <v>2</v>
      </c>
      <c r="J238">
        <v>158.16999999999999</v>
      </c>
    </row>
    <row r="239" spans="1:10" x14ac:dyDescent="0.3">
      <c r="A239" t="s">
        <v>245</v>
      </c>
      <c r="B239" s="1">
        <v>45504</v>
      </c>
      <c r="C239" s="1" t="str">
        <f>TEXT(Table1[[#This Row],[Date]], "MMM")</f>
        <v>Jul</v>
      </c>
      <c r="D239" s="1" t="str">
        <f>TEXT(Table1[[#This Row],[Date]], "YYYY")</f>
        <v>2024</v>
      </c>
      <c r="E239" t="s">
        <v>311</v>
      </c>
      <c r="F239" t="s">
        <v>314</v>
      </c>
      <c r="G239" t="s">
        <v>318</v>
      </c>
      <c r="H239">
        <v>5439.95</v>
      </c>
      <c r="I239">
        <v>10</v>
      </c>
      <c r="J239">
        <v>370.15</v>
      </c>
    </row>
    <row r="240" spans="1:10" x14ac:dyDescent="0.3">
      <c r="A240" t="s">
        <v>246</v>
      </c>
      <c r="B240" s="1">
        <v>45569</v>
      </c>
      <c r="C240" s="1" t="str">
        <f>TEXT(Table1[[#This Row],[Date]], "MMM")</f>
        <v>Oct</v>
      </c>
      <c r="D240" s="1" t="str">
        <f>TEXT(Table1[[#This Row],[Date]], "YYYY")</f>
        <v>2024</v>
      </c>
      <c r="E240" t="s">
        <v>313</v>
      </c>
      <c r="F240" t="s">
        <v>315</v>
      </c>
      <c r="G240" t="s">
        <v>319</v>
      </c>
      <c r="H240">
        <v>931.73</v>
      </c>
      <c r="I240">
        <v>6</v>
      </c>
      <c r="J240">
        <v>137.75</v>
      </c>
    </row>
    <row r="241" spans="1:10" x14ac:dyDescent="0.3">
      <c r="A241" t="s">
        <v>247</v>
      </c>
      <c r="B241" s="1">
        <v>45208</v>
      </c>
      <c r="C241" s="1" t="str">
        <f>TEXT(Table1[[#This Row],[Date]], "MMM")</f>
        <v>Oct</v>
      </c>
      <c r="D241" s="1" t="str">
        <f>TEXT(Table1[[#This Row],[Date]], "YYYY")</f>
        <v>2023</v>
      </c>
      <c r="E241" t="s">
        <v>311</v>
      </c>
      <c r="F241" t="s">
        <v>314</v>
      </c>
      <c r="G241" t="s">
        <v>319</v>
      </c>
      <c r="H241">
        <v>831.4</v>
      </c>
      <c r="I241">
        <v>10</v>
      </c>
      <c r="J241">
        <v>63.81</v>
      </c>
    </row>
    <row r="242" spans="1:10" x14ac:dyDescent="0.3">
      <c r="A242" t="s">
        <v>248</v>
      </c>
      <c r="B242" s="1">
        <v>45389</v>
      </c>
      <c r="C242" s="1" t="str">
        <f>TEXT(Table1[[#This Row],[Date]], "MMM")</f>
        <v>Apr</v>
      </c>
      <c r="D242" s="1" t="str">
        <f>TEXT(Table1[[#This Row],[Date]], "YYYY")</f>
        <v>2024</v>
      </c>
      <c r="E242" t="s">
        <v>312</v>
      </c>
      <c r="F242" t="s">
        <v>315</v>
      </c>
      <c r="G242" t="s">
        <v>318</v>
      </c>
      <c r="H242">
        <v>92.22</v>
      </c>
      <c r="I242">
        <v>1</v>
      </c>
      <c r="J242">
        <v>64.37</v>
      </c>
    </row>
    <row r="243" spans="1:10" x14ac:dyDescent="0.3">
      <c r="A243" t="s">
        <v>249</v>
      </c>
      <c r="B243" s="1">
        <v>45556</v>
      </c>
      <c r="C243" s="1" t="str">
        <f>TEXT(Table1[[#This Row],[Date]], "MMM")</f>
        <v>Sep</v>
      </c>
      <c r="D243" s="1" t="str">
        <f>TEXT(Table1[[#This Row],[Date]], "YYYY")</f>
        <v>2024</v>
      </c>
      <c r="E243" t="s">
        <v>309</v>
      </c>
      <c r="F243" t="s">
        <v>314</v>
      </c>
      <c r="G243" t="s">
        <v>316</v>
      </c>
      <c r="H243">
        <v>5339.66</v>
      </c>
      <c r="I243">
        <v>10</v>
      </c>
      <c r="J243">
        <v>415.51</v>
      </c>
    </row>
    <row r="244" spans="1:10" x14ac:dyDescent="0.3">
      <c r="A244" t="s">
        <v>250</v>
      </c>
      <c r="B244" s="1">
        <v>45387</v>
      </c>
      <c r="C244" s="1" t="str">
        <f>TEXT(Table1[[#This Row],[Date]], "MMM")</f>
        <v>Apr</v>
      </c>
      <c r="D244" s="1" t="str">
        <f>TEXT(Table1[[#This Row],[Date]], "YYYY")</f>
        <v>2024</v>
      </c>
      <c r="E244" t="s">
        <v>313</v>
      </c>
      <c r="F244" t="s">
        <v>315</v>
      </c>
      <c r="G244" t="s">
        <v>316</v>
      </c>
      <c r="H244">
        <v>6492.35</v>
      </c>
      <c r="I244">
        <v>10</v>
      </c>
      <c r="J244">
        <v>528.42999999999995</v>
      </c>
    </row>
    <row r="245" spans="1:10" x14ac:dyDescent="0.3">
      <c r="A245" t="s">
        <v>251</v>
      </c>
      <c r="B245" s="1">
        <v>44990</v>
      </c>
      <c r="C245" s="1" t="str">
        <f>TEXT(Table1[[#This Row],[Date]], "MMM")</f>
        <v>Mar</v>
      </c>
      <c r="D245" s="1" t="str">
        <f>TEXT(Table1[[#This Row],[Date]], "YYYY")</f>
        <v>2023</v>
      </c>
      <c r="E245" t="s">
        <v>311</v>
      </c>
      <c r="F245" t="s">
        <v>314</v>
      </c>
      <c r="G245" t="s">
        <v>317</v>
      </c>
      <c r="H245">
        <v>1176.24</v>
      </c>
      <c r="I245">
        <v>8</v>
      </c>
      <c r="J245">
        <v>100.73</v>
      </c>
    </row>
    <row r="246" spans="1:10" x14ac:dyDescent="0.3">
      <c r="A246" t="s">
        <v>252</v>
      </c>
      <c r="B246" s="1">
        <v>45443</v>
      </c>
      <c r="C246" s="1" t="str">
        <f>TEXT(Table1[[#This Row],[Date]], "MMM")</f>
        <v>May</v>
      </c>
      <c r="D246" s="1" t="str">
        <f>TEXT(Table1[[#This Row],[Date]], "YYYY")</f>
        <v>2024</v>
      </c>
      <c r="E246" t="s">
        <v>312</v>
      </c>
      <c r="F246" t="s">
        <v>315</v>
      </c>
      <c r="G246" t="s">
        <v>316</v>
      </c>
      <c r="H246">
        <v>209.66</v>
      </c>
      <c r="I246">
        <v>3</v>
      </c>
      <c r="J246">
        <v>50.53</v>
      </c>
    </row>
    <row r="247" spans="1:10" x14ac:dyDescent="0.3">
      <c r="A247" t="s">
        <v>253</v>
      </c>
      <c r="B247" s="1">
        <v>45299</v>
      </c>
      <c r="C247" s="1" t="str">
        <f>TEXT(Table1[[#This Row],[Date]], "MMM")</f>
        <v>Jan</v>
      </c>
      <c r="D247" s="1" t="str">
        <f>TEXT(Table1[[#This Row],[Date]], "YYYY")</f>
        <v>2024</v>
      </c>
      <c r="E247" t="s">
        <v>311</v>
      </c>
      <c r="F247" t="s">
        <v>314</v>
      </c>
      <c r="G247" t="s">
        <v>317</v>
      </c>
      <c r="H247">
        <v>5541.86</v>
      </c>
      <c r="I247">
        <v>6</v>
      </c>
      <c r="J247">
        <v>735.99</v>
      </c>
    </row>
    <row r="248" spans="1:10" x14ac:dyDescent="0.3">
      <c r="A248" t="s">
        <v>254</v>
      </c>
      <c r="B248" s="1">
        <v>45573</v>
      </c>
      <c r="C248" s="1" t="str">
        <f>TEXT(Table1[[#This Row],[Date]], "MMM")</f>
        <v>Oct</v>
      </c>
      <c r="D248" s="1" t="str">
        <f>TEXT(Table1[[#This Row],[Date]], "YYYY")</f>
        <v>2024</v>
      </c>
      <c r="E248" t="s">
        <v>312</v>
      </c>
      <c r="F248" t="s">
        <v>315</v>
      </c>
      <c r="G248" t="s">
        <v>316</v>
      </c>
      <c r="H248">
        <v>487.5</v>
      </c>
      <c r="I248">
        <v>6</v>
      </c>
      <c r="J248">
        <v>71.41</v>
      </c>
    </row>
    <row r="249" spans="1:10" x14ac:dyDescent="0.3">
      <c r="A249" t="s">
        <v>255</v>
      </c>
      <c r="B249" s="1">
        <v>45217</v>
      </c>
      <c r="C249" s="1" t="str">
        <f>TEXT(Table1[[#This Row],[Date]], "MMM")</f>
        <v>Oct</v>
      </c>
      <c r="D249" s="1" t="str">
        <f>TEXT(Table1[[#This Row],[Date]], "YYYY")</f>
        <v>2023</v>
      </c>
      <c r="E249" t="s">
        <v>308</v>
      </c>
      <c r="F249" t="s">
        <v>314</v>
      </c>
      <c r="G249" t="s">
        <v>318</v>
      </c>
      <c r="H249">
        <v>3982.34</v>
      </c>
      <c r="I249">
        <v>5</v>
      </c>
      <c r="J249">
        <v>584.51</v>
      </c>
    </row>
    <row r="250" spans="1:10" x14ac:dyDescent="0.3">
      <c r="A250" t="s">
        <v>256</v>
      </c>
      <c r="B250" s="1">
        <v>45268</v>
      </c>
      <c r="C250" s="1" t="str">
        <f>TEXT(Table1[[#This Row],[Date]], "MMM")</f>
        <v>Dec</v>
      </c>
      <c r="D250" s="1" t="str">
        <f>TEXT(Table1[[#This Row],[Date]], "YYYY")</f>
        <v>2023</v>
      </c>
      <c r="E250" t="s">
        <v>313</v>
      </c>
      <c r="F250" t="s">
        <v>315</v>
      </c>
      <c r="G250" t="s">
        <v>317</v>
      </c>
      <c r="H250">
        <v>1097.68</v>
      </c>
      <c r="I250">
        <v>2</v>
      </c>
      <c r="J250">
        <v>474.54</v>
      </c>
    </row>
    <row r="251" spans="1:10" x14ac:dyDescent="0.3">
      <c r="A251" t="s">
        <v>257</v>
      </c>
      <c r="B251" s="1">
        <v>45598</v>
      </c>
      <c r="C251" s="1" t="str">
        <f>TEXT(Table1[[#This Row],[Date]], "MMM")</f>
        <v>Nov</v>
      </c>
      <c r="D251" s="1" t="str">
        <f>TEXT(Table1[[#This Row],[Date]], "YYYY")</f>
        <v>2024</v>
      </c>
      <c r="E251" t="s">
        <v>312</v>
      </c>
      <c r="F251" t="s">
        <v>315</v>
      </c>
      <c r="G251" t="s">
        <v>319</v>
      </c>
      <c r="H251">
        <v>1167.79</v>
      </c>
      <c r="I251">
        <v>7</v>
      </c>
      <c r="J251">
        <v>120.58</v>
      </c>
    </row>
    <row r="252" spans="1:10" x14ac:dyDescent="0.3">
      <c r="A252" t="s">
        <v>258</v>
      </c>
      <c r="B252" s="1">
        <v>45499</v>
      </c>
      <c r="C252" s="1" t="str">
        <f>TEXT(Table1[[#This Row],[Date]], "MMM")</f>
        <v>Jul</v>
      </c>
      <c r="D252" s="1" t="str">
        <f>TEXT(Table1[[#This Row],[Date]], "YYYY")</f>
        <v>2024</v>
      </c>
      <c r="E252" t="s">
        <v>309</v>
      </c>
      <c r="F252" t="s">
        <v>314</v>
      </c>
      <c r="G252" t="s">
        <v>319</v>
      </c>
      <c r="H252">
        <v>4498.8100000000004</v>
      </c>
      <c r="I252">
        <v>7</v>
      </c>
      <c r="J252">
        <v>521.91999999999996</v>
      </c>
    </row>
    <row r="253" spans="1:10" x14ac:dyDescent="0.3">
      <c r="A253" t="s">
        <v>259</v>
      </c>
      <c r="B253" s="1">
        <v>45588</v>
      </c>
      <c r="C253" s="1" t="str">
        <f>TEXT(Table1[[#This Row],[Date]], "MMM")</f>
        <v>Oct</v>
      </c>
      <c r="D253" s="1" t="str">
        <f>TEXT(Table1[[#This Row],[Date]], "YYYY")</f>
        <v>2024</v>
      </c>
      <c r="E253" t="s">
        <v>310</v>
      </c>
      <c r="F253" t="s">
        <v>315</v>
      </c>
      <c r="G253" t="s">
        <v>316</v>
      </c>
      <c r="H253">
        <v>3229.24</v>
      </c>
      <c r="I253">
        <v>7</v>
      </c>
      <c r="J253">
        <v>416.62</v>
      </c>
    </row>
    <row r="254" spans="1:10" x14ac:dyDescent="0.3">
      <c r="A254" t="s">
        <v>260</v>
      </c>
      <c r="B254" s="1">
        <v>45146</v>
      </c>
      <c r="C254" s="1" t="str">
        <f>TEXT(Table1[[#This Row],[Date]], "MMM")</f>
        <v>Aug</v>
      </c>
      <c r="D254" s="1" t="str">
        <f>TEXT(Table1[[#This Row],[Date]], "YYYY")</f>
        <v>2023</v>
      </c>
      <c r="E254" t="s">
        <v>312</v>
      </c>
      <c r="F254" t="s">
        <v>315</v>
      </c>
      <c r="G254" t="s">
        <v>317</v>
      </c>
      <c r="H254">
        <v>5896.59</v>
      </c>
      <c r="I254">
        <v>6</v>
      </c>
      <c r="J254">
        <v>759.18</v>
      </c>
    </row>
    <row r="255" spans="1:10" x14ac:dyDescent="0.3">
      <c r="A255" t="s">
        <v>261</v>
      </c>
      <c r="B255" s="1">
        <v>45085</v>
      </c>
      <c r="C255" s="1" t="str">
        <f>TEXT(Table1[[#This Row],[Date]], "MMM")</f>
        <v>Jun</v>
      </c>
      <c r="D255" s="1" t="str">
        <f>TEXT(Table1[[#This Row],[Date]], "YYYY")</f>
        <v>2023</v>
      </c>
      <c r="E255" t="s">
        <v>310</v>
      </c>
      <c r="F255" t="s">
        <v>315</v>
      </c>
      <c r="G255" t="s">
        <v>317</v>
      </c>
      <c r="H255">
        <v>709.66</v>
      </c>
      <c r="I255">
        <v>2</v>
      </c>
      <c r="J255">
        <v>250.72</v>
      </c>
    </row>
    <row r="256" spans="1:10" x14ac:dyDescent="0.3">
      <c r="A256" t="s">
        <v>262</v>
      </c>
      <c r="B256" s="1">
        <v>45604</v>
      </c>
      <c r="C256" s="1" t="str">
        <f>TEXT(Table1[[#This Row],[Date]], "MMM")</f>
        <v>Nov</v>
      </c>
      <c r="D256" s="1" t="str">
        <f>TEXT(Table1[[#This Row],[Date]], "YYYY")</f>
        <v>2024</v>
      </c>
      <c r="E256" t="s">
        <v>313</v>
      </c>
      <c r="F256" t="s">
        <v>315</v>
      </c>
      <c r="G256" t="s">
        <v>316</v>
      </c>
      <c r="H256">
        <v>5687.31</v>
      </c>
      <c r="I256">
        <v>6</v>
      </c>
      <c r="J256">
        <v>703.59</v>
      </c>
    </row>
    <row r="257" spans="1:10" x14ac:dyDescent="0.3">
      <c r="A257" t="s">
        <v>263</v>
      </c>
      <c r="B257" s="1">
        <v>45084</v>
      </c>
      <c r="C257" s="1" t="str">
        <f>TEXT(Table1[[#This Row],[Date]], "MMM")</f>
        <v>Jun</v>
      </c>
      <c r="D257" s="1" t="str">
        <f>TEXT(Table1[[#This Row],[Date]], "YYYY")</f>
        <v>2023</v>
      </c>
      <c r="E257" t="s">
        <v>313</v>
      </c>
      <c r="F257" t="s">
        <v>315</v>
      </c>
      <c r="G257" t="s">
        <v>318</v>
      </c>
      <c r="H257">
        <v>665.41</v>
      </c>
      <c r="I257">
        <v>3</v>
      </c>
      <c r="J257">
        <v>161.06</v>
      </c>
    </row>
    <row r="258" spans="1:10" x14ac:dyDescent="0.3">
      <c r="A258" t="s">
        <v>264</v>
      </c>
      <c r="B258" s="1">
        <v>45375</v>
      </c>
      <c r="C258" s="1" t="str">
        <f>TEXT(Table1[[#This Row],[Date]], "MMM")</f>
        <v>Mar</v>
      </c>
      <c r="D258" s="1" t="str">
        <f>TEXT(Table1[[#This Row],[Date]], "YYYY")</f>
        <v>2024</v>
      </c>
      <c r="E258" t="s">
        <v>313</v>
      </c>
      <c r="F258" t="s">
        <v>315</v>
      </c>
      <c r="G258" t="s">
        <v>317</v>
      </c>
      <c r="H258">
        <v>466.63</v>
      </c>
      <c r="I258">
        <v>1</v>
      </c>
      <c r="J258">
        <v>340.47</v>
      </c>
    </row>
    <row r="259" spans="1:10" x14ac:dyDescent="0.3">
      <c r="A259" t="s">
        <v>265</v>
      </c>
      <c r="B259" s="1">
        <v>45552</v>
      </c>
      <c r="C259" s="1" t="str">
        <f>TEXT(Table1[[#This Row],[Date]], "MMM")</f>
        <v>Sep</v>
      </c>
      <c r="D259" s="1" t="str">
        <f>TEXT(Table1[[#This Row],[Date]], "YYYY")</f>
        <v>2024</v>
      </c>
      <c r="E259" t="s">
        <v>310</v>
      </c>
      <c r="F259" t="s">
        <v>315</v>
      </c>
      <c r="G259" t="s">
        <v>318</v>
      </c>
      <c r="H259">
        <v>4289.1099999999997</v>
      </c>
      <c r="I259">
        <v>5</v>
      </c>
      <c r="J259">
        <v>606.87</v>
      </c>
    </row>
    <row r="260" spans="1:10" x14ac:dyDescent="0.3">
      <c r="A260" t="s">
        <v>266</v>
      </c>
      <c r="B260" s="1">
        <v>45243</v>
      </c>
      <c r="C260" s="1" t="str">
        <f>TEXT(Table1[[#This Row],[Date]], "MMM")</f>
        <v>Nov</v>
      </c>
      <c r="D260" s="1" t="str">
        <f>TEXT(Table1[[#This Row],[Date]], "YYYY")</f>
        <v>2023</v>
      </c>
      <c r="E260" t="s">
        <v>310</v>
      </c>
      <c r="F260" t="s">
        <v>315</v>
      </c>
      <c r="G260" t="s">
        <v>317</v>
      </c>
      <c r="H260">
        <v>6831.06</v>
      </c>
      <c r="I260">
        <v>8</v>
      </c>
      <c r="J260">
        <v>725.1</v>
      </c>
    </row>
    <row r="261" spans="1:10" x14ac:dyDescent="0.3">
      <c r="A261" t="s">
        <v>267</v>
      </c>
      <c r="B261" s="1">
        <v>45399</v>
      </c>
      <c r="C261" s="1" t="str">
        <f>TEXT(Table1[[#This Row],[Date]], "MMM")</f>
        <v>Apr</v>
      </c>
      <c r="D261" s="1" t="str">
        <f>TEXT(Table1[[#This Row],[Date]], "YYYY")</f>
        <v>2024</v>
      </c>
      <c r="E261" t="s">
        <v>308</v>
      </c>
      <c r="F261" t="s">
        <v>314</v>
      </c>
      <c r="G261" t="s">
        <v>318</v>
      </c>
      <c r="H261">
        <v>4078.75</v>
      </c>
      <c r="I261">
        <v>5</v>
      </c>
      <c r="J261">
        <v>626.94000000000005</v>
      </c>
    </row>
    <row r="262" spans="1:10" x14ac:dyDescent="0.3">
      <c r="A262" t="s">
        <v>268</v>
      </c>
      <c r="B262" s="1">
        <v>45131</v>
      </c>
      <c r="C262" s="1" t="str">
        <f>TEXT(Table1[[#This Row],[Date]], "MMM")</f>
        <v>Jul</v>
      </c>
      <c r="D262" s="1" t="str">
        <f>TEXT(Table1[[#This Row],[Date]], "YYYY")</f>
        <v>2023</v>
      </c>
      <c r="E262" t="s">
        <v>311</v>
      </c>
      <c r="F262" t="s">
        <v>314</v>
      </c>
      <c r="G262" t="s">
        <v>317</v>
      </c>
      <c r="H262">
        <v>1535.4</v>
      </c>
      <c r="I262">
        <v>10</v>
      </c>
      <c r="J262">
        <v>127.95</v>
      </c>
    </row>
    <row r="263" spans="1:10" x14ac:dyDescent="0.3">
      <c r="A263" t="s">
        <v>269</v>
      </c>
      <c r="B263" s="1">
        <v>45307</v>
      </c>
      <c r="C263" s="1" t="str">
        <f>TEXT(Table1[[#This Row],[Date]], "MMM")</f>
        <v>Jan</v>
      </c>
      <c r="D263" s="1" t="str">
        <f>TEXT(Table1[[#This Row],[Date]], "YYYY")</f>
        <v>2024</v>
      </c>
      <c r="E263" t="s">
        <v>308</v>
      </c>
      <c r="F263" t="s">
        <v>314</v>
      </c>
      <c r="G263" t="s">
        <v>318</v>
      </c>
      <c r="H263">
        <v>9330.2099999999991</v>
      </c>
      <c r="I263">
        <v>9</v>
      </c>
      <c r="J263">
        <v>748.75</v>
      </c>
    </row>
    <row r="264" spans="1:10" x14ac:dyDescent="0.3">
      <c r="A264" t="s">
        <v>270</v>
      </c>
      <c r="B264" s="1">
        <v>45218</v>
      </c>
      <c r="C264" s="1" t="str">
        <f>TEXT(Table1[[#This Row],[Date]], "MMM")</f>
        <v>Oct</v>
      </c>
      <c r="D264" s="1" t="str">
        <f>TEXT(Table1[[#This Row],[Date]], "YYYY")</f>
        <v>2023</v>
      </c>
      <c r="E264" t="s">
        <v>313</v>
      </c>
      <c r="F264" t="s">
        <v>315</v>
      </c>
      <c r="G264" t="s">
        <v>316</v>
      </c>
      <c r="H264">
        <v>1487.77</v>
      </c>
      <c r="I264">
        <v>2</v>
      </c>
      <c r="J264">
        <v>615.23</v>
      </c>
    </row>
    <row r="265" spans="1:10" x14ac:dyDescent="0.3">
      <c r="A265" t="s">
        <v>271</v>
      </c>
      <c r="B265" s="1">
        <v>45374</v>
      </c>
      <c r="C265" s="1" t="str">
        <f>TEXT(Table1[[#This Row],[Date]], "MMM")</f>
        <v>Mar</v>
      </c>
      <c r="D265" s="1" t="str">
        <f>TEXT(Table1[[#This Row],[Date]], "YYYY")</f>
        <v>2024</v>
      </c>
      <c r="E265" t="s">
        <v>313</v>
      </c>
      <c r="F265" t="s">
        <v>315</v>
      </c>
      <c r="G265" t="s">
        <v>317</v>
      </c>
      <c r="H265">
        <v>1802.72</v>
      </c>
      <c r="I265">
        <v>2</v>
      </c>
      <c r="J265">
        <v>758.2</v>
      </c>
    </row>
    <row r="266" spans="1:10" x14ac:dyDescent="0.3">
      <c r="A266" t="s">
        <v>272</v>
      </c>
      <c r="B266" s="1">
        <v>44954</v>
      </c>
      <c r="C266" s="1" t="str">
        <f>TEXT(Table1[[#This Row],[Date]], "MMM")</f>
        <v>Jan</v>
      </c>
      <c r="D266" s="1" t="str">
        <f>TEXT(Table1[[#This Row],[Date]], "YYYY")</f>
        <v>2023</v>
      </c>
      <c r="E266" t="s">
        <v>311</v>
      </c>
      <c r="F266" t="s">
        <v>314</v>
      </c>
      <c r="G266" t="s">
        <v>319</v>
      </c>
      <c r="H266">
        <v>560.36</v>
      </c>
      <c r="I266">
        <v>7</v>
      </c>
      <c r="J266">
        <v>61.54</v>
      </c>
    </row>
    <row r="267" spans="1:10" x14ac:dyDescent="0.3">
      <c r="A267" t="s">
        <v>273</v>
      </c>
      <c r="B267" s="1">
        <v>45010</v>
      </c>
      <c r="C267" s="1" t="str">
        <f>TEXT(Table1[[#This Row],[Date]], "MMM")</f>
        <v>Mar</v>
      </c>
      <c r="D267" s="1" t="str">
        <f>TEXT(Table1[[#This Row],[Date]], "YYYY")</f>
        <v>2023</v>
      </c>
      <c r="E267" t="s">
        <v>310</v>
      </c>
      <c r="F267" t="s">
        <v>315</v>
      </c>
      <c r="G267" t="s">
        <v>318</v>
      </c>
      <c r="H267">
        <v>1437.18</v>
      </c>
      <c r="I267">
        <v>6</v>
      </c>
      <c r="J267">
        <v>195.14</v>
      </c>
    </row>
    <row r="268" spans="1:10" x14ac:dyDescent="0.3">
      <c r="A268" t="s">
        <v>274</v>
      </c>
      <c r="B268" s="1">
        <v>45076</v>
      </c>
      <c r="C268" s="1" t="str">
        <f>TEXT(Table1[[#This Row],[Date]], "MMM")</f>
        <v>May</v>
      </c>
      <c r="D268" s="1" t="str">
        <f>TEXT(Table1[[#This Row],[Date]], "YYYY")</f>
        <v>2023</v>
      </c>
      <c r="E268" t="s">
        <v>309</v>
      </c>
      <c r="F268" t="s">
        <v>314</v>
      </c>
      <c r="G268" t="s">
        <v>319</v>
      </c>
      <c r="H268">
        <v>219.52</v>
      </c>
      <c r="I268">
        <v>3</v>
      </c>
      <c r="J268">
        <v>49.88</v>
      </c>
    </row>
    <row r="269" spans="1:10" x14ac:dyDescent="0.3">
      <c r="A269" t="s">
        <v>275</v>
      </c>
      <c r="B269" s="1">
        <v>45649</v>
      </c>
      <c r="C269" s="1" t="str">
        <f>TEXT(Table1[[#This Row],[Date]], "MMM")</f>
        <v>Dec</v>
      </c>
      <c r="D269" s="1" t="str">
        <f>TEXT(Table1[[#This Row],[Date]], "YYYY")</f>
        <v>2024</v>
      </c>
      <c r="E269" t="s">
        <v>311</v>
      </c>
      <c r="F269" t="s">
        <v>314</v>
      </c>
      <c r="G269" t="s">
        <v>317</v>
      </c>
      <c r="H269">
        <v>3261.42</v>
      </c>
      <c r="I269">
        <v>8</v>
      </c>
      <c r="J269">
        <v>369.91</v>
      </c>
    </row>
    <row r="270" spans="1:10" x14ac:dyDescent="0.3">
      <c r="A270" t="s">
        <v>276</v>
      </c>
      <c r="B270" s="1">
        <v>45189</v>
      </c>
      <c r="C270" s="1" t="str">
        <f>TEXT(Table1[[#This Row],[Date]], "MMM")</f>
        <v>Sep</v>
      </c>
      <c r="D270" s="1" t="str">
        <f>TEXT(Table1[[#This Row],[Date]], "YYYY")</f>
        <v>2023</v>
      </c>
      <c r="E270" t="s">
        <v>309</v>
      </c>
      <c r="F270" t="s">
        <v>314</v>
      </c>
      <c r="G270" t="s">
        <v>316</v>
      </c>
      <c r="H270">
        <v>3543.02</v>
      </c>
      <c r="I270">
        <v>4</v>
      </c>
      <c r="J270">
        <v>671.27</v>
      </c>
    </row>
    <row r="271" spans="1:10" x14ac:dyDescent="0.3">
      <c r="A271" t="s">
        <v>277</v>
      </c>
      <c r="B271" s="1">
        <v>45040</v>
      </c>
      <c r="C271" s="1" t="str">
        <f>TEXT(Table1[[#This Row],[Date]], "MMM")</f>
        <v>Apr</v>
      </c>
      <c r="D271" s="1" t="str">
        <f>TEXT(Table1[[#This Row],[Date]], "YYYY")</f>
        <v>2023</v>
      </c>
      <c r="E271" t="s">
        <v>308</v>
      </c>
      <c r="F271" t="s">
        <v>314</v>
      </c>
      <c r="G271" t="s">
        <v>318</v>
      </c>
      <c r="H271">
        <v>1179.53</v>
      </c>
      <c r="I271">
        <v>5</v>
      </c>
      <c r="J271">
        <v>205.36</v>
      </c>
    </row>
    <row r="272" spans="1:10" x14ac:dyDescent="0.3">
      <c r="A272" t="s">
        <v>278</v>
      </c>
      <c r="B272" s="1">
        <v>45581</v>
      </c>
      <c r="C272" s="1" t="str">
        <f>TEXT(Table1[[#This Row],[Date]], "MMM")</f>
        <v>Oct</v>
      </c>
      <c r="D272" s="1" t="str">
        <f>TEXT(Table1[[#This Row],[Date]], "YYYY")</f>
        <v>2024</v>
      </c>
      <c r="E272" t="s">
        <v>310</v>
      </c>
      <c r="F272" t="s">
        <v>315</v>
      </c>
      <c r="G272" t="s">
        <v>318</v>
      </c>
      <c r="H272">
        <v>4309.0200000000004</v>
      </c>
      <c r="I272">
        <v>10</v>
      </c>
      <c r="J272">
        <v>376.55</v>
      </c>
    </row>
    <row r="273" spans="1:10" x14ac:dyDescent="0.3">
      <c r="A273" t="s">
        <v>279</v>
      </c>
      <c r="B273" s="1">
        <v>45574</v>
      </c>
      <c r="C273" s="1" t="str">
        <f>TEXT(Table1[[#This Row],[Date]], "MMM")</f>
        <v>Oct</v>
      </c>
      <c r="D273" s="1" t="str">
        <f>TEXT(Table1[[#This Row],[Date]], "YYYY")</f>
        <v>2024</v>
      </c>
      <c r="E273" t="s">
        <v>311</v>
      </c>
      <c r="F273" t="s">
        <v>314</v>
      </c>
      <c r="G273" t="s">
        <v>316</v>
      </c>
      <c r="H273">
        <v>5850.55</v>
      </c>
      <c r="I273">
        <v>9</v>
      </c>
      <c r="J273">
        <v>468.54</v>
      </c>
    </row>
    <row r="274" spans="1:10" x14ac:dyDescent="0.3">
      <c r="A274" t="s">
        <v>280</v>
      </c>
      <c r="B274" s="1">
        <v>44928</v>
      </c>
      <c r="C274" s="1" t="str">
        <f>TEXT(Table1[[#This Row],[Date]], "MMM")</f>
        <v>Jan</v>
      </c>
      <c r="D274" s="1" t="str">
        <f>TEXT(Table1[[#This Row],[Date]], "YYYY")</f>
        <v>2023</v>
      </c>
      <c r="E274" t="s">
        <v>312</v>
      </c>
      <c r="F274" t="s">
        <v>315</v>
      </c>
      <c r="G274" t="s">
        <v>318</v>
      </c>
      <c r="H274">
        <v>3921.04</v>
      </c>
      <c r="I274">
        <v>10</v>
      </c>
      <c r="J274">
        <v>295.2</v>
      </c>
    </row>
    <row r="275" spans="1:10" x14ac:dyDescent="0.3">
      <c r="A275" t="s">
        <v>281</v>
      </c>
      <c r="B275" s="1">
        <v>45463</v>
      </c>
      <c r="C275" s="1" t="str">
        <f>TEXT(Table1[[#This Row],[Date]], "MMM")</f>
        <v>Jun</v>
      </c>
      <c r="D275" s="1" t="str">
        <f>TEXT(Table1[[#This Row],[Date]], "YYYY")</f>
        <v>2024</v>
      </c>
      <c r="E275" t="s">
        <v>310</v>
      </c>
      <c r="F275" t="s">
        <v>315</v>
      </c>
      <c r="G275" t="s">
        <v>316</v>
      </c>
      <c r="H275">
        <v>572.30999999999995</v>
      </c>
      <c r="I275">
        <v>6</v>
      </c>
      <c r="J275">
        <v>72.790000000000006</v>
      </c>
    </row>
    <row r="276" spans="1:10" x14ac:dyDescent="0.3">
      <c r="A276" t="s">
        <v>282</v>
      </c>
      <c r="B276" s="1">
        <v>45326</v>
      </c>
      <c r="C276" s="1" t="str">
        <f>TEXT(Table1[[#This Row],[Date]], "MMM")</f>
        <v>Feb</v>
      </c>
      <c r="D276" s="1" t="str">
        <f>TEXT(Table1[[#This Row],[Date]], "YYYY")</f>
        <v>2024</v>
      </c>
      <c r="E276" t="s">
        <v>313</v>
      </c>
      <c r="F276" t="s">
        <v>315</v>
      </c>
      <c r="G276" t="s">
        <v>316</v>
      </c>
      <c r="H276">
        <v>541.65</v>
      </c>
      <c r="I276">
        <v>8</v>
      </c>
      <c r="J276">
        <v>53.96</v>
      </c>
    </row>
    <row r="277" spans="1:10" x14ac:dyDescent="0.3">
      <c r="A277" t="s">
        <v>283</v>
      </c>
      <c r="B277" s="1">
        <v>44943</v>
      </c>
      <c r="C277" s="1" t="str">
        <f>TEXT(Table1[[#This Row],[Date]], "MMM")</f>
        <v>Jan</v>
      </c>
      <c r="D277" s="1" t="str">
        <f>TEXT(Table1[[#This Row],[Date]], "YYYY")</f>
        <v>2023</v>
      </c>
      <c r="E277" t="s">
        <v>312</v>
      </c>
      <c r="F277" t="s">
        <v>315</v>
      </c>
      <c r="G277" t="s">
        <v>319</v>
      </c>
      <c r="H277">
        <v>4716.8500000000004</v>
      </c>
      <c r="I277">
        <v>6</v>
      </c>
      <c r="J277">
        <v>635.04999999999995</v>
      </c>
    </row>
    <row r="278" spans="1:10" x14ac:dyDescent="0.3">
      <c r="A278" t="s">
        <v>284</v>
      </c>
      <c r="B278" s="1">
        <v>45522</v>
      </c>
      <c r="C278" s="1" t="str">
        <f>TEXT(Table1[[#This Row],[Date]], "MMM")</f>
        <v>Aug</v>
      </c>
      <c r="D278" s="1" t="str">
        <f>TEXT(Table1[[#This Row],[Date]], "YYYY")</f>
        <v>2024</v>
      </c>
      <c r="E278" t="s">
        <v>308</v>
      </c>
      <c r="F278" t="s">
        <v>314</v>
      </c>
      <c r="G278" t="s">
        <v>316</v>
      </c>
      <c r="H278">
        <v>923.69</v>
      </c>
      <c r="I278">
        <v>6</v>
      </c>
      <c r="J278">
        <v>124.06</v>
      </c>
    </row>
    <row r="279" spans="1:10" x14ac:dyDescent="0.3">
      <c r="A279" t="s">
        <v>285</v>
      </c>
      <c r="B279" s="1">
        <v>45628</v>
      </c>
      <c r="C279" s="1" t="str">
        <f>TEXT(Table1[[#This Row],[Date]], "MMM")</f>
        <v>Dec</v>
      </c>
      <c r="D279" s="1" t="str">
        <f>TEXT(Table1[[#This Row],[Date]], "YYYY")</f>
        <v>2024</v>
      </c>
      <c r="E279" t="s">
        <v>312</v>
      </c>
      <c r="F279" t="s">
        <v>315</v>
      </c>
      <c r="G279" t="s">
        <v>317</v>
      </c>
      <c r="H279">
        <v>8110.48</v>
      </c>
      <c r="I279">
        <v>8</v>
      </c>
      <c r="J279">
        <v>785.04</v>
      </c>
    </row>
    <row r="280" spans="1:10" x14ac:dyDescent="0.3">
      <c r="A280" t="s">
        <v>286</v>
      </c>
      <c r="B280" s="1">
        <v>44991</v>
      </c>
      <c r="C280" s="1" t="str">
        <f>TEXT(Table1[[#This Row],[Date]], "MMM")</f>
        <v>Mar</v>
      </c>
      <c r="D280" s="1" t="str">
        <f>TEXT(Table1[[#This Row],[Date]], "YYYY")</f>
        <v>2023</v>
      </c>
      <c r="E280" t="s">
        <v>310</v>
      </c>
      <c r="F280" t="s">
        <v>315</v>
      </c>
      <c r="G280" t="s">
        <v>317</v>
      </c>
      <c r="H280">
        <v>461.39</v>
      </c>
      <c r="I280">
        <v>8</v>
      </c>
      <c r="J280">
        <v>48.85</v>
      </c>
    </row>
    <row r="281" spans="1:10" x14ac:dyDescent="0.3">
      <c r="A281" t="s">
        <v>287</v>
      </c>
      <c r="B281" s="1">
        <v>45250</v>
      </c>
      <c r="C281" s="1" t="str">
        <f>TEXT(Table1[[#This Row],[Date]], "MMM")</f>
        <v>Nov</v>
      </c>
      <c r="D281" s="1" t="str">
        <f>TEXT(Table1[[#This Row],[Date]], "YYYY")</f>
        <v>2023</v>
      </c>
      <c r="E281" t="s">
        <v>310</v>
      </c>
      <c r="F281" t="s">
        <v>315</v>
      </c>
      <c r="G281" t="s">
        <v>316</v>
      </c>
      <c r="H281">
        <v>3155.82</v>
      </c>
      <c r="I281">
        <v>5</v>
      </c>
      <c r="J281">
        <v>422</v>
      </c>
    </row>
    <row r="282" spans="1:10" x14ac:dyDescent="0.3">
      <c r="A282" t="s">
        <v>288</v>
      </c>
      <c r="B282" s="1">
        <v>45186</v>
      </c>
      <c r="C282" s="1" t="str">
        <f>TEXT(Table1[[#This Row],[Date]], "MMM")</f>
        <v>Sep</v>
      </c>
      <c r="D282" s="1" t="str">
        <f>TEXT(Table1[[#This Row],[Date]], "YYYY")</f>
        <v>2023</v>
      </c>
      <c r="E282" t="s">
        <v>313</v>
      </c>
      <c r="F282" t="s">
        <v>315</v>
      </c>
      <c r="G282" t="s">
        <v>318</v>
      </c>
      <c r="H282">
        <v>714.77</v>
      </c>
      <c r="I282">
        <v>1</v>
      </c>
      <c r="J282">
        <v>607.57000000000005</v>
      </c>
    </row>
    <row r="283" spans="1:10" x14ac:dyDescent="0.3">
      <c r="A283" t="s">
        <v>289</v>
      </c>
      <c r="B283" s="1">
        <v>45598</v>
      </c>
      <c r="C283" s="1" t="str">
        <f>TEXT(Table1[[#This Row],[Date]], "MMM")</f>
        <v>Nov</v>
      </c>
      <c r="D283" s="1" t="str">
        <f>TEXT(Table1[[#This Row],[Date]], "YYYY")</f>
        <v>2024</v>
      </c>
      <c r="E283" t="s">
        <v>312</v>
      </c>
      <c r="F283" t="s">
        <v>315</v>
      </c>
      <c r="G283" t="s">
        <v>316</v>
      </c>
      <c r="H283">
        <v>1985.73</v>
      </c>
      <c r="I283">
        <v>6</v>
      </c>
      <c r="J283">
        <v>233.11</v>
      </c>
    </row>
    <row r="284" spans="1:10" x14ac:dyDescent="0.3">
      <c r="A284" t="s">
        <v>290</v>
      </c>
      <c r="B284" s="1">
        <v>45377</v>
      </c>
      <c r="C284" s="1" t="str">
        <f>TEXT(Table1[[#This Row],[Date]], "MMM")</f>
        <v>Mar</v>
      </c>
      <c r="D284" s="1" t="str">
        <f>TEXT(Table1[[#This Row],[Date]], "YYYY")</f>
        <v>2024</v>
      </c>
      <c r="E284" t="s">
        <v>311</v>
      </c>
      <c r="F284" t="s">
        <v>314</v>
      </c>
      <c r="G284" t="s">
        <v>318</v>
      </c>
      <c r="H284">
        <v>2339.06</v>
      </c>
      <c r="I284">
        <v>7</v>
      </c>
      <c r="J284">
        <v>284.45</v>
      </c>
    </row>
    <row r="285" spans="1:10" x14ac:dyDescent="0.3">
      <c r="A285" t="s">
        <v>291</v>
      </c>
      <c r="B285" s="1">
        <v>45303</v>
      </c>
      <c r="C285" s="1" t="str">
        <f>TEXT(Table1[[#This Row],[Date]], "MMM")</f>
        <v>Jan</v>
      </c>
      <c r="D285" s="1" t="str">
        <f>TEXT(Table1[[#This Row],[Date]], "YYYY")</f>
        <v>2024</v>
      </c>
      <c r="E285" t="s">
        <v>308</v>
      </c>
      <c r="F285" t="s">
        <v>314</v>
      </c>
      <c r="G285" t="s">
        <v>318</v>
      </c>
      <c r="H285">
        <v>2325.42</v>
      </c>
      <c r="I285">
        <v>9</v>
      </c>
      <c r="J285">
        <v>228.04</v>
      </c>
    </row>
    <row r="286" spans="1:10" x14ac:dyDescent="0.3">
      <c r="A286" t="s">
        <v>292</v>
      </c>
      <c r="B286" s="1">
        <v>45367</v>
      </c>
      <c r="C286" s="1" t="str">
        <f>TEXT(Table1[[#This Row],[Date]], "MMM")</f>
        <v>Mar</v>
      </c>
      <c r="D286" s="1" t="str">
        <f>TEXT(Table1[[#This Row],[Date]], "YYYY")</f>
        <v>2024</v>
      </c>
      <c r="E286" t="s">
        <v>311</v>
      </c>
      <c r="F286" t="s">
        <v>314</v>
      </c>
      <c r="G286" t="s">
        <v>316</v>
      </c>
      <c r="H286">
        <v>9332.68</v>
      </c>
      <c r="I286">
        <v>10</v>
      </c>
      <c r="J286">
        <v>796.18</v>
      </c>
    </row>
    <row r="287" spans="1:10" x14ac:dyDescent="0.3">
      <c r="A287" t="s">
        <v>293</v>
      </c>
      <c r="B287" s="1">
        <v>45032</v>
      </c>
      <c r="C287" s="1" t="str">
        <f>TEXT(Table1[[#This Row],[Date]], "MMM")</f>
        <v>Apr</v>
      </c>
      <c r="D287" s="1" t="str">
        <f>TEXT(Table1[[#This Row],[Date]], "YYYY")</f>
        <v>2023</v>
      </c>
      <c r="E287" t="s">
        <v>312</v>
      </c>
      <c r="F287" t="s">
        <v>315</v>
      </c>
      <c r="G287" t="s">
        <v>319</v>
      </c>
      <c r="H287">
        <v>671.94</v>
      </c>
      <c r="I287">
        <v>2</v>
      </c>
      <c r="J287">
        <v>275.77999999999997</v>
      </c>
    </row>
    <row r="288" spans="1:10" x14ac:dyDescent="0.3">
      <c r="A288" t="s">
        <v>294</v>
      </c>
      <c r="B288" s="1">
        <v>45097</v>
      </c>
      <c r="C288" s="1" t="str">
        <f>TEXT(Table1[[#This Row],[Date]], "MMM")</f>
        <v>Jun</v>
      </c>
      <c r="D288" s="1" t="str">
        <f>TEXT(Table1[[#This Row],[Date]], "YYYY")</f>
        <v>2023</v>
      </c>
      <c r="E288" t="s">
        <v>311</v>
      </c>
      <c r="F288" t="s">
        <v>314</v>
      </c>
      <c r="G288" t="s">
        <v>318</v>
      </c>
      <c r="H288">
        <v>2628.92</v>
      </c>
      <c r="I288">
        <v>8</v>
      </c>
      <c r="J288">
        <v>294.20999999999998</v>
      </c>
    </row>
    <row r="289" spans="1:10" x14ac:dyDescent="0.3">
      <c r="A289" t="s">
        <v>295</v>
      </c>
      <c r="B289" s="1">
        <v>45208</v>
      </c>
      <c r="C289" s="1" t="str">
        <f>TEXT(Table1[[#This Row],[Date]], "MMM")</f>
        <v>Oct</v>
      </c>
      <c r="D289" s="1" t="str">
        <f>TEXT(Table1[[#This Row],[Date]], "YYYY")</f>
        <v>2023</v>
      </c>
      <c r="E289" t="s">
        <v>312</v>
      </c>
      <c r="F289" t="s">
        <v>315</v>
      </c>
      <c r="G289" t="s">
        <v>318</v>
      </c>
      <c r="H289">
        <v>106.41</v>
      </c>
      <c r="I289">
        <v>1</v>
      </c>
      <c r="J289">
        <v>78.53</v>
      </c>
    </row>
    <row r="290" spans="1:10" x14ac:dyDescent="0.3">
      <c r="A290" t="s">
        <v>296</v>
      </c>
      <c r="B290" s="1">
        <v>44958</v>
      </c>
      <c r="C290" s="1" t="str">
        <f>TEXT(Table1[[#This Row],[Date]], "MMM")</f>
        <v>Feb</v>
      </c>
      <c r="D290" s="1" t="str">
        <f>TEXT(Table1[[#This Row],[Date]], "YYYY")</f>
        <v>2023</v>
      </c>
      <c r="E290" t="s">
        <v>312</v>
      </c>
      <c r="F290" t="s">
        <v>315</v>
      </c>
      <c r="G290" t="s">
        <v>317</v>
      </c>
      <c r="H290">
        <v>2805.38</v>
      </c>
      <c r="I290">
        <v>3</v>
      </c>
      <c r="J290">
        <v>681.96</v>
      </c>
    </row>
    <row r="291" spans="1:10" x14ac:dyDescent="0.3">
      <c r="A291" t="s">
        <v>297</v>
      </c>
      <c r="B291" s="1">
        <v>45056</v>
      </c>
      <c r="C291" s="1" t="str">
        <f>TEXT(Table1[[#This Row],[Date]], "MMM")</f>
        <v>May</v>
      </c>
      <c r="D291" s="1" t="str">
        <f>TEXT(Table1[[#This Row],[Date]], "YYYY")</f>
        <v>2023</v>
      </c>
      <c r="E291" t="s">
        <v>311</v>
      </c>
      <c r="F291" t="s">
        <v>314</v>
      </c>
      <c r="G291" t="s">
        <v>316</v>
      </c>
      <c r="H291">
        <v>554.30999999999995</v>
      </c>
      <c r="I291">
        <v>2</v>
      </c>
      <c r="J291">
        <v>204.08</v>
      </c>
    </row>
    <row r="292" spans="1:10" x14ac:dyDescent="0.3">
      <c r="A292" t="s">
        <v>298</v>
      </c>
      <c r="B292" s="1">
        <v>45507</v>
      </c>
      <c r="C292" s="1" t="str">
        <f>TEXT(Table1[[#This Row],[Date]], "MMM")</f>
        <v>Aug</v>
      </c>
      <c r="D292" s="1" t="str">
        <f>TEXT(Table1[[#This Row],[Date]], "YYYY")</f>
        <v>2024</v>
      </c>
      <c r="E292" t="s">
        <v>312</v>
      </c>
      <c r="F292" t="s">
        <v>315</v>
      </c>
      <c r="G292" t="s">
        <v>318</v>
      </c>
      <c r="H292">
        <v>674.8</v>
      </c>
      <c r="I292">
        <v>1</v>
      </c>
      <c r="J292">
        <v>491.97</v>
      </c>
    </row>
    <row r="293" spans="1:10" x14ac:dyDescent="0.3">
      <c r="A293" t="s">
        <v>299</v>
      </c>
      <c r="B293" s="1">
        <v>45381</v>
      </c>
      <c r="C293" s="1" t="str">
        <f>TEXT(Table1[[#This Row],[Date]], "MMM")</f>
        <v>Mar</v>
      </c>
      <c r="D293" s="1" t="str">
        <f>TEXT(Table1[[#This Row],[Date]], "YYYY")</f>
        <v>2024</v>
      </c>
      <c r="E293" t="s">
        <v>312</v>
      </c>
      <c r="F293" t="s">
        <v>315</v>
      </c>
      <c r="G293" t="s">
        <v>319</v>
      </c>
      <c r="H293">
        <v>1226.94</v>
      </c>
      <c r="I293">
        <v>2</v>
      </c>
      <c r="J293">
        <v>467.66</v>
      </c>
    </row>
    <row r="294" spans="1:10" x14ac:dyDescent="0.3">
      <c r="A294" t="s">
        <v>300</v>
      </c>
      <c r="B294" s="1">
        <v>45592</v>
      </c>
      <c r="C294" s="1" t="str">
        <f>TEXT(Table1[[#This Row],[Date]], "MMM")</f>
        <v>Oct</v>
      </c>
      <c r="D294" s="1" t="str">
        <f>TEXT(Table1[[#This Row],[Date]], "YYYY")</f>
        <v>2024</v>
      </c>
      <c r="E294" t="s">
        <v>311</v>
      </c>
      <c r="F294" t="s">
        <v>314</v>
      </c>
      <c r="G294" t="s">
        <v>319</v>
      </c>
      <c r="H294">
        <v>1229.56</v>
      </c>
      <c r="I294">
        <v>5</v>
      </c>
      <c r="J294">
        <v>214.7</v>
      </c>
    </row>
    <row r="295" spans="1:10" x14ac:dyDescent="0.3">
      <c r="A295" t="s">
        <v>301</v>
      </c>
      <c r="B295" s="1">
        <v>45438</v>
      </c>
      <c r="C295" s="1" t="str">
        <f>TEXT(Table1[[#This Row],[Date]], "MMM")</f>
        <v>May</v>
      </c>
      <c r="D295" s="1" t="str">
        <f>TEXT(Table1[[#This Row],[Date]], "YYYY")</f>
        <v>2024</v>
      </c>
      <c r="E295" t="s">
        <v>308</v>
      </c>
      <c r="F295" t="s">
        <v>314</v>
      </c>
      <c r="G295" t="s">
        <v>317</v>
      </c>
      <c r="H295">
        <v>3837.1</v>
      </c>
      <c r="I295">
        <v>9</v>
      </c>
      <c r="J295">
        <v>321.85000000000002</v>
      </c>
    </row>
    <row r="296" spans="1:10" x14ac:dyDescent="0.3">
      <c r="A296" t="s">
        <v>302</v>
      </c>
      <c r="B296" s="1">
        <v>45647</v>
      </c>
      <c r="C296" s="1" t="str">
        <f>TEXT(Table1[[#This Row],[Date]], "MMM")</f>
        <v>Dec</v>
      </c>
      <c r="D296" s="1" t="str">
        <f>TEXT(Table1[[#This Row],[Date]], "YYYY")</f>
        <v>2024</v>
      </c>
      <c r="E296" t="s">
        <v>312</v>
      </c>
      <c r="F296" t="s">
        <v>315</v>
      </c>
      <c r="G296" t="s">
        <v>319</v>
      </c>
      <c r="H296">
        <v>2015.62</v>
      </c>
      <c r="I296">
        <v>8</v>
      </c>
      <c r="J296">
        <v>187.36</v>
      </c>
    </row>
    <row r="297" spans="1:10" x14ac:dyDescent="0.3">
      <c r="A297" t="s">
        <v>303</v>
      </c>
      <c r="B297" s="1">
        <v>45131</v>
      </c>
      <c r="C297" s="1" t="str">
        <f>TEXT(Table1[[#This Row],[Date]], "MMM")</f>
        <v>Jul</v>
      </c>
      <c r="D297" s="1" t="str">
        <f>TEXT(Table1[[#This Row],[Date]], "YYYY")</f>
        <v>2023</v>
      </c>
      <c r="E297" t="s">
        <v>308</v>
      </c>
      <c r="F297" t="s">
        <v>314</v>
      </c>
      <c r="G297" t="s">
        <v>318</v>
      </c>
      <c r="H297">
        <v>284.37</v>
      </c>
      <c r="I297">
        <v>2</v>
      </c>
      <c r="J297">
        <v>125.87</v>
      </c>
    </row>
    <row r="298" spans="1:10" x14ac:dyDescent="0.3">
      <c r="A298" t="s">
        <v>304</v>
      </c>
      <c r="B298" s="1">
        <v>45016</v>
      </c>
      <c r="C298" s="1" t="str">
        <f>TEXT(Table1[[#This Row],[Date]], "MMM")</f>
        <v>Mar</v>
      </c>
      <c r="D298" s="1" t="str">
        <f>TEXT(Table1[[#This Row],[Date]], "YYYY")</f>
        <v>2023</v>
      </c>
      <c r="E298" t="s">
        <v>310</v>
      </c>
      <c r="F298" t="s">
        <v>315</v>
      </c>
      <c r="G298" t="s">
        <v>318</v>
      </c>
      <c r="H298">
        <v>4491.2</v>
      </c>
      <c r="I298">
        <v>6</v>
      </c>
      <c r="J298">
        <v>540.91999999999996</v>
      </c>
    </row>
    <row r="299" spans="1:10" x14ac:dyDescent="0.3">
      <c r="A299" t="s">
        <v>305</v>
      </c>
      <c r="B299" s="1">
        <v>45234</v>
      </c>
      <c r="C299" s="1" t="str">
        <f>TEXT(Table1[[#This Row],[Date]], "MMM")</f>
        <v>Nov</v>
      </c>
      <c r="D299" s="1" t="str">
        <f>TEXT(Table1[[#This Row],[Date]], "YYYY")</f>
        <v>2023</v>
      </c>
      <c r="E299" t="s">
        <v>313</v>
      </c>
      <c r="F299" t="s">
        <v>315</v>
      </c>
      <c r="G299" t="s">
        <v>319</v>
      </c>
      <c r="H299">
        <v>2538.2800000000002</v>
      </c>
      <c r="I299">
        <v>3</v>
      </c>
      <c r="J299">
        <v>575.21</v>
      </c>
    </row>
    <row r="300" spans="1:10" x14ac:dyDescent="0.3">
      <c r="A300" t="s">
        <v>306</v>
      </c>
      <c r="B300" s="1">
        <v>45297</v>
      </c>
      <c r="C300" s="1" t="str">
        <f>TEXT(Table1[[#This Row],[Date]], "MMM")</f>
        <v>Jan</v>
      </c>
      <c r="D300" s="1" t="str">
        <f>TEXT(Table1[[#This Row],[Date]], "YYYY")</f>
        <v>2024</v>
      </c>
      <c r="E300" t="s">
        <v>308</v>
      </c>
      <c r="F300" t="s">
        <v>314</v>
      </c>
      <c r="G300" t="s">
        <v>317</v>
      </c>
      <c r="H300">
        <v>2620.85</v>
      </c>
      <c r="I300">
        <v>9</v>
      </c>
      <c r="J300">
        <v>194.91</v>
      </c>
    </row>
    <row r="301" spans="1:10" x14ac:dyDescent="0.3">
      <c r="A301" t="s">
        <v>307</v>
      </c>
      <c r="B301" s="1">
        <v>45432</v>
      </c>
      <c r="C301" s="1" t="str">
        <f>TEXT(Table1[[#This Row],[Date]], "MMM")</f>
        <v>May</v>
      </c>
      <c r="D301" s="1" t="str">
        <f>TEXT(Table1[[#This Row],[Date]], "YYYY")</f>
        <v>2024</v>
      </c>
      <c r="E301" t="s">
        <v>310</v>
      </c>
      <c r="F301" t="s">
        <v>315</v>
      </c>
      <c r="G301" t="s">
        <v>317</v>
      </c>
      <c r="H301">
        <v>400.67</v>
      </c>
      <c r="I301">
        <v>1</v>
      </c>
      <c r="J301">
        <v>301.5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0A85-796F-4741-A78E-D8A200BBE375}">
  <dimension ref="A2:L54"/>
  <sheetViews>
    <sheetView zoomScale="50" zoomScaleNormal="50" workbookViewId="0">
      <selection activeCell="A2" sqref="A2"/>
    </sheetView>
  </sheetViews>
  <sheetFormatPr defaultRowHeight="14.4" x14ac:dyDescent="0.3"/>
  <cols>
    <col min="1" max="1" width="19.21875" bestFit="1" customWidth="1"/>
    <col min="2" max="2" width="23.21875" bestFit="1" customWidth="1"/>
    <col min="3" max="3" width="11" bestFit="1" customWidth="1"/>
    <col min="4" max="4" width="15.44140625" bestFit="1" customWidth="1"/>
    <col min="5" max="5" width="17.44140625" bestFit="1" customWidth="1"/>
    <col min="6" max="8" width="9" bestFit="1" customWidth="1"/>
    <col min="9" max="9" width="19.21875" bestFit="1" customWidth="1"/>
    <col min="10" max="10" width="23.21875" bestFit="1" customWidth="1"/>
    <col min="11" max="11" width="10.109375" bestFit="1" customWidth="1"/>
    <col min="12" max="12" width="15.44140625" bestFit="1" customWidth="1"/>
    <col min="13" max="13" width="9" bestFit="1" customWidth="1"/>
    <col min="14" max="14" width="10.77734375" bestFit="1" customWidth="1"/>
  </cols>
  <sheetData>
    <row r="2" spans="1:12" x14ac:dyDescent="0.3">
      <c r="A2" s="13">
        <f ca="1">TODAY()</f>
        <v>45825</v>
      </c>
      <c r="I2" t="s">
        <v>5</v>
      </c>
    </row>
    <row r="3" spans="1:12" x14ac:dyDescent="0.3">
      <c r="A3" s="5" t="s">
        <v>325</v>
      </c>
      <c r="B3" t="s">
        <v>322</v>
      </c>
      <c r="C3" t="s">
        <v>323</v>
      </c>
      <c r="D3" t="s">
        <v>324</v>
      </c>
      <c r="E3" t="s">
        <v>329</v>
      </c>
      <c r="I3" s="5" t="s">
        <v>322</v>
      </c>
      <c r="J3" s="5" t="s">
        <v>347</v>
      </c>
    </row>
    <row r="4" spans="1:12" x14ac:dyDescent="0.3">
      <c r="A4" s="6" t="s">
        <v>326</v>
      </c>
      <c r="B4" s="4">
        <v>365643.99000000028</v>
      </c>
      <c r="C4" s="4">
        <v>724</v>
      </c>
      <c r="D4" s="4">
        <v>57541.749999999985</v>
      </c>
      <c r="E4" s="4">
        <v>308102.24000000028</v>
      </c>
      <c r="I4" s="5" t="s">
        <v>325</v>
      </c>
      <c r="J4" t="s">
        <v>326</v>
      </c>
      <c r="K4" t="s">
        <v>327</v>
      </c>
      <c r="L4" t="s">
        <v>328</v>
      </c>
    </row>
    <row r="5" spans="1:12" x14ac:dyDescent="0.3">
      <c r="A5" s="6" t="s">
        <v>327</v>
      </c>
      <c r="B5" s="4">
        <v>475604.68999999954</v>
      </c>
      <c r="C5" s="4">
        <v>899</v>
      </c>
      <c r="D5" s="4">
        <v>63978.150000000031</v>
      </c>
      <c r="E5" s="4">
        <v>411626.53999999951</v>
      </c>
      <c r="I5" s="6" t="s">
        <v>348</v>
      </c>
      <c r="J5" s="7">
        <v>109932.46999999999</v>
      </c>
      <c r="K5" s="7">
        <v>110028.64000000001</v>
      </c>
      <c r="L5" s="7">
        <v>219961.11</v>
      </c>
    </row>
    <row r="6" spans="1:12" x14ac:dyDescent="0.3">
      <c r="A6" s="6" t="s">
        <v>328</v>
      </c>
      <c r="B6" s="4">
        <v>841248.67999999982</v>
      </c>
      <c r="C6" s="4">
        <v>1623</v>
      </c>
      <c r="D6" s="4">
        <v>121519.90000000002</v>
      </c>
      <c r="E6" s="4">
        <v>719728.78000000084</v>
      </c>
      <c r="I6" s="6" t="s">
        <v>349</v>
      </c>
      <c r="J6" s="7">
        <v>70357.790000000008</v>
      </c>
      <c r="K6" s="7">
        <v>103062.17000000001</v>
      </c>
      <c r="L6" s="7">
        <v>173419.96000000002</v>
      </c>
    </row>
    <row r="7" spans="1:12" x14ac:dyDescent="0.3">
      <c r="I7" s="6" t="s">
        <v>350</v>
      </c>
      <c r="J7" s="7">
        <v>82404.929999999993</v>
      </c>
      <c r="K7" s="7">
        <v>141176.32000000001</v>
      </c>
      <c r="L7" s="7">
        <v>223581.25</v>
      </c>
    </row>
    <row r="8" spans="1:12" x14ac:dyDescent="0.3">
      <c r="I8" s="6" t="s">
        <v>351</v>
      </c>
      <c r="J8" s="7">
        <v>102948.79999999997</v>
      </c>
      <c r="K8" s="7">
        <v>121337.56</v>
      </c>
      <c r="L8" s="7">
        <v>224286.36</v>
      </c>
    </row>
    <row r="9" spans="1:12" x14ac:dyDescent="0.3">
      <c r="B9" s="10" t="s">
        <v>330</v>
      </c>
      <c r="C9" s="9"/>
      <c r="D9" s="9"/>
      <c r="E9" s="9"/>
      <c r="F9" s="9"/>
      <c r="I9" s="6" t="s">
        <v>328</v>
      </c>
      <c r="J9" s="7">
        <v>365643.99</v>
      </c>
      <c r="K9" s="7">
        <v>475604.69</v>
      </c>
      <c r="L9" s="7">
        <v>841248.68</v>
      </c>
    </row>
    <row r="10" spans="1:12" x14ac:dyDescent="0.3">
      <c r="C10" t="s">
        <v>331</v>
      </c>
      <c r="D10" t="s">
        <v>332</v>
      </c>
      <c r="E10" t="s">
        <v>333</v>
      </c>
    </row>
    <row r="11" spans="1:12" x14ac:dyDescent="0.3">
      <c r="B11" t="s">
        <v>5</v>
      </c>
      <c r="C11" s="7">
        <f>GETPIVOTDATA("Sum of Sales",$A$3,"Year","2024")</f>
        <v>475604.68999999954</v>
      </c>
      <c r="D11" s="7">
        <f>GETPIVOTDATA("Sum of Sales",$A$3,"Year","2023")</f>
        <v>365643.99000000028</v>
      </c>
      <c r="E11" s="8">
        <f>(C11-D11)/D11</f>
        <v>0.30073159413887585</v>
      </c>
      <c r="F11" t="str">
        <f>IF(E11&gt;0,"▲","▼")&amp;TEXT(ABS(E11), "0%") &amp; " Vs LY"</f>
        <v>▲30% Vs LY</v>
      </c>
    </row>
    <row r="12" spans="1:12" x14ac:dyDescent="0.3">
      <c r="B12" t="s">
        <v>6</v>
      </c>
      <c r="C12" s="7">
        <f>GETPIVOTDATA("Sum of Quantity",$A$3,"Year","2024")</f>
        <v>899</v>
      </c>
      <c r="D12" s="7">
        <f>GETPIVOTDATA("Sum of Quantity",$A$3,"Year","2023")</f>
        <v>724</v>
      </c>
      <c r="E12" s="8">
        <f t="shared" ref="E12:E14" si="0">(C12-D12)/D12</f>
        <v>0.24171270718232044</v>
      </c>
      <c r="F12" t="str">
        <f t="shared" ref="F12:F14" si="1">IF(E12&gt;0,"▲","▼")&amp;TEXT(ABS(E12), "0%") &amp; " Vs LY"</f>
        <v>▲24% Vs LY</v>
      </c>
    </row>
    <row r="13" spans="1:12" x14ac:dyDescent="0.3">
      <c r="B13" t="s">
        <v>7</v>
      </c>
      <c r="C13" s="7">
        <f>GETPIVOTDATA("Sum of Cost",$A$3,"Year","2024")</f>
        <v>63978.150000000031</v>
      </c>
      <c r="D13" s="7">
        <f>GETPIVOTDATA("Sum of Cost",$A$3,"Year","2023")</f>
        <v>57541.749999999985</v>
      </c>
      <c r="E13" s="8">
        <f t="shared" si="0"/>
        <v>0.11185617399540415</v>
      </c>
      <c r="F13" t="str">
        <f t="shared" si="1"/>
        <v>▲11% Vs LY</v>
      </c>
      <c r="I13" t="s">
        <v>6</v>
      </c>
    </row>
    <row r="14" spans="1:12" x14ac:dyDescent="0.3">
      <c r="B14" t="s">
        <v>334</v>
      </c>
      <c r="C14" s="7">
        <f>GETPIVOTDATA("Sum of Profit",$A$3,"Year","2024")</f>
        <v>411626.53999999951</v>
      </c>
      <c r="D14" s="7">
        <f>GETPIVOTDATA("Sum of Profit",$A$3,"Year","2023")</f>
        <v>308102.24000000028</v>
      </c>
      <c r="E14" s="8">
        <f t="shared" si="0"/>
        <v>0.33600632049932233</v>
      </c>
      <c r="F14" t="str">
        <f t="shared" si="1"/>
        <v>▲34% Vs LY</v>
      </c>
      <c r="I14" s="5" t="s">
        <v>323</v>
      </c>
      <c r="J14" s="5" t="s">
        <v>347</v>
      </c>
    </row>
    <row r="15" spans="1:12" x14ac:dyDescent="0.3">
      <c r="I15" s="5" t="s">
        <v>325</v>
      </c>
      <c r="J15" t="s">
        <v>326</v>
      </c>
      <c r="K15" t="s">
        <v>327</v>
      </c>
      <c r="L15" t="s">
        <v>328</v>
      </c>
    </row>
    <row r="16" spans="1:12" x14ac:dyDescent="0.3">
      <c r="A16" t="s">
        <v>352</v>
      </c>
      <c r="I16" s="6" t="s">
        <v>348</v>
      </c>
      <c r="J16" s="4">
        <v>202</v>
      </c>
      <c r="K16" s="4">
        <v>216</v>
      </c>
      <c r="L16" s="4">
        <v>418</v>
      </c>
    </row>
    <row r="17" spans="1:12" x14ac:dyDescent="0.3">
      <c r="A17" s="5" t="s">
        <v>322</v>
      </c>
      <c r="B17" s="5" t="s">
        <v>347</v>
      </c>
      <c r="I17" s="6" t="s">
        <v>349</v>
      </c>
      <c r="J17" s="4">
        <v>174</v>
      </c>
      <c r="K17" s="4">
        <v>189</v>
      </c>
      <c r="L17" s="4">
        <v>363</v>
      </c>
    </row>
    <row r="18" spans="1:12" x14ac:dyDescent="0.3">
      <c r="A18" s="5" t="s">
        <v>325</v>
      </c>
      <c r="B18" t="s">
        <v>326</v>
      </c>
      <c r="C18" t="s">
        <v>327</v>
      </c>
      <c r="D18" t="s">
        <v>328</v>
      </c>
      <c r="I18" s="6" t="s">
        <v>350</v>
      </c>
      <c r="J18" s="4">
        <v>146</v>
      </c>
      <c r="K18" s="4">
        <v>252</v>
      </c>
      <c r="L18" s="4">
        <v>398</v>
      </c>
    </row>
    <row r="19" spans="1:12" x14ac:dyDescent="0.3">
      <c r="A19" s="6" t="s">
        <v>335</v>
      </c>
      <c r="B19" s="12">
        <v>29902.450000000004</v>
      </c>
      <c r="C19" s="12">
        <v>35755.53</v>
      </c>
      <c r="D19" s="12">
        <v>65657.98000000001</v>
      </c>
      <c r="I19" s="6" t="s">
        <v>351</v>
      </c>
      <c r="J19" s="4">
        <v>202</v>
      </c>
      <c r="K19" s="4">
        <v>242</v>
      </c>
      <c r="L19" s="4">
        <v>444</v>
      </c>
    </row>
    <row r="20" spans="1:12" x14ac:dyDescent="0.3">
      <c r="A20" s="6" t="s">
        <v>336</v>
      </c>
      <c r="B20" s="12">
        <v>27457.3</v>
      </c>
      <c r="C20" s="12">
        <v>38638.26</v>
      </c>
      <c r="D20" s="12">
        <v>66095.56</v>
      </c>
      <c r="I20" s="6" t="s">
        <v>328</v>
      </c>
      <c r="J20" s="4">
        <v>724</v>
      </c>
      <c r="K20" s="4">
        <v>899</v>
      </c>
      <c r="L20" s="4">
        <v>1623</v>
      </c>
    </row>
    <row r="21" spans="1:12" x14ac:dyDescent="0.3">
      <c r="A21" s="6" t="s">
        <v>337</v>
      </c>
      <c r="B21" s="12">
        <v>52572.72</v>
      </c>
      <c r="C21" s="12">
        <v>35634.850000000006</v>
      </c>
      <c r="D21" s="12">
        <v>88207.57</v>
      </c>
    </row>
    <row r="22" spans="1:12" x14ac:dyDescent="0.3">
      <c r="A22" s="6" t="s">
        <v>338</v>
      </c>
      <c r="B22" s="12">
        <v>36742.660000000003</v>
      </c>
      <c r="C22" s="12">
        <v>58242.11</v>
      </c>
      <c r="D22" s="12">
        <v>94984.77</v>
      </c>
    </row>
    <row r="23" spans="1:12" x14ac:dyDescent="0.3">
      <c r="A23" s="6" t="s">
        <v>339</v>
      </c>
      <c r="B23" s="12">
        <v>7677.8000000000011</v>
      </c>
      <c r="C23" s="12">
        <v>11831.57</v>
      </c>
      <c r="D23" s="12">
        <v>19509.370000000003</v>
      </c>
    </row>
    <row r="24" spans="1:12" x14ac:dyDescent="0.3">
      <c r="A24" s="6" t="s">
        <v>340</v>
      </c>
      <c r="B24" s="12">
        <v>25937.33</v>
      </c>
      <c r="C24" s="12">
        <v>32988.49</v>
      </c>
      <c r="D24" s="12">
        <v>58925.82</v>
      </c>
      <c r="I24" t="s">
        <v>7</v>
      </c>
    </row>
    <row r="25" spans="1:12" x14ac:dyDescent="0.3">
      <c r="A25" s="6" t="s">
        <v>341</v>
      </c>
      <c r="B25" s="12">
        <v>7336.46</v>
      </c>
      <c r="C25" s="12">
        <v>53865.369999999988</v>
      </c>
      <c r="D25" s="12">
        <v>61201.829999999987</v>
      </c>
      <c r="I25" s="5" t="s">
        <v>324</v>
      </c>
      <c r="J25" s="5" t="s">
        <v>347</v>
      </c>
    </row>
    <row r="26" spans="1:12" x14ac:dyDescent="0.3">
      <c r="A26" s="6" t="s">
        <v>342</v>
      </c>
      <c r="B26" s="12">
        <v>44929.069999999992</v>
      </c>
      <c r="C26" s="12">
        <v>28180.969999999998</v>
      </c>
      <c r="D26" s="12">
        <v>73110.039999999994</v>
      </c>
      <c r="I26" s="5" t="s">
        <v>325</v>
      </c>
      <c r="J26" t="s">
        <v>326</v>
      </c>
      <c r="K26" t="s">
        <v>327</v>
      </c>
      <c r="L26" t="s">
        <v>328</v>
      </c>
    </row>
    <row r="27" spans="1:12" x14ac:dyDescent="0.3">
      <c r="A27" s="6" t="s">
        <v>343</v>
      </c>
      <c r="B27" s="12">
        <v>30139.4</v>
      </c>
      <c r="C27" s="12">
        <v>59129.979999999996</v>
      </c>
      <c r="D27" s="12">
        <v>89269.38</v>
      </c>
      <c r="I27" s="6" t="s">
        <v>348</v>
      </c>
      <c r="J27" s="7">
        <v>14858.35</v>
      </c>
      <c r="K27" s="7">
        <v>14980.41</v>
      </c>
      <c r="L27" s="7">
        <v>29838.760000000002</v>
      </c>
    </row>
    <row r="28" spans="1:12" x14ac:dyDescent="0.3">
      <c r="A28" s="6" t="s">
        <v>344</v>
      </c>
      <c r="B28" s="12">
        <v>40537.450000000004</v>
      </c>
      <c r="C28" s="12">
        <v>50680.210000000006</v>
      </c>
      <c r="D28" s="12">
        <v>91217.66</v>
      </c>
      <c r="I28" s="6" t="s">
        <v>349</v>
      </c>
      <c r="J28" s="7">
        <v>11681.549999999996</v>
      </c>
      <c r="K28" s="7">
        <v>12698.280000000002</v>
      </c>
      <c r="L28" s="7">
        <v>24379.829999999998</v>
      </c>
    </row>
    <row r="29" spans="1:12" x14ac:dyDescent="0.3">
      <c r="A29" s="6" t="s">
        <v>345</v>
      </c>
      <c r="B29" s="12">
        <v>41939.229999999996</v>
      </c>
      <c r="C29" s="12">
        <v>48022.19</v>
      </c>
      <c r="D29" s="12">
        <v>89961.42</v>
      </c>
      <c r="I29" s="6" t="s">
        <v>350</v>
      </c>
      <c r="J29" s="7">
        <v>15455.970000000003</v>
      </c>
      <c r="K29" s="7">
        <v>19318.900000000001</v>
      </c>
      <c r="L29" s="7">
        <v>34774.870000000003</v>
      </c>
    </row>
    <row r="30" spans="1:12" x14ac:dyDescent="0.3">
      <c r="A30" s="6" t="s">
        <v>346</v>
      </c>
      <c r="B30" s="12">
        <v>20472.120000000003</v>
      </c>
      <c r="C30" s="12">
        <v>22635.16</v>
      </c>
      <c r="D30" s="12">
        <v>43107.28</v>
      </c>
      <c r="I30" s="6" t="s">
        <v>351</v>
      </c>
      <c r="J30" s="7">
        <v>15545.880000000001</v>
      </c>
      <c r="K30" s="7">
        <v>16980.560000000001</v>
      </c>
      <c r="L30" s="7">
        <v>32526.440000000002</v>
      </c>
    </row>
    <row r="31" spans="1:12" x14ac:dyDescent="0.3">
      <c r="A31" s="6" t="s">
        <v>328</v>
      </c>
      <c r="B31" s="7">
        <v>365643.99</v>
      </c>
      <c r="C31" s="7">
        <v>475604.68999999994</v>
      </c>
      <c r="D31" s="7">
        <v>841248.68000000017</v>
      </c>
      <c r="I31" s="6" t="s">
        <v>328</v>
      </c>
      <c r="J31" s="7">
        <v>57541.75</v>
      </c>
      <c r="K31" s="7">
        <v>63978.150000000009</v>
      </c>
      <c r="L31" s="7">
        <v>121519.9</v>
      </c>
    </row>
    <row r="34" spans="1:12" x14ac:dyDescent="0.3">
      <c r="A34" s="6" t="s">
        <v>353</v>
      </c>
    </row>
    <row r="35" spans="1:12" x14ac:dyDescent="0.3">
      <c r="A35" s="5" t="s">
        <v>322</v>
      </c>
      <c r="B35" s="5" t="s">
        <v>347</v>
      </c>
      <c r="I35" t="s">
        <v>334</v>
      </c>
    </row>
    <row r="36" spans="1:12" x14ac:dyDescent="0.3">
      <c r="A36" s="5" t="s">
        <v>325</v>
      </c>
      <c r="B36" t="s">
        <v>326</v>
      </c>
      <c r="C36" t="s">
        <v>327</v>
      </c>
      <c r="D36" t="s">
        <v>328</v>
      </c>
      <c r="I36" s="5" t="s">
        <v>329</v>
      </c>
      <c r="J36" s="5" t="s">
        <v>347</v>
      </c>
    </row>
    <row r="37" spans="1:12" x14ac:dyDescent="0.3">
      <c r="A37" s="6" t="s">
        <v>313</v>
      </c>
      <c r="B37" s="12">
        <v>83732.830000000016</v>
      </c>
      <c r="C37" s="12">
        <v>81620.740000000005</v>
      </c>
      <c r="D37" s="12">
        <v>165353.57</v>
      </c>
      <c r="I37" s="5" t="s">
        <v>325</v>
      </c>
      <c r="J37" t="s">
        <v>326</v>
      </c>
      <c r="K37" t="s">
        <v>327</v>
      </c>
      <c r="L37" t="s">
        <v>328</v>
      </c>
    </row>
    <row r="38" spans="1:12" x14ac:dyDescent="0.3">
      <c r="A38" s="6" t="s">
        <v>312</v>
      </c>
      <c r="B38" s="12">
        <v>87038.010000000009</v>
      </c>
      <c r="C38" s="12">
        <v>55919.660000000018</v>
      </c>
      <c r="D38" s="12">
        <v>142957.67000000004</v>
      </c>
      <c r="I38" s="6" t="s">
        <v>348</v>
      </c>
      <c r="J38" s="7">
        <v>95074.119999999981</v>
      </c>
      <c r="K38" s="7">
        <v>95048.23000000001</v>
      </c>
      <c r="L38" s="7">
        <v>190122.34999999998</v>
      </c>
    </row>
    <row r="39" spans="1:12" x14ac:dyDescent="0.3">
      <c r="A39" s="6" t="s">
        <v>309</v>
      </c>
      <c r="B39" s="12">
        <v>63549.779999999984</v>
      </c>
      <c r="C39" s="12">
        <v>64330.260000000024</v>
      </c>
      <c r="D39" s="12">
        <v>127880.04000000001</v>
      </c>
      <c r="I39" s="6" t="s">
        <v>349</v>
      </c>
      <c r="J39" s="7">
        <v>58676.240000000013</v>
      </c>
      <c r="K39" s="7">
        <v>90363.890000000014</v>
      </c>
      <c r="L39" s="7">
        <v>149040.13</v>
      </c>
    </row>
    <row r="40" spans="1:12" x14ac:dyDescent="0.3">
      <c r="A40" s="6" t="s">
        <v>311</v>
      </c>
      <c r="B40" s="12">
        <v>37447.310000000005</v>
      </c>
      <c r="C40" s="12">
        <v>109494.29000000001</v>
      </c>
      <c r="D40" s="12">
        <v>146941.6</v>
      </c>
      <c r="I40" s="6" t="s">
        <v>350</v>
      </c>
      <c r="J40" s="7">
        <v>66948.959999999992</v>
      </c>
      <c r="K40" s="7">
        <v>121857.42000000001</v>
      </c>
      <c r="L40" s="7">
        <v>188806.37999999995</v>
      </c>
    </row>
    <row r="41" spans="1:12" x14ac:dyDescent="0.3">
      <c r="A41" s="6" t="s">
        <v>310</v>
      </c>
      <c r="B41" s="12">
        <v>42008.6</v>
      </c>
      <c r="C41" s="12">
        <v>105919.48000000004</v>
      </c>
      <c r="D41" s="12">
        <v>147928.08000000005</v>
      </c>
      <c r="I41" s="6" t="s">
        <v>351</v>
      </c>
      <c r="J41" s="7">
        <v>87402.919999999969</v>
      </c>
      <c r="K41" s="7">
        <v>104357</v>
      </c>
      <c r="L41" s="7">
        <v>191759.91999999995</v>
      </c>
    </row>
    <row r="42" spans="1:12" x14ac:dyDescent="0.3">
      <c r="A42" s="6" t="s">
        <v>308</v>
      </c>
      <c r="B42" s="12">
        <v>51867.46</v>
      </c>
      <c r="C42" s="12">
        <v>58320.259999999995</v>
      </c>
      <c r="D42" s="12">
        <v>110187.72</v>
      </c>
      <c r="I42" s="6" t="s">
        <v>328</v>
      </c>
      <c r="J42" s="7">
        <v>308102.24000000011</v>
      </c>
      <c r="K42" s="7">
        <v>411626.53999999975</v>
      </c>
      <c r="L42" s="7">
        <v>719728.7799999998</v>
      </c>
    </row>
    <row r="43" spans="1:12" x14ac:dyDescent="0.3">
      <c r="A43" s="6" t="s">
        <v>328</v>
      </c>
      <c r="B43" s="7">
        <v>365643.99</v>
      </c>
      <c r="C43" s="7">
        <v>475604.69000000012</v>
      </c>
      <c r="D43" s="7">
        <v>841248.68</v>
      </c>
    </row>
    <row r="47" spans="1:12" x14ac:dyDescent="0.3">
      <c r="A47" t="s">
        <v>354</v>
      </c>
    </row>
    <row r="48" spans="1:12" x14ac:dyDescent="0.3">
      <c r="A48" s="5" t="s">
        <v>322</v>
      </c>
      <c r="B48" s="5" t="s">
        <v>347</v>
      </c>
    </row>
    <row r="49" spans="1:4" x14ac:dyDescent="0.3">
      <c r="A49" s="5" t="s">
        <v>325</v>
      </c>
      <c r="B49" t="s">
        <v>326</v>
      </c>
      <c r="C49" t="s">
        <v>327</v>
      </c>
      <c r="D49" t="s">
        <v>328</v>
      </c>
    </row>
    <row r="50" spans="1:4" x14ac:dyDescent="0.3">
      <c r="A50" s="6" t="s">
        <v>316</v>
      </c>
      <c r="B50" s="12">
        <v>61994.55999999999</v>
      </c>
      <c r="C50" s="12">
        <v>121472.34000000003</v>
      </c>
      <c r="D50" s="12">
        <v>183466.90000000002</v>
      </c>
    </row>
    <row r="51" spans="1:4" x14ac:dyDescent="0.3">
      <c r="A51" s="6" t="s">
        <v>319</v>
      </c>
      <c r="B51" s="12">
        <v>88852.969999999987</v>
      </c>
      <c r="C51" s="12">
        <v>93410.199999999968</v>
      </c>
      <c r="D51" s="12">
        <v>182263.16999999995</v>
      </c>
    </row>
    <row r="52" spans="1:4" x14ac:dyDescent="0.3">
      <c r="A52" s="6" t="s">
        <v>318</v>
      </c>
      <c r="B52" s="12">
        <v>123927.84999999996</v>
      </c>
      <c r="C52" s="12">
        <v>145397.91999999998</v>
      </c>
      <c r="D52" s="12">
        <v>269325.76999999996</v>
      </c>
    </row>
    <row r="53" spans="1:4" x14ac:dyDescent="0.3">
      <c r="A53" s="6" t="s">
        <v>317</v>
      </c>
      <c r="B53" s="12">
        <v>90868.61</v>
      </c>
      <c r="C53" s="12">
        <v>115324.23000000001</v>
      </c>
      <c r="D53" s="12">
        <v>206192.84000000003</v>
      </c>
    </row>
    <row r="54" spans="1:4" x14ac:dyDescent="0.3">
      <c r="A54" s="6" t="s">
        <v>328</v>
      </c>
      <c r="B54" s="7">
        <v>365643.98999999993</v>
      </c>
      <c r="C54" s="7">
        <v>475604.68999999994</v>
      </c>
      <c r="D54" s="7">
        <v>841248.67999999993</v>
      </c>
    </row>
  </sheetData>
  <mergeCells count="1">
    <mergeCell ref="B9:F9"/>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DDA6-1E9B-4DCD-88D5-EBE3BFA6112F}">
  <dimension ref="A1"/>
  <sheetViews>
    <sheetView showGridLines="0" tabSelected="1" topLeftCell="A10" zoomScale="50" zoomScaleNormal="50" workbookViewId="0">
      <selection activeCell="C35" sqref="C35"/>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Data</vt:lpstr>
      <vt:lpstr>Pivot Calculations</vt:lpstr>
      <vt:lpstr>Dashboard</vt:lpstr>
      <vt:lpstr>Cost</vt:lpstr>
      <vt:lpstr>costyoy</vt:lpstr>
      <vt:lpstr>dateee</vt:lpstr>
      <vt:lpstr>Profit</vt:lpstr>
      <vt:lpstr>profityoy</vt:lpstr>
      <vt:lpstr>qtyyoy</vt:lpstr>
      <vt:lpstr>Quantity</vt:lpstr>
      <vt:lpstr>Sales</vt:lpstr>
      <vt:lpstr>Salesyoy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Deguenon Rodrigue</dc:creator>
  <cp:lastModifiedBy>Deguenon Rodrigue</cp:lastModifiedBy>
  <dcterms:created xsi:type="dcterms:W3CDTF">2025-06-03T10:06:35Z</dcterms:created>
  <dcterms:modified xsi:type="dcterms:W3CDTF">2025-06-17T05:06:18Z</dcterms:modified>
</cp:coreProperties>
</file>