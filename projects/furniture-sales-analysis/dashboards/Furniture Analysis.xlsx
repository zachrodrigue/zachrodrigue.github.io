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https://d.docs.live.net/67671d55fee3b341/Documents/data_carpentry/projects/Furniture_sales/output/"/>
    </mc:Choice>
  </mc:AlternateContent>
  <xr:revisionPtr revIDLastSave="37" documentId="13_ncr:1_{D82129BB-91AA-46DB-A4D7-73A47185F5D6}" xr6:coauthVersionLast="47" xr6:coauthVersionMax="47" xr10:uidLastSave="{EB5E16CA-1BAB-4022-B755-AE5D8797E02F}"/>
  <bookViews>
    <workbookView xWindow="-108" yWindow="-108" windowWidth="19416" windowHeight="10560" tabRatio="682" activeTab="2" xr2:uid="{00000000-000D-0000-FFFF-FFFF00000000}"/>
  </bookViews>
  <sheets>
    <sheet name="Furniture data" sheetId="2" r:id="rId1"/>
    <sheet name="Pivot Calculations" sheetId="3" r:id="rId2"/>
    <sheet name="Dashboard" sheetId="5" r:id="rId3"/>
    <sheet name="Sheet3" sheetId="9" r:id="rId4"/>
  </sheets>
  <definedNames>
    <definedName name="_xlchart.v5.0" hidden="1">'Pivot Calculations'!$C$31</definedName>
    <definedName name="_xlchart.v5.1" hidden="1">'Pivot Calculations'!$C$32:$C$80</definedName>
    <definedName name="_xlchart.v5.10" hidden="1">'Pivot Calculations'!$D$31</definedName>
    <definedName name="_xlchart.v5.11" hidden="1">'Pivot Calculations'!$D$32:$D$80</definedName>
    <definedName name="_xlchart.v5.2" hidden="1">'Pivot Calculations'!$D$31</definedName>
    <definedName name="_xlchart.v5.3" hidden="1">'Pivot Calculations'!$D$32:$D$80</definedName>
    <definedName name="_xlchart.v5.4" hidden="1">'Pivot Calculations'!$C$31</definedName>
    <definedName name="_xlchart.v5.5" hidden="1">'Pivot Calculations'!$C$32:$C$80</definedName>
    <definedName name="_xlchart.v5.6" hidden="1">'Pivot Calculations'!$D$31</definedName>
    <definedName name="_xlchart.v5.7" hidden="1">'Pivot Calculations'!$D$32:$D$80</definedName>
    <definedName name="_xlchart.v5.8" hidden="1">'Pivot Calculations'!$C$31</definedName>
    <definedName name="_xlchart.v5.9" hidden="1">'Pivot Calculations'!$C$32:$C$80</definedName>
    <definedName name="ExternalData_1" localSheetId="0" hidden="1">'Furniture data'!$A$1:$T$2122</definedName>
    <definedName name="highsubcategory">'Pivot Calculations'!$H$48</definedName>
    <definedName name="NativeTimeline_Order_Date">#N/A</definedName>
    <definedName name="ordersduration">'Pivot Calculations'!$H$24</definedName>
    <definedName name="profit">'Pivot Calculations'!$G$7</definedName>
    <definedName name="profityoy">'Pivot Calculations'!$K$7</definedName>
    <definedName name="quantity">'Pivot Calculations'!$G$6</definedName>
    <definedName name="quantityyoy">'Pivot Calculations'!$K$6</definedName>
    <definedName name="sales">'Pivot Calculations'!$G$5</definedName>
    <definedName name="salestrend">'Pivot Calculations'!$A$15</definedName>
    <definedName name="salesyoy">'Pivot Calculations'!$K$5</definedName>
    <definedName name="shipmode">'Pivot Calculations'!$H$39</definedName>
    <definedName name="Slicer_Region">#N/A</definedName>
    <definedName name="Slicer_Segment">#N/A</definedName>
    <definedName name="topsellingcity">'Pivot Calculations'!$J$14</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3" l="1"/>
  <c r="R6" i="3"/>
  <c r="R5" i="3"/>
  <c r="P7" i="3"/>
  <c r="P6" i="3"/>
  <c r="P5" i="3"/>
  <c r="N6" i="3"/>
  <c r="N7" i="3"/>
  <c r="N5" i="3"/>
  <c r="D80" i="3"/>
  <c r="C80"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32" i="3"/>
  <c r="K51" i="3"/>
  <c r="K52" i="3"/>
  <c r="K53" i="3"/>
  <c r="K50" i="3"/>
  <c r="J51" i="3"/>
  <c r="J52" i="3"/>
  <c r="J53" i="3"/>
  <c r="J50" i="3"/>
  <c r="H48" i="3"/>
  <c r="H39" i="3"/>
  <c r="H24" i="3"/>
  <c r="J14" i="3"/>
  <c r="H7" i="3"/>
  <c r="H6" i="3"/>
  <c r="H5" i="3"/>
  <c r="L49" i="3" l="1"/>
  <c r="L53" i="3" s="1"/>
  <c r="K17" i="3"/>
  <c r="K18" i="3"/>
  <c r="K19" i="3"/>
  <c r="K20" i="3"/>
  <c r="K16" i="3"/>
  <c r="J17" i="3"/>
  <c r="J18" i="3"/>
  <c r="J19" i="3"/>
  <c r="J20" i="3"/>
  <c r="J16" i="3"/>
  <c r="A15" i="3"/>
  <c r="I5" i="3"/>
  <c r="G6" i="3"/>
  <c r="I6" i="3"/>
  <c r="G7" i="3"/>
  <c r="G5" i="3"/>
  <c r="I7" i="3"/>
  <c r="L52" i="3" l="1"/>
  <c r="L51" i="3"/>
  <c r="L50" i="3"/>
  <c r="L15" i="3"/>
  <c r="J5" i="3"/>
  <c r="K5" i="3" s="1"/>
  <c r="J6" i="3"/>
  <c r="K6" i="3" s="1"/>
  <c r="J7" i="3"/>
  <c r="K7" i="3" s="1"/>
  <c r="L17" i="3" l="1"/>
  <c r="L16" i="3"/>
  <c r="L19" i="3"/>
  <c r="L20" i="3"/>
  <c r="L1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Furniture_data" description="Connection to the 'Furniture_data' query in the workbook." type="5" refreshedVersion="6"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<sst xmlns="http://schemas.openxmlformats.org/spreadsheetml/2006/main" count="31970" uniqueCount="4436">
  <si>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</si>
  <si>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</si>
  <si>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</si>
  <si>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</si>
  <si>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</si>
  <si>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</si>
  <si>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</si>
  <si>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</si>
  <si>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</si>
  <si>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</si>
  <si>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</si>
  <si>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</si>
  <si>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</si>
  <si>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</si>
  <si>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</si>
  <si>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</si>
  <si>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</si>
  <si>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</si>
  <si>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</si>
  <si>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</si>
  <si>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</si>
  <si>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</si>
  <si>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</si>
  <si>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</si>
  <si>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</si>
  <si>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</si>
  <si>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</si>
  <si>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</si>
  <si>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</si>
  <si>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</si>
  <si>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</si>
  <si>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</si>
  <si>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</si>
  <si>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</si>
  <si>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</si>
  <si>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</si>
  <si>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</si>
  <si>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</si>
  <si>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</si>
  <si>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</si>
  <si>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</si>
  <si>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</si>
  <si>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</si>
  <si>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</si>
  <si>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</si>
  <si>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</si>
  <si>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</si>
  <si>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</si>
  <si>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</si>
  <si>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</si>
  <si>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</si>
  <si>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</si>
  <si>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</si>
  <si>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</si>
  <si>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</si>
  <si>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</si>
  <si>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</si>
  <si>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</si>
  <si>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</si>
  <si>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</si>
  <si>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</si>
  <si>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</si>
  <si>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</si>
  <si>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</si>
  <si>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</si>
  <si>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</si>
  <si>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</si>
  <si>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</si>
  <si>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</si>
  <si>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</si>
  <si>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</si>
  <si>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</si>
  <si>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</si>
  <si>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</si>
  <si>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</si>
  <si>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</si>
  <si>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</si>
  <si>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</si>
  <si>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</si>
  <si>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</si>
  <si>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</si>
  <si>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</si>
  <si>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</si>
  <si>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</si>
  <si>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</si>
  <si>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</si>
  <si>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</si>
  <si>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</si>
  <si>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</si>
  <si>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</si>
  <si>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</si>
  <si>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</si>
  <si>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</si>
  <si>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</si>
  <si>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</si>
  <si>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</si>
  <si>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</si>
  <si>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</si>
  <si>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</si>
  <si>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</si>
  <si>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</si>
  <si>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</si>
  <si>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</si>
  <si>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</si>
  <si>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</si>
  <si>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</si>
  <si>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</si>
  <si>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</si>
  <si>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</si>
  <si>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</si>
  <si>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</si>
  <si>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</si>
  <si>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</si>
  <si>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</si>
  <si>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</si>
  <si>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</si>
  <si>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</si>
  <si>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</si>
  <si>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</si>
  <si>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</si>
  <si>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</si>
  <si>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</si>
  <si>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</si>
  <si>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</si>
  <si>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</si>
  <si>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</si>
  <si>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</si>
  <si>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</si>
  <si>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</si>
  <si>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</si>
  <si>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</si>
  <si>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</si>
  <si>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</si>
  <si>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</si>
  <si>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</si>
  <si>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</si>
  <si>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</si>
  <si>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</si>
  <si>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</si>
  <si>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</si>
  <si>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</si>
  <si>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</si>
  <si>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</si>
  <si>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</si>
  <si>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</si>
  <si>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</si>
  <si>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</si>
  <si>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</si>
  <si>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</si>
  <si>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</si>
  <si>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</si>
  <si>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</si>
  <si>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</si>
  <si>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</si>
  <si>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</si>
  <si>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</si>
  <si>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</si>
  <si>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</si>
  <si>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</si>
  <si>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</si>
  <si>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</si>
  <si>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</si>
  <si>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</si>
  <si>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</si>
  <si>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</si>
  <si>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</si>
  <si>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</si>
  <si>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</si>
  <si>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</si>
  <si>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</si>
  <si>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</si>
  <si>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</si>
  <si>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</si>
  <si>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</si>
  <si>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</si>
  <si>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</si>
  <si>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</si>
  <si>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</si>
  <si>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</si>
  <si>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</si>
  <si>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</si>
  <si>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</si>
  <si>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</si>
  <si>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</si>
  <si>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</si>
  <si>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</si>
  <si>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</si>
  <si>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</si>
  <si>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</si>
  <si>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</si>
  <si>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</si>
  <si>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</si>
  <si>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</si>
  <si>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</si>
  <si>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</si>
  <si>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</si>
  <si>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</si>
  <si>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</si>
  <si>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</si>
  <si>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</si>
  <si>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</si>
  <si>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</si>
  <si>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</si>
  <si>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</si>
  <si>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</si>
  <si>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</si>
  <si>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</si>
  <si>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</si>
  <si>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</si>
  <si>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</si>
  <si>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</si>
  <si>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</si>
  <si>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</si>
  <si>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</si>
  <si>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</si>
  <si>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</si>
  <si>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</si>
  <si>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</si>
  <si>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</si>
  <si>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</si>
  <si>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</si>
  <si>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</si>
  <si>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</si>
  <si>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</si>
  <si>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</si>
  <si>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</si>
  <si>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</si>
  <si>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</si>
  <si>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</si>
  <si>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</si>
  <si>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</si>
  <si>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</si>
  <si>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</si>
  <si>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</si>
  <si>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</si>
  <si>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</si>
  <si>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</si>
  <si>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</si>
  <si>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</si>
  <si>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</si>
  <si>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</si>
  <si>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</si>
  <si>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</si>
  <si>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</si>
  <si>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</si>
  <si>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</si>
  <si>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</si>
  <si>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</si>
  <si>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</si>
  <si>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</si>
  <si>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</si>
  <si>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</si>
  <si>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</si>
  <si>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</si>
  <si>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</si>
  <si>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</si>
  <si>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</si>
  <si>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</si>
  <si>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</si>
  <si>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</si>
  <si>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</si>
  <si>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</si>
  <si>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</si>
  <si>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</si>
  <si>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</si>
  <si>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</si>
  <si>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</si>
  <si>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</si>
  <si>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</si>
  <si>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</si>
  <si>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</si>
  <si>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</si>
  <si>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</si>
  <si>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</si>
  <si>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</si>
  <si>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</si>
  <si>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</si>
  <si>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</si>
  <si>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</si>
  <si>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</si>
  <si>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</si>
  <si>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</si>
  <si>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</si>
  <si>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</si>
  <si>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</si>
  <si>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</si>
  <si>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</si>
  <si>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</si>
  <si>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</si>
  <si>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</si>
  <si>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</si>
  <si>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</si>
  <si>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</si>
  <si>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</si>
  <si>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</si>
  <si>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</si>
  <si>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</si>
  <si>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</si>
  <si>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</si>
  <si>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</si>
  <si>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</si>
  <si>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</si>
  <si>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</si>
  <si>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</si>
  <si>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</si>
  <si>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</si>
  <si>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</si>
  <si>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</si>
  <si>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</si>
  <si>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</si>
  <si>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</si>
  <si>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</si>
  <si>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</si>
  <si>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</si>
  <si>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</si>
  <si>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</si>
  <si>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</si>
  <si>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</si>
  <si>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</si>
  <si>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</si>
  <si>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</si>
  <si>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</si>
  <si>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</si>
  <si>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</si>
  <si>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</si>
  <si>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</si>
  <si>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</si>
  <si>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</si>
  <si>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</si>
  <si>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</si>
  <si>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</si>
  <si>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</si>
  <si>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</si>
  <si>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</si>
  <si>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</si>
  <si>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</si>
  <si>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</si>
  <si>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</si>
  <si>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</si>
  <si>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</si>
  <si>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</si>
  <si>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</si>
  <si>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</si>
  <si>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</si>
  <si>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</si>
  <si>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</si>
  <si>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</si>
  <si>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</si>
  <si>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</si>
  <si>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</si>
  <si>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</si>
  <si>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</si>
  <si>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</si>
  <si>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</si>
  <si>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</si>
  <si>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</si>
  <si>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</si>
  <si>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</si>
  <si>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</si>
  <si>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</si>
  <si>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</si>
  <si>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</si>
  <si>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</si>
  <si>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</si>
  <si>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</si>
  <si>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</si>
  <si>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</si>
  <si>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</si>
  <si>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</si>
  <si>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</si>
  <si>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</si>
  <si>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</si>
  <si>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</si>
  <si>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</si>
  <si>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</si>
  <si>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</si>
  <si>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</si>
  <si>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</si>
  <si>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</si>
  <si>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</si>
  <si>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</si>
  <si>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</si>
  <si>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</si>
  <si>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</si>
  <si>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</si>
  <si>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</si>
  <si>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</si>
  <si>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</si>
  <si>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</si>
  <si>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</si>
  <si>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</si>
  <si>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</si>
  <si>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</si>
  <si>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</si>
  <si>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</si>
  <si>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</si>
  <si>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</si>
  <si>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</si>
  <si>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</si>
  <si>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</si>
  <si>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</si>
  <si>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</si>
  <si>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</si>
  <si>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</si>
  <si>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</si>
  <si>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</si>
  <si>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</si>
  <si>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</si>
  <si>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</si>
  <si>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</si>
  <si>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</si>
  <si>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</si>
  <si>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</si>
  <si>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</si>
  <si>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</si>
  <si>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</si>
  <si>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</si>
  <si>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</si>
  <si>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</si>
  <si>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</si>
  <si>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</si>
  <si>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</si>
  <si>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</si>
  <si>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</si>
  <si>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</si>
  <si>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</si>
  <si>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</si>
  <si>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</si>
  <si>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</si>
  <si>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</si>
  <si>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</si>
  <si>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</si>
  <si>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</si>
  <si>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</si>
  <si>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</si>
  <si>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</si>
  <si>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</si>
  <si>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</si>
  <si>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</si>
  <si>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</si>
  <si>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</si>
  <si>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</si>
  <si>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</si>
  <si>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</si>
  <si>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</si>
  <si>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</si>
  <si>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</si>
  <si>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</si>
  <si>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</si>
  <si>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</si>
  <si>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</si>
  <si>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</si>
  <si>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</si>
  <si>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</si>
  <si>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</si>
  <si>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</si>
  <si>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</si>
  <si>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</si>
  <si>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</si>
  <si>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</si>
  <si>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</si>
  <si>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</si>
  <si>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</si>
  <si>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</si>
  <si>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</si>
  <si>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</si>
  <si>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</si>
  <si>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</si>
  <si>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</si>
  <si>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</si>
  <si>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</si>
  <si>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</si>
  <si>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</si>
  <si>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</si>
  <si>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</si>
  <si>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</si>
  <si>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</si>
  <si>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</si>
  <si>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</si>
  <si>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</si>
  <si>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</si>
  <si>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</si>
  <si>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</si>
  <si>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</si>
  <si>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</si>
  <si>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</si>
  <si>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</si>
  <si>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</si>
  <si>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</si>
  <si>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</si>
  <si>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</si>
  <si>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</si>
  <si>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</si>
  <si>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</si>
  <si>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</si>
  <si>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</si>
  <si>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</si>
  <si>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</si>
  <si>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</si>
  <si>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</si>
  <si>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</si>
  <si>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</si>
  <si>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</si>
  <si>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</si>
  <si>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</si>
  <si>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</si>
  <si>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</si>
  <si>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</si>
  <si>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</si>
  <si>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</si>
  <si>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</si>
  <si>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</si>
  <si>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</si>
  <si>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</si>
  <si>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</si>
  <si>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</si>
  <si>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</si>
  <si>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</si>
  <si>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</si>
  <si>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</si>
  <si>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</si>
  <si>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</si>
  <si>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</si>
  <si>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</si>
  <si>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</si>
  <si>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</si>
  <si>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</si>
  <si>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</si>
  <si>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</si>
  <si>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</si>
  <si>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</si>
  <si>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</si>
  <si>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</si>
  <si>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</si>
  <si>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</si>
  <si>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</si>
  <si>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</si>
  <si>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</si>
  <si>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</si>
  <si>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</si>
  <si>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</si>
  <si>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</si>
  <si>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</si>
  <si>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</si>
  <si>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</si>
  <si>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</si>
  <si>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</si>
  <si>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</si>
  <si>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</si>
  <si>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</si>
  <si>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</si>
  <si>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</si>
  <si>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</si>
  <si>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</si>
  <si>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</si>
  <si>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</si>
  <si>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</si>
  <si>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</si>
  <si>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</si>
  <si>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</si>
  <si>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</si>
  <si>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</si>
  <si>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</si>
  <si>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</si>
  <si>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</si>
  <si>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</si>
  <si>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</si>
  <si>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</si>
  <si>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</si>
  <si>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</si>
  <si>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</si>
  <si>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</si>
  <si>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</si>
  <si>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</si>
  <si>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</si>
  <si>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</si>
  <si>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</si>
  <si>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</si>
  <si>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</si>
  <si>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</si>
  <si>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</si>
  <si>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</si>
  <si>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</si>
  <si>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</si>
  <si>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</si>
  <si>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</si>
  <si>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</si>
  <si>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</si>
  <si>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</si>
  <si>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</si>
  <si>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</si>
  <si>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</si>
  <si>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</si>
  <si>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</si>
  <si>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</si>
  <si>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</si>
  <si>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</si>
  <si>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</si>
  <si>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</si>
  <si>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</si>
  <si>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</si>
  <si>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</si>
  <si>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</si>
  <si>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</si>
  <si>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</si>
  <si>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</si>
  <si>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</si>
  <si>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</si>
  <si>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</si>
  <si>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</si>
  <si>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</si>
  <si>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</si>
  <si>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</si>
  <si>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</si>
  <si>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</si>
  <si>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</si>
  <si>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</si>
  <si>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</si>
  <si>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</si>
  <si>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</si>
  <si>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</si>
  <si>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</si>
  <si>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</si>
  <si>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</si>
  <si>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</si>
  <si>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</si>
  <si>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</si>
  <si>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</si>
  <si>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</si>
  <si>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</si>
  <si>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</si>
  <si>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</si>
  <si>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</si>
  <si>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</si>
  <si>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</si>
  <si>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</si>
  <si>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</si>
  <si>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</si>
  <si>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</si>
  <si>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</si>
  <si>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</si>
  <si>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</si>
  <si>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</si>
  <si>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</si>
  <si>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</si>
  <si>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</si>
  <si>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</si>
  <si>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</si>
  <si>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</si>
  <si>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</si>
  <si>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</si>
  <si>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</si>
  <si>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</si>
  <si>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</si>
  <si>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</si>
  <si>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</si>
  <si>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</si>
  <si>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</si>
  <si>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</si>
  <si>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</si>
  <si>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</si>
  <si>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</si>
  <si>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</si>
  <si>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</si>
  <si>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</si>
  <si>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</si>
  <si>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</si>
  <si>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</si>
  <si>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</si>
  <si>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</si>
  <si>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</si>
  <si>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</si>
  <si>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</si>
  <si>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</si>
  <si>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</si>
  <si>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</si>
  <si>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</si>
  <si>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</si>
  <si>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</si>
  <si>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</si>
  <si>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</si>
  <si>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</si>
  <si>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</si>
  <si>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</si>
  <si>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</si>
  <si>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</si>
  <si>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</si>
  <si>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</si>
  <si>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</si>
  <si>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</si>
  <si>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</si>
  <si>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</si>
  <si>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</si>
  <si>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</si>
  <si>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</si>
  <si>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</si>
  <si>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</si>
  <si>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</si>
  <si>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</si>
  <si>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</si>
  <si>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</si>
  <si>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</si>
  <si>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</si>
  <si>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</si>
  <si>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</si>
  <si>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</si>
  <si>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</si>
  <si>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</si>
  <si>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</si>
  <si>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</si>
  <si>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</si>
  <si>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</si>
  <si>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</si>
  <si>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</si>
  <si>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</si>
  <si>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</si>
  <si>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</si>
  <si>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</si>
  <si>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</si>
  <si>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</si>
  <si>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</si>
  <si>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</si>
  <si>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</si>
  <si>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</si>
  <si>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</si>
  <si>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</si>
  <si>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</si>
  <si>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</si>
  <si>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</si>
  <si>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</si>
  <si>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</si>
  <si>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</si>
  <si>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</si>
  <si>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</si>
  <si>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</si>
  <si>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</si>
  <si>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</si>
  <si>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</si>
  <si>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</si>
  <si>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</si>
  <si>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</si>
  <si>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</si>
  <si>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</si>
  <si>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</si>
  <si>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</si>
  <si>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</si>
  <si>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</si>
  <si>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</si>
  <si>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</si>
  <si>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</si>
  <si>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</si>
  <si>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</si>
  <si>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</si>
  <si>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</si>
  <si>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</si>
  <si>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</si>
  <si>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</si>
  <si>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</si>
  <si>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</si>
  <si>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</si>
  <si>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</si>
  <si>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</si>
  <si>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</si>
  <si>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</si>
  <si>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</si>
  <si>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</si>
  <si>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</si>
  <si>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</si>
  <si>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</si>
  <si>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</si>
  <si>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</si>
  <si>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</si>
  <si>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</si>
  <si>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</si>
  <si>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</si>
  <si>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</si>
  <si>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</si>
  <si>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</si>
  <si>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</si>
  <si>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</si>
  <si>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</si>
  <si>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</si>
  <si>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</si>
  <si>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</si>
  <si>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</si>
  <si>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</si>
  <si>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</si>
  <si>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</si>
  <si>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</si>
  <si>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</si>
  <si>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</si>
  <si>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</si>
  <si>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</si>
  <si>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</si>
  <si>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</si>
  <si>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</si>
  <si>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</si>
  <si>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</si>
  <si>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</si>
  <si>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</si>
  <si>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</si>
  <si>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</si>
  <si>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</si>
  <si>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</si>
  <si>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</si>
  <si>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</si>
  <si>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</si>
  <si>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</si>
  <si>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</si>
  <si>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</si>
  <si>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</si>
  <si>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</si>
  <si>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</si>
  <si>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</si>
  <si>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</si>
  <si>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</si>
  <si>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</si>
  <si>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</si>
  <si>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</si>
  <si>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</si>
  <si>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</si>
  <si>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</si>
  <si>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</si>
  <si>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</si>
  <si>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</si>
  <si>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</si>
  <si>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</si>
  <si>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</si>
  <si>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</si>
  <si>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</si>
  <si>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</si>
  <si>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</si>
  <si>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</si>
  <si>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</si>
  <si>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</si>
  <si>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</si>
  <si>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</si>
  <si>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</si>
  <si>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</si>
  <si>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</si>
  <si>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</si>
  <si>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</si>
  <si>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</si>
  <si>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</si>
  <si>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</si>
  <si>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</si>
  <si>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</si>
  <si>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</si>
  <si>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</si>
  <si>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</si>
  <si>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</si>
  <si>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</si>
  <si>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</si>
  <si>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</si>
  <si>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</si>
  <si>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</si>
  <si>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</si>
  <si>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</si>
  <si>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</si>
  <si>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</si>
  <si>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</si>
  <si>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</si>
  <si>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</si>
  <si>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</si>
  <si>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</si>
  <si>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</si>
  <si>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</si>
  <si>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</si>
  <si>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</si>
  <si>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</si>
  <si>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</si>
  <si>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</si>
  <si>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</si>
  <si>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</si>
  <si>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</si>
  <si>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</si>
  <si>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</si>
  <si>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</si>
  <si>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</si>
  <si>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</si>
  <si>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</si>
  <si>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</si>
  <si>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</si>
  <si>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</si>
  <si>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</si>
  <si>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</si>
  <si>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</si>
  <si>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</si>
  <si>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</si>
  <si>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</si>
  <si>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</si>
  <si>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</si>
  <si>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</si>
  <si>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</si>
  <si>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</si>
  <si>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</si>
  <si>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</si>
  <si>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</si>
  <si>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</si>
  <si>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</si>
  <si>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</si>
  <si>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</si>
  <si>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</si>
  <si>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</si>
  <si>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</si>
  <si>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</si>
  <si>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</si>
  <si>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</si>
  <si>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</si>
  <si>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</si>
  <si>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</si>
  <si>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</si>
  <si>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</si>
  <si>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</si>
  <si>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</si>
  <si>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</si>
  <si>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</si>
  <si>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</si>
  <si>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</si>
  <si>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</si>
  <si>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</si>
  <si>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</si>
  <si>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</si>
  <si>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</si>
  <si>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</si>
  <si>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</si>
  <si>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</si>
  <si>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</si>
  <si>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</si>
  <si>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</si>
  <si>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</si>
  <si>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</si>
  <si>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</si>
  <si>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</si>
  <si>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</si>
  <si>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</si>
  <si>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</si>
  <si>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</si>
  <si>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</si>
  <si>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</si>
  <si>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</si>
  <si>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</si>
  <si>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</si>
  <si>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</si>
  <si>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</si>
  <si>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</si>
  <si>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</si>
  <si>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</si>
  <si>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</si>
  <si>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</si>
  <si>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</si>
  <si>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</si>
  <si>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</si>
  <si>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</si>
  <si>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</si>
  <si>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</si>
  <si>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</si>
  <si>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</si>
  <si>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</si>
  <si>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</si>
  <si>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</si>
  <si>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</si>
  <si>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</si>
  <si>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</si>
  <si>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</si>
  <si>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</si>
  <si>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</si>
  <si>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</si>
  <si>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</si>
  <si>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</si>
  <si>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</si>
  <si>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</si>
  <si>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</si>
  <si>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</si>
  <si>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</si>
  <si>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</si>
  <si>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</si>
  <si>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</si>
  <si>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</si>
  <si>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</si>
  <si>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</si>
  <si>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</si>
  <si>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</si>
  <si>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</si>
  <si>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</si>
  <si>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</si>
  <si>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</si>
  <si>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</si>
  <si>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</si>
  <si>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</si>
  <si>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</si>
  <si>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</si>
  <si>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</si>
  <si>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</si>
  <si>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</si>
  <si>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</si>
  <si>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</si>
  <si>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</si>
  <si>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</si>
  <si>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</si>
  <si>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</si>
  <si>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</si>
  <si>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</si>
  <si>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</si>
  <si>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</si>
  <si>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</si>
  <si>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</si>
  <si>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</si>
  <si>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</si>
  <si>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</si>
  <si>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</si>
  <si>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</si>
  <si>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</si>
  <si>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</si>
  <si>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</si>
  <si>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</si>
  <si>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</si>
  <si>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</si>
  <si>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</si>
  <si>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</si>
  <si>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</si>
  <si>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</si>
  <si>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</si>
  <si>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</si>
  <si>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</si>
  <si>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</si>
  <si>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</si>
  <si>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</si>
  <si>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</si>
  <si>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</si>
  <si>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</si>
  <si>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</si>
  <si>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</si>
  <si>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</si>
  <si>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</si>
  <si>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</si>
  <si>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</si>
  <si>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</si>
  <si>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</si>
  <si>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</si>
  <si>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</si>
  <si>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</si>
  <si>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</si>
  <si>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</si>
  <si>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</si>
  <si>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</si>
  <si>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</si>
  <si>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</si>
  <si>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</si>
  <si>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</si>
  <si>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</si>
  <si>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</si>
  <si>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</si>
  <si>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</si>
  <si>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</si>
  <si>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</si>
  <si>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</si>
  <si>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</si>
  <si>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</si>
  <si>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</si>
  <si>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</si>
  <si>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</si>
  <si>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</si>
  <si>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</si>
  <si>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</si>
  <si>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</si>
  <si>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</si>
  <si>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</si>
  <si>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</si>
  <si>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</si>
  <si>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</si>
  <si>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</si>
  <si>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</si>
  <si>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</si>
  <si>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</si>
  <si>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</si>
  <si>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</si>
  <si>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</si>
  <si>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</si>
  <si>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</si>
  <si>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</si>
  <si>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</si>
  <si>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</si>
  <si>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</si>
  <si>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</si>
  <si>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</si>
  <si>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</si>
  <si>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</si>
  <si>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</si>
  <si>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</si>
  <si>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</si>
  <si>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</si>
  <si>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</si>
  <si>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</si>
  <si>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</si>
  <si>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</si>
  <si>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</si>
  <si>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</si>
  <si>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</si>
  <si>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</si>
  <si>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</si>
  <si>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</si>
  <si>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</si>
  <si>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</si>
  <si>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</si>
  <si>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</si>
  <si>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</si>
  <si>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</si>
  <si>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</si>
  <si>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</si>
  <si>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</si>
  <si>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</si>
  <si>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</si>
  <si>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</si>
  <si>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</si>
  <si>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</si>
  <si>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</si>
  <si>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</si>
  <si>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</si>
  <si>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</si>
  <si>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</si>
  <si>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</si>
  <si>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</si>
  <si>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</si>
  <si>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</si>
  <si>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</si>
  <si>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</si>
  <si>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</si>
  <si>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</si>
  <si>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</si>
  <si>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</si>
  <si>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</si>
  <si>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</si>
  <si>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</si>
  <si>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</si>
  <si>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</si>
  <si>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</si>
  <si>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</si>
  <si>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</si>
  <si>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</si>
  <si>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</si>
  <si>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</si>
  <si>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</si>
  <si>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</si>
  <si>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</si>
  <si>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</si>
  <si>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</si>
  <si>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</si>
  <si>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</si>
  <si>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</si>
  <si>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</si>
  <si>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</si>
  <si>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</si>
  <si>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</si>
  <si>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</si>
  <si>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</si>
  <si>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</si>
  <si>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</si>
  <si>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</si>
  <si>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</si>
  <si>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</si>
  <si>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</si>
  <si>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</si>
  <si>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</si>
  <si>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</si>
  <si>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</si>
  <si>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</si>
  <si>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</si>
  <si>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</si>
  <si>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</si>
  <si>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</si>
  <si>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</si>
  <si>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</si>
  <si>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</si>
  <si>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</si>
  <si>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</si>
  <si>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</si>
  <si>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</si>
  <si>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</si>
  <si>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</si>
  <si>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</si>
  <si>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</si>
  <si>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</si>
  <si>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</si>
  <si>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</si>
  <si>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</si>
  <si>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</si>
  <si>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</si>
  <si>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</si>
  <si>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</si>
  <si>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</si>
  <si>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</si>
  <si>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</si>
  <si>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</si>
  <si>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</si>
  <si>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</si>
  <si>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</si>
  <si>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</si>
  <si>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</si>
  <si>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</si>
  <si>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</si>
  <si>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</si>
  <si>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</si>
  <si>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</si>
  <si>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</si>
  <si>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</si>
  <si>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</si>
  <si>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</si>
  <si>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</si>
  <si>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</si>
  <si>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</si>
  <si>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</si>
  <si>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</si>
  <si>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</si>
  <si>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</si>
  <si>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</si>
  <si>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</si>
  <si>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</si>
  <si>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</si>
  <si>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</si>
  <si>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</si>
  <si>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</si>
  <si>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</si>
  <si>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</si>
  <si>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</si>
  <si>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</si>
  <si>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</si>
  <si>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</si>
  <si>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</si>
  <si>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</si>
  <si>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</si>
  <si>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</si>
  <si>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</si>
  <si>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</si>
  <si>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</si>
  <si>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</si>
  <si>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</si>
  <si>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</si>
  <si>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</si>
  <si>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</si>
  <si>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</si>
  <si>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</si>
  <si>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</si>
  <si>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</si>
  <si>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</si>
  <si>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</si>
  <si>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</si>
  <si>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</si>
  <si>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</si>
  <si>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</si>
  <si>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</si>
  <si>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</si>
  <si>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</si>
  <si>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</si>
  <si>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</si>
  <si>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</si>
  <si>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</si>
  <si>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</si>
  <si>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</si>
  <si>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</si>
  <si>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</si>
  <si>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</si>
  <si>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</si>
  <si>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</si>
  <si>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</si>
  <si>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</si>
  <si>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</si>
  <si>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</si>
  <si>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</si>
  <si>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</si>
  <si>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</si>
  <si>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</si>
  <si>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</si>
  <si>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</si>
  <si>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</si>
  <si>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</si>
  <si>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</si>
  <si>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</si>
  <si>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</si>
  <si>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</si>
  <si>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</si>
  <si>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</si>
  <si>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</si>
  <si>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</si>
  <si>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</si>
  <si>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</si>
  <si>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</si>
  <si>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</si>
  <si>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</si>
  <si>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</si>
  <si>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</si>
  <si>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</si>
  <si>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</si>
  <si>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</si>
  <si>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</si>
  <si>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</si>
  <si>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</si>
  <si>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</si>
  <si>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</si>
  <si>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</si>
  <si>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</si>
  <si>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</si>
  <si>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</si>
  <si>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</si>
  <si>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</si>
  <si>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</si>
  <si>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</si>
  <si>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</si>
  <si>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</si>
  <si>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</si>
  <si>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</si>
  <si>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</si>
  <si>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</si>
  <si>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</si>
  <si>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</si>
  <si>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</si>
  <si>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</si>
  <si>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</si>
  <si>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</si>
  <si>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</si>
  <si>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</si>
  <si>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</si>
  <si>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</si>
  <si>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</si>
  <si>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</si>
  <si>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</si>
  <si>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</si>
  <si>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</si>
  <si>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</si>
  <si>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</si>
  <si>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</si>
  <si>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</si>
  <si>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</si>
  <si>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</si>
  <si>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</si>
  <si>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</si>
  <si>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</si>
  <si>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</si>
  <si>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</si>
  <si>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</si>
  <si>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</si>
  <si>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</si>
  <si>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</si>
  <si>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</si>
  <si>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</si>
  <si>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</si>
  <si>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</si>
  <si>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</si>
  <si>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</si>
  <si>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</si>
  <si>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</si>
  <si>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</si>
  <si>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</si>
  <si>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</si>
  <si>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</si>
  <si>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</si>
  <si>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</si>
  <si>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</si>
  <si>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</si>
  <si>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</si>
  <si>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</si>
  <si>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</si>
  <si>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</si>
  <si>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</si>
  <si>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</si>
  <si>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</si>
  <si>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</si>
  <si>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</si>
  <si>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</si>
  <si>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</si>
  <si>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</si>
  <si>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</si>
  <si>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</si>
  <si>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</si>
  <si>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</si>
  <si>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</si>
  <si>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</si>
  <si>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</si>
  <si>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</si>
  <si>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</si>
  <si>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</si>
  <si>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</si>
  <si>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</si>
  <si>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</si>
  <si>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</si>
  <si>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</si>
  <si>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</si>
  <si>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</si>
  <si>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</si>
  <si>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</si>
  <si>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</si>
  <si>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</si>
  <si>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</si>
  <si>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</si>
  <si>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</si>
  <si>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</si>
  <si>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</si>
  <si>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</si>
  <si>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</si>
  <si>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</si>
  <si>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</si>
  <si>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</si>
  <si>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</si>
  <si>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</si>
  <si>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</si>
  <si>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</si>
  <si>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</si>
  <si>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</si>
  <si>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</si>
  <si>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</si>
  <si>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</si>
  <si>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</si>
  <si>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</si>
  <si>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</si>
  <si>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</si>
  <si>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</si>
  <si>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</si>
  <si>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</si>
  <si>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</si>
  <si>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</si>
  <si>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</si>
  <si>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</si>
  <si>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</si>
  <si>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</si>
  <si>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</si>
  <si>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</si>
  <si>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</si>
  <si>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</si>
  <si>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</si>
  <si>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</si>
  <si>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</si>
  <si>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</si>
  <si>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</si>
  <si>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</si>
  <si>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</si>
  <si>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</si>
  <si>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</si>
  <si>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</si>
  <si>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</si>
  <si>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</si>
  <si>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</si>
  <si>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</si>
  <si>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</si>
  <si>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</si>
  <si>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</si>
  <si>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</si>
  <si>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</si>
  <si>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</si>
  <si>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</si>
  <si>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</si>
  <si>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</si>
  <si>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</si>
  <si>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</si>
  <si>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</si>
  <si>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</si>
  <si>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</si>
  <si>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</si>
  <si>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</si>
  <si>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</si>
  <si>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</si>
  <si>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</si>
  <si>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</si>
  <si>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</si>
  <si>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</si>
  <si>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</si>
  <si>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</si>
  <si>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</si>
  <si>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</si>
  <si>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</si>
  <si>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</si>
  <si>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</si>
  <si>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</si>
  <si>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</si>
  <si>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</si>
  <si>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</si>
  <si>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</si>
  <si>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</si>
  <si>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</si>
  <si>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</si>
  <si>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</si>
  <si>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</si>
  <si>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</si>
  <si>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</si>
  <si>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</si>
  <si>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</si>
  <si>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</si>
  <si>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</si>
  <si>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</si>
  <si>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</si>
  <si>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</si>
  <si>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</si>
  <si>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</si>
  <si>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</si>
  <si>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</si>
  <si>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</si>
  <si>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</si>
  <si>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</si>
  <si>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</si>
  <si>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</si>
  <si>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</si>
  <si>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</si>
  <si>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</si>
  <si>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</si>
  <si>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</si>
  <si>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</si>
  <si>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</si>
  <si>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</si>
  <si>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</si>
  <si>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</si>
  <si>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</si>
  <si>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</si>
  <si>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</si>
  <si>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</si>
  <si>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</si>
  <si>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</si>
  <si>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</si>
  <si>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</si>
  <si>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</si>
  <si>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</si>
  <si>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</si>
  <si>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</si>
  <si>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</si>
  <si>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</si>
  <si>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</si>
  <si>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</si>
  <si>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</si>
  <si>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</si>
  <si>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</si>
  <si>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</si>
  <si>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</si>
  <si>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</si>
  <si>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</si>
  <si>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</si>
  <si>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</si>
  <si>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</si>
  <si>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</si>
  <si>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</si>
  <si>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</si>
  <si>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</si>
  <si>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</si>
  <si>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</si>
  <si>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</si>
  <si>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</si>
  <si>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</si>
  <si>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</si>
  <si>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</si>
  <si>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</si>
  <si>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</si>
  <si>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</si>
  <si>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</si>
  <si>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</si>
  <si>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</si>
  <si>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</si>
  <si>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</si>
  <si>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</si>
  <si>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</si>
  <si>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</si>
  <si>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</si>
  <si>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</si>
  <si>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</si>
  <si>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</si>
  <si>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</si>
  <si>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</si>
  <si>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</si>
  <si>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</si>
  <si>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</si>
  <si>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</si>
  <si>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</si>
  <si>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</si>
  <si>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</si>
  <si>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</si>
  <si>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</si>
  <si>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</si>
  <si>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</si>
  <si>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</si>
  <si>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</si>
  <si>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</si>
  <si>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</si>
  <si>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</si>
  <si>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</si>
  <si>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</si>
  <si>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</si>
  <si>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</si>
  <si>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</si>
  <si>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</si>
  <si>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</si>
  <si>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</si>
  <si>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</si>
  <si>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</si>
  <si>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</si>
  <si>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</si>
  <si>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</si>
  <si>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</si>
  <si>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</si>
  <si>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</si>
  <si>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</si>
  <si>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</si>
  <si>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</si>
  <si>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</si>
  <si>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</si>
  <si>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</si>
  <si>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</si>
  <si>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</si>
  <si>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</si>
  <si>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</si>
  <si>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</si>
  <si>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</si>
  <si>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</si>
  <si>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</si>
  <si>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</si>
  <si>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</si>
  <si>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</si>
  <si>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</si>
  <si>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</si>
  <si>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</si>
  <si>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</si>
  <si>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</si>
  <si>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</si>
  <si>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</si>
  <si>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</si>
  <si>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</si>
  <si>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</si>
  <si>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</si>
  <si>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</si>
  <si>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</si>
  <si>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</si>
  <si>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</si>
  <si>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</si>
  <si>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</si>
  <si>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</si>
  <si>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</si>
  <si>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</si>
  <si>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</si>
  <si>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</si>
  <si>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</si>
  <si>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</si>
  <si>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</si>
  <si>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</si>
  <si>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</si>
  <si>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</si>
  <si>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</si>
  <si>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</si>
  <si>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</si>
  <si>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</si>
  <si>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</si>
  <si>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</si>
  <si>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</si>
  <si>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</si>
  <si>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</si>
  <si>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</si>
  <si>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</si>
  <si>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</si>
  <si>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</si>
  <si>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</si>
  <si>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</si>
  <si>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</si>
  <si>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</si>
  <si>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</si>
  <si>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</si>
  <si>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</si>
  <si>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</si>
  <si>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</si>
  <si>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</si>
  <si>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</si>
  <si>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</si>
  <si>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</si>
  <si>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</si>
  <si>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</si>
  <si>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</si>
  <si>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</si>
  <si>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</si>
  <si>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</si>
  <si>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</si>
  <si>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</si>
  <si>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</si>
  <si>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</si>
  <si>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</si>
  <si>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</si>
  <si>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</si>
  <si>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</si>
  <si>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</si>
  <si>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</si>
  <si>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</si>
  <si>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</si>
  <si>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</si>
  <si>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</si>
  <si>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</si>
  <si>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</si>
  <si>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</si>
  <si>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</si>
  <si>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</si>
  <si>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</si>
  <si>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</si>
  <si>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</si>
  <si>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</si>
  <si>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</si>
  <si>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</si>
  <si>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</si>
  <si>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</si>
  <si>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</si>
  <si>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</si>
  <si>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</si>
  <si>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</si>
  <si>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</si>
  <si>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</si>
  <si>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</si>
  <si>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</si>
  <si>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</si>
  <si>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</si>
  <si>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</si>
  <si>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</si>
  <si>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</si>
  <si>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</si>
  <si>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</si>
  <si>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</si>
  <si>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</si>
  <si>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</si>
  <si>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</si>
  <si>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</si>
  <si>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</si>
  <si>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</si>
  <si>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</si>
  <si>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</si>
  <si>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</si>
  <si>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</si>
  <si>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</si>
  <si>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</si>
  <si>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</si>
  <si>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</si>
  <si>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</si>
  <si>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</si>
  <si>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</si>
  <si>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</si>
  <si>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</si>
  <si>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</si>
  <si>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</si>
  <si>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</si>
  <si>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</si>
  <si>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</si>
  <si>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</si>
  <si>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</si>
  <si>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</si>
  <si>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</si>
  <si>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</si>
  <si>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</si>
  <si>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</si>
  <si>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</si>
  <si>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</si>
  <si>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</si>
  <si>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</si>
  <si>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</si>
  <si>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</si>
  <si>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</si>
  <si>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</si>
  <si>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</si>
  <si>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</si>
  <si>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</si>
  <si>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</si>
  <si>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</si>
  <si>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</si>
  <si>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</si>
  <si>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</si>
  <si>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</si>
  <si>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</si>
  <si>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</si>
  <si>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</si>
  <si>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</si>
  <si>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</si>
  <si>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</si>
  <si>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</si>
  <si>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</si>
  <si>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</si>
  <si>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</si>
  <si>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</si>
  <si>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</si>
  <si>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</si>
  <si>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</si>
  <si>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</si>
  <si>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</si>
  <si>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</si>
  <si>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</si>
  <si>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</si>
  <si>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</si>
  <si>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</si>
  <si>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</si>
  <si>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</si>
  <si>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</si>
  <si>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</si>
  <si>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</si>
  <si>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</si>
  <si>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</si>
  <si>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</si>
  <si>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</si>
  <si>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</si>
  <si>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</si>
  <si>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</si>
  <si>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</si>
  <si>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</si>
  <si>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</si>
  <si>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</si>
  <si>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</si>
  <si>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</si>
  <si>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</si>
  <si>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</si>
  <si>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</si>
  <si>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</si>
  <si>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</si>
  <si>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</si>
  <si>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</si>
  <si>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</si>
  <si>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</si>
  <si>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</si>
  <si>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</si>
  <si>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</si>
  <si>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</si>
  <si>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</si>
  <si>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</si>
  <si>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</si>
  <si>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</si>
  <si>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</si>
  <si>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</si>
  <si>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</si>
  <si>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</si>
  <si>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</si>
  <si>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</si>
  <si>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</si>
  <si>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</si>
  <si>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</si>
  <si>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</si>
  <si>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</si>
  <si>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</si>
  <si>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</si>
  <si>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</si>
  <si>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</si>
  <si>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</si>
  <si>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</si>
  <si>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</si>
  <si>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</si>
  <si>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</si>
  <si>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</si>
  <si>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</si>
  <si>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</si>
  <si>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</si>
  <si>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</si>
  <si>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</si>
  <si>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</si>
  <si>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</si>
  <si>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</si>
  <si>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</si>
  <si>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</si>
  <si>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</si>
  <si>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</si>
  <si>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</si>
  <si>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</si>
  <si>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</si>
  <si>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</si>
  <si>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</si>
  <si>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</si>
  <si>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</si>
  <si>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</si>
  <si>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</si>
  <si>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</si>
  <si>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</si>
  <si>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</si>
  <si>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</si>
  <si>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</si>
  <si>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</si>
  <si>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</si>
  <si>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</si>
  <si>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</si>
  <si>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</si>
  <si>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</si>
  <si>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</si>
  <si>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</si>
  <si>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</si>
  <si>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</si>
  <si>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</si>
  <si>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</si>
  <si>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</si>
  <si>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</si>
  <si>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</si>
  <si>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</si>
  <si>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</si>
  <si>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</si>
  <si>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</si>
  <si>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</si>
  <si>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</si>
  <si>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</si>
  <si>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</si>
  <si>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</si>
  <si>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</si>
  <si>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</si>
  <si>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</si>
  <si>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</si>
  <si>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</si>
  <si>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</si>
  <si>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</si>
  <si>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</si>
  <si>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</si>
  <si>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</si>
  <si>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</si>
  <si>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</si>
  <si>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</si>
  <si>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</si>
  <si>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</si>
  <si>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</si>
  <si>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</si>
  <si>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</si>
  <si>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</si>
  <si>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</si>
  <si>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</si>
  <si>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</si>
  <si>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</si>
  <si>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</si>
  <si>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</si>
  <si>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</si>
  <si>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</si>
  <si>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</si>
  <si>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</si>
  <si>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</si>
  <si>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</si>
  <si>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</si>
  <si>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</si>
  <si>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</si>
  <si>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</si>
  <si>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</si>
  <si>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</si>
  <si>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</si>
  <si>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</si>
  <si>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</si>
  <si>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</si>
  <si>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</si>
  <si>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</si>
  <si>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</si>
  <si>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</si>
  <si>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</si>
  <si>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</si>
  <si>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</si>
  <si>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</si>
  <si>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</si>
  <si>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</si>
  <si>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</si>
  <si>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</si>
  <si>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</si>
  <si>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</si>
  <si>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</si>
  <si>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</si>
  <si>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</si>
  <si>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</si>
  <si>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</si>
  <si>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</si>
  <si>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</si>
  <si>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</si>
  <si>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</si>
  <si>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</si>
  <si>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</si>
  <si>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</si>
  <si>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</si>
  <si>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</si>
  <si>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</si>
  <si>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</si>
  <si>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</si>
  <si>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</si>
  <si>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</si>
  <si>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</si>
  <si>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</si>
  <si>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</si>
  <si>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</si>
  <si>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</si>
  <si>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</si>
  <si>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</si>
  <si>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</si>
  <si>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</si>
  <si>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</si>
  <si>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</si>
  <si>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</si>
  <si>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</si>
  <si>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</si>
  <si>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</si>
  <si>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</si>
  <si>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</si>
  <si>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</si>
  <si>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</si>
  <si>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</si>
  <si>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</si>
  <si>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</si>
  <si>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</si>
  <si>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</si>
  <si>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</si>
  <si>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</si>
  <si>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</si>
  <si>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</si>
  <si>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</si>
  <si>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</si>
  <si>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</si>
  <si>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</si>
  <si>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</si>
  <si>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</si>
  <si>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</si>
  <si>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</si>
  <si>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</si>
  <si>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</si>
  <si>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</si>
  <si>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</si>
  <si>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</si>
  <si>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</si>
  <si>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</si>
  <si>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</si>
  <si>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</si>
  <si>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</si>
  <si>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</si>
  <si>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</si>
  <si>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</si>
  <si>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</si>
  <si>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</si>
  <si>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</si>
  <si>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</si>
  <si>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</si>
  <si>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</si>
  <si>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</si>
  <si>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</si>
  <si>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</si>
  <si>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</si>
  <si>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</si>
  <si>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</si>
  <si>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</si>
  <si>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</si>
  <si>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</si>
  <si>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</si>
  <si>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</si>
  <si>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</si>
  <si>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</si>
  <si>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</si>
  <si>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</si>
  <si>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</si>
  <si>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</si>
  <si>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</si>
  <si>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</si>
  <si>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</si>
  <si>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</si>
  <si>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</si>
  <si>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</si>
  <si>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</si>
  <si>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</si>
  <si>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</si>
  <si>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</si>
  <si>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</si>
  <si>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</si>
  <si>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</si>
  <si>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</si>
  <si>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</si>
  <si>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</si>
  <si>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</si>
  <si>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</si>
  <si>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</si>
  <si>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</si>
  <si>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</si>
  <si>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</si>
  <si>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</si>
  <si>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</si>
  <si>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</si>
  <si>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</si>
  <si>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</si>
  <si>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</si>
  <si>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</si>
  <si>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</si>
  <si>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</si>
  <si>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</si>
  <si>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</si>
  <si>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</si>
  <si>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</si>
  <si>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</si>
  <si>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</si>
  <si>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</si>
  <si>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</si>
  <si>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</si>
  <si>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</si>
  <si>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</si>
  <si>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</si>
  <si>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</si>
  <si>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</si>
  <si>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</si>
  <si>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</si>
  <si>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</si>
  <si>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</si>
  <si>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</si>
  <si>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</si>
  <si>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</si>
  <si>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</si>
  <si>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</si>
  <si>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</si>
  <si>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</si>
  <si>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</si>
  <si>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</si>
  <si>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</si>
  <si>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</si>
  <si>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</si>
  <si>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</si>
  <si>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</si>
  <si>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</si>
  <si>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</si>
  <si>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</si>
  <si>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</si>
  <si>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</si>
  <si>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</si>
  <si>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</si>
  <si>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</si>
  <si>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</si>
  <si>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</si>
  <si>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</si>
  <si>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</si>
  <si>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</si>
  <si>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</si>
  <si>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</si>
  <si>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</si>
  <si>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</si>
  <si>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</si>
  <si>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</si>
  <si>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</si>
  <si>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</si>
  <si>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</si>
  <si>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</si>
  <si>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</si>
  <si>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</si>
  <si>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</si>
  <si>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</si>
  <si>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</si>
  <si>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</si>
  <si>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</si>
  <si>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</si>
  <si>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</si>
  <si>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</si>
  <si>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</si>
  <si>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</si>
  <si>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</si>
  <si>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</si>
  <si>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</si>
  <si>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</si>
  <si>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</si>
  <si>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</si>
  <si>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</si>
  <si>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</si>
  <si>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</si>
  <si>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</si>
  <si>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</si>
  <si>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</si>
  <si>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</si>
  <si>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</si>
  <si>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</si>
  <si>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</si>
  <si>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</si>
  <si>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</si>
  <si>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</si>
  <si>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</si>
  <si>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</si>
  <si>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</si>
  <si>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</si>
  <si>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</si>
  <si>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</si>
  <si>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</si>
  <si>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</si>
  <si>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</si>
  <si>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</si>
  <si>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</si>
  <si>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</si>
  <si>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</si>
  <si>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</si>
  <si>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</si>
  <si>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</si>
  <si>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</si>
  <si>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</si>
  <si>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</si>
  <si>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</si>
  <si>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</si>
  <si>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</si>
  <si>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</si>
  <si>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</si>
  <si>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</si>
  <si>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</si>
  <si>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</si>
  <si>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</si>
  <si>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</si>
  <si>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</si>
  <si>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</si>
  <si>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</si>
  <si>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</si>
  <si>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</si>
  <si>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</si>
  <si>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</si>
  <si>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</si>
  <si>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</si>
  <si>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</si>
  <si>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</si>
  <si>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</si>
  <si>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</si>
  <si>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</si>
  <si>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</si>
  <si>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</si>
  <si>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</si>
  <si>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</si>
  <si>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</si>
  <si>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</si>
  <si>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</si>
  <si>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</si>
  <si>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</si>
  <si>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</si>
  <si>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</si>
  <si>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</si>
  <si>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</si>
  <si>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</si>
  <si>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</si>
  <si>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</si>
  <si>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</si>
  <si>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</si>
  <si>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</si>
  <si>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</si>
  <si>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</si>
  <si>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</si>
  <si>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</si>
  <si>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</si>
  <si>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</si>
  <si>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</si>
  <si>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</si>
  <si>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</si>
  <si>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</si>
  <si>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</si>
  <si>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</si>
  <si>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</si>
  <si>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</si>
  <si>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</si>
  <si>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</si>
  <si>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</si>
  <si>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</si>
  <si>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</si>
  <si>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</si>
  <si>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</si>
  <si>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</si>
  <si>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</si>
  <si>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</si>
  <si>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</si>
  <si>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</si>
  <si>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</si>
  <si>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</si>
  <si>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</si>
  <si>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</si>
  <si>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</si>
  <si>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</si>
  <si>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</si>
  <si>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</si>
  <si>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</si>
  <si>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</si>
  <si>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</si>
  <si>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</si>
  <si>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</si>
  <si>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</si>
  <si>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</si>
  <si>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</si>
  <si>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</si>
  <si>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</si>
  <si>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</si>
  <si>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</si>
  <si>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</si>
  <si>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</si>
  <si>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</si>
  <si>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</si>
  <si>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</si>
  <si>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</si>
  <si>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</si>
  <si>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</si>
  <si>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</si>
  <si>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</si>
  <si>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</si>
  <si>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</si>
  <si>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</si>
  <si>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</si>
  <si>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</si>
  <si>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</si>
  <si>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</si>
  <si>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</si>
  <si>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</si>
  <si>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</si>
  <si>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</si>
  <si>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</si>
  <si>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</si>
  <si>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</si>
  <si>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</si>
  <si>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</si>
  <si>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</si>
  <si>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</si>
  <si>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</si>
  <si>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</si>
  <si>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</si>
  <si>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</si>
  <si>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</si>
  <si>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</si>
  <si>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</si>
  <si>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</si>
  <si>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</si>
  <si>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</si>
  <si>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</si>
  <si>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</si>
  <si>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</si>
  <si>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</si>
  <si>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</si>
  <si>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</si>
  <si>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</si>
  <si>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</si>
  <si>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</si>
  <si>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</si>
  <si>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</si>
  <si>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</si>
  <si>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</si>
  <si>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</si>
  <si>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</si>
  <si>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</si>
  <si>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</si>
  <si>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</si>
  <si>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</si>
  <si>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</si>
  <si>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</si>
  <si>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</si>
  <si>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</si>
  <si>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</si>
  <si>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</si>
  <si>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</si>
  <si>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</si>
  <si>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</si>
  <si>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</si>
  <si>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</si>
  <si>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</si>
  <si>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</si>
  <si>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</si>
  <si>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</si>
  <si>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</si>
  <si>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</si>
  <si>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</si>
  <si>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</si>
  <si>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</si>
  <si>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</si>
  <si>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</si>
  <si>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</si>
  <si>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</si>
  <si>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</si>
  <si>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</si>
  <si>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</si>
  <si>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</si>
  <si>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</si>
  <si>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</si>
  <si>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</si>
  <si>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</si>
  <si>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</si>
  <si>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</si>
  <si>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</si>
  <si>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</si>
  <si>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</si>
  <si>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</si>
  <si>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</si>
  <si>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</si>
  <si>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</si>
  <si>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</si>
  <si>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</si>
  <si>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</si>
  <si>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</si>
  <si>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</si>
  <si>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</si>
  <si>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</si>
  <si>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</si>
  <si>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</si>
  <si>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</si>
  <si>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</si>
  <si>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</si>
  <si>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</si>
  <si>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</si>
  <si>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</si>
  <si>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</si>
  <si>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</si>
  <si>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</si>
  <si>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</si>
  <si>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</si>
  <si>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</si>
  <si>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</si>
  <si>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</si>
  <si>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</si>
  <si>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</si>
  <si>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</si>
  <si>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</si>
  <si>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</si>
  <si>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</si>
  <si>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</si>
  <si>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</si>
  <si>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</si>
  <si>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</si>
  <si>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</si>
  <si>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</si>
  <si>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</si>
  <si>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</si>
  <si>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</si>
  <si>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</si>
  <si>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</si>
  <si>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</si>
  <si>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</si>
  <si>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</si>
  <si>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</si>
  <si>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</si>
  <si>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</si>
  <si>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</si>
  <si>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</si>
  <si>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</si>
  <si>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</si>
  <si>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</si>
  <si>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</si>
  <si>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</si>
  <si>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</si>
  <si>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</si>
  <si>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</si>
  <si>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</si>
  <si>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</si>
  <si>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</si>
  <si>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</si>
  <si>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</si>
  <si>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</si>
  <si>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</si>
  <si>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</si>
  <si>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</si>
  <si>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</si>
  <si>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</si>
  <si>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</si>
  <si>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</si>
  <si>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</si>
  <si>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</si>
  <si>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</si>
  <si>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</si>
  <si>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</si>
  <si>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</si>
  <si>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</si>
  <si>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</si>
  <si>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</si>
  <si>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</si>
  <si>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</si>
  <si>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</si>
  <si>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</si>
  <si>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</si>
  <si>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</si>
  <si>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</si>
  <si>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</si>
  <si>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</si>
  <si>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</si>
  <si>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</si>
  <si>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</si>
  <si>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</si>
  <si>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</si>
  <si>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</si>
  <si>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</si>
  <si>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</si>
  <si>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</si>
  <si>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</si>
  <si>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</si>
  <si>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</si>
  <si>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</si>
  <si>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</si>
  <si>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</si>
  <si>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</si>
  <si>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</si>
  <si>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</si>
  <si>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</si>
  <si>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</si>
  <si>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</si>
  <si>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</si>
  <si>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</si>
  <si>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</si>
  <si>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</si>
  <si>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</si>
  <si>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</si>
  <si>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</si>
  <si>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</si>
  <si>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</si>
  <si>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</si>
  <si>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</si>
  <si>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</si>
  <si>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</si>
  <si>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</si>
  <si>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</si>
  <si>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</si>
  <si>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</si>
  <si>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</si>
  <si>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</si>
  <si>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</si>
  <si>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</si>
  <si>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</si>
  <si>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</si>
  <si>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</si>
  <si>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</si>
  <si>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</si>
  <si>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</si>
  <si>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</si>
  <si>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</si>
  <si>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</si>
  <si>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</si>
  <si>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</si>
  <si>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</si>
  <si>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</si>
  <si>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</si>
  <si>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</si>
  <si>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</si>
  <si>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</si>
  <si>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</si>
  <si>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</si>
  <si>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</si>
  <si>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</si>
  <si>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</si>
  <si>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</si>
  <si>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</si>
  <si>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</si>
  <si>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</si>
  <si>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</si>
  <si>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</si>
  <si>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</si>
  <si>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</si>
  <si>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</si>
  <si>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</si>
  <si>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</si>
  <si>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</si>
  <si>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</si>
  <si>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</si>
  <si>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</si>
  <si>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</si>
  <si>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</si>
  <si>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</si>
  <si>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</si>
  <si>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</si>
  <si>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</si>
  <si>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</si>
  <si>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</si>
  <si>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</si>
  <si>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</si>
  <si>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</si>
  <si>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</si>
  <si>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</si>
  <si>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</si>
  <si>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</si>
  <si>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</si>
  <si>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</si>
  <si>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</si>
  <si>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</si>
  <si>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</si>
  <si>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</si>
  <si>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</si>
  <si>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</si>
  <si>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</si>
  <si>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</si>
  <si>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</si>
  <si>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</si>
  <si>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</si>
  <si>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</si>
  <si>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</si>
  <si>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</si>
  <si>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</si>
  <si>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</si>
  <si>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</si>
  <si>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</si>
  <si>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</si>
  <si>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</si>
  <si>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</si>
  <si>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</si>
  <si>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</si>
  <si>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</si>
  <si>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</si>
  <si>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</si>
  <si>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</si>
  <si>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</si>
  <si>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</si>
  <si>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</si>
  <si>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</si>
  <si>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</si>
  <si>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</si>
  <si>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</si>
  <si>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</si>
  <si>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</si>
  <si>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</si>
  <si>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</si>
  <si>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</si>
  <si>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</si>
  <si>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</si>
  <si>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</si>
  <si>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</si>
  <si>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</si>
  <si>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</si>
  <si>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</si>
  <si>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</si>
  <si>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</si>
  <si>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</si>
  <si>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</si>
  <si>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</si>
  <si>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</si>
  <si>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</si>
  <si>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</si>
  <si>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</si>
  <si>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</si>
  <si>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</si>
  <si>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</si>
  <si>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</si>
  <si>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</si>
  <si>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</si>
  <si>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</si>
  <si>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</si>
  <si>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</si>
  <si>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</si>
  <si>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</si>
  <si>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</si>
  <si>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</si>
  <si>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</si>
  <si>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</si>
  <si>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</si>
  <si>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</si>
  <si>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</si>
  <si>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</si>
  <si>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</si>
  <si>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</si>
  <si>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</si>
  <si>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</si>
  <si>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</si>
  <si>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</si>
  <si>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</si>
  <si>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</si>
  <si>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</si>
  <si>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</si>
  <si>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</si>
  <si>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</si>
  <si>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</si>
  <si>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</si>
  <si>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</si>
  <si>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</si>
  <si>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</si>
  <si>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</si>
  <si>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</si>
  <si>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</si>
  <si>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</si>
  <si>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</si>
  <si>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</si>
  <si>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</si>
  <si>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</si>
  <si>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</si>
  <si>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</si>
  <si>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</si>
  <si>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</si>
  <si>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</si>
  <si>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</si>
  <si>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</si>
  <si>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</si>
  <si>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</si>
  <si>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</si>
  <si>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</si>
  <si>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</si>
  <si>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</si>
  <si>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</si>
  <si>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</si>
  <si>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</si>
  <si>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</si>
  <si>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</si>
  <si>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</si>
  <si>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</si>
  <si>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</si>
  <si>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</si>
  <si>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</si>
  <si>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</si>
  <si>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</si>
  <si>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</si>
  <si>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</si>
  <si>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</si>
  <si>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</si>
  <si>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</si>
  <si>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</si>
  <si>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</si>
  <si>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</si>
  <si>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</si>
  <si>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</si>
  <si>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</si>
  <si>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</si>
  <si>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</si>
  <si>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</si>
  <si>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</si>
  <si>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</si>
  <si>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</si>
  <si>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</si>
  <si>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</si>
  <si>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</si>
  <si>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</si>
  <si>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</si>
  <si>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</si>
  <si>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</si>
  <si>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</si>
  <si>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</si>
  <si>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</si>
  <si>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</si>
  <si>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</si>
  <si>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</si>
  <si>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</si>
  <si>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</si>
  <si>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</si>
  <si>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</si>
  <si>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</si>
  <si>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</si>
  <si>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</si>
  <si>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</si>
  <si>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</si>
  <si>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</si>
  <si>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</si>
  <si>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</si>
  <si>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</si>
  <si>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</si>
  <si>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</si>
  <si>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</si>
  <si>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</si>
  <si>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</si>
  <si>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</si>
  <si>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</si>
  <si>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</si>
  <si>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</si>
  <si>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</si>
  <si>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</si>
  <si>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</si>
  <si>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</si>
  <si>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</si>
  <si>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</si>
  <si>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</si>
  <si>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</si>
  <si>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</si>
  <si>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</si>
  <si>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</si>
  <si>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</si>
  <si>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</si>
  <si>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</si>
  <si>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</si>
  <si>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</si>
  <si>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</si>
  <si>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</si>
  <si>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</si>
  <si>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</si>
  <si>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</si>
  <si>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</si>
  <si>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</si>
  <si>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</si>
  <si>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</si>
  <si>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</si>
  <si>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</si>
  <si>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</si>
  <si>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</si>
  <si>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</si>
  <si>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</si>
  <si>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</si>
  <si>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</si>
  <si>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</si>
  <si>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</si>
  <si>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</si>
  <si>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</si>
  <si>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</si>
  <si>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</si>
  <si>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</si>
  <si>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</si>
  <si>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</si>
  <si>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</si>
  <si>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</si>
  <si>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</si>
  <si>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</si>
  <si>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</si>
  <si>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</si>
  <si>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</si>
  <si>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</si>
  <si>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</si>
  <si>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</si>
  <si>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</si>
  <si>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</si>
  <si>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</si>
  <si>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</si>
  <si>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</si>
  <si>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</si>
  <si>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</si>
  <si>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</si>
  <si>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</si>
  <si>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</si>
  <si>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</si>
  <si>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</si>
  <si>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</si>
  <si>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</si>
  <si>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</si>
  <si>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</si>
  <si>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</si>
  <si>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</si>
  <si>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</si>
  <si>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</si>
  <si>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</si>
  <si>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</si>
  <si>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</si>
  <si>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</si>
  <si>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</si>
  <si>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</si>
  <si>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</si>
  <si>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</si>
  <si>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</si>
  <si>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</si>
  <si>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</si>
  <si>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</si>
  <si>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</si>
  <si>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</si>
  <si>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</si>
  <si>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</si>
  <si>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</si>
  <si>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</si>
  <si>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</si>
  <si>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</si>
  <si>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</si>
  <si>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</si>
  <si>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</si>
  <si>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</si>
  <si>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</si>
  <si>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</si>
  <si>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</si>
  <si>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</si>
  <si>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</si>
  <si>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</si>
  <si>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</si>
  <si>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</si>
  <si>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</si>
  <si>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</si>
  <si>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</si>
  <si>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</si>
  <si>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</si>
  <si>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</si>
  <si>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</si>
  <si>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</si>
  <si>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</si>
  <si>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</si>
  <si>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</si>
  <si>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</si>
  <si>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</si>
  <si>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</si>
  <si>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</si>
  <si>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</si>
  <si>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</si>
  <si>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</si>
  <si>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</si>
  <si>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</si>
  <si>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</si>
  <si>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</si>
  <si>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</si>
  <si>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</si>
  <si>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</si>
  <si>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</si>
  <si>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</si>
  <si>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</si>
  <si>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</si>
  <si>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</si>
  <si>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</si>
  <si>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</si>
  <si>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</si>
  <si>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</si>
  <si>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</si>
  <si>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</si>
  <si>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</si>
  <si>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</si>
  <si>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</si>
  <si>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</si>
  <si>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</si>
  <si>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</si>
  <si>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</si>
  <si>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</si>
  <si>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</si>
  <si>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</si>
  <si>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</si>
  <si>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</si>
  <si>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</si>
  <si>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</si>
  <si>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</si>
  <si>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</si>
  <si>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</si>
  <si>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</si>
  <si>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</si>
  <si>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</si>
  <si>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</si>
  <si>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</si>
  <si>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</si>
  <si>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</si>
  <si>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</si>
  <si>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</si>
  <si>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</si>
  <si>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</si>
  <si>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</si>
  <si>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</si>
  <si>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</si>
  <si>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</si>
  <si>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</si>
  <si>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</si>
  <si>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</si>
  <si>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</si>
  <si>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</si>
  <si>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</si>
  <si>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</si>
  <si>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</si>
  <si>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</si>
  <si>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</si>
  <si>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</si>
  <si>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</si>
  <si>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</si>
  <si>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</si>
  <si>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</si>
  <si>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</si>
  <si>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</si>
  <si>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</si>
  <si>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</si>
  <si>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</si>
  <si>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</si>
  <si>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</si>
  <si>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</si>
  <si>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</si>
  <si>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</si>
  <si>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</si>
  <si>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</si>
  <si>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</si>
  <si>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</si>
  <si>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</si>
  <si>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</si>
  <si>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</si>
  <si>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</si>
  <si>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</si>
  <si>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</si>
  <si>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</si>
  <si>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</si>
  <si>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</si>
  <si>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</si>
  <si>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</si>
  <si>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</si>
  <si>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</si>
  <si>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</si>
  <si>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</si>
  <si>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</si>
  <si>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</si>
  <si>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</si>
  <si>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</si>
  <si>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</si>
  <si>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</si>
  <si>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</si>
  <si>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</si>
  <si>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</si>
  <si>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</si>
  <si>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</si>
  <si>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</si>
  <si>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</si>
  <si>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</si>
  <si>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</si>
  <si>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</si>
  <si>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</si>
  <si>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</si>
  <si>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</si>
  <si>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</si>
  <si>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</si>
  <si>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</si>
  <si>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</si>
  <si>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</si>
  <si>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</si>
  <si>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</si>
  <si>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</si>
  <si>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</si>
  <si>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</si>
  <si>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</si>
  <si>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</si>
  <si>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</si>
  <si>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</si>
  <si>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</si>
  <si>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</si>
  <si>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</si>
  <si>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</si>
  <si>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</si>
  <si>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</si>
  <si>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</si>
  <si>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</si>
  <si>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</si>
  <si>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</si>
  <si>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</si>
  <si>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</si>
  <si>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</si>
  <si>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</si>
  <si>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</si>
  <si>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</si>
  <si>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</si>
  <si>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</si>
  <si>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</si>
  <si>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</si>
  <si>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</si>
  <si>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</si>
  <si>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</si>
  <si>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</si>
  <si>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</si>
  <si>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</si>
  <si>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</si>
  <si>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</si>
  <si>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</si>
  <si>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</si>
  <si>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</si>
  <si>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</si>
  <si>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</si>
  <si>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</si>
  <si>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</si>
  <si>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</si>
  <si>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</si>
  <si>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</si>
  <si>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</si>
  <si>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</si>
  <si>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</si>
  <si>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</si>
  <si>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</si>
  <si>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</si>
  <si>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</si>
  <si>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</si>
  <si>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</si>
  <si>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</si>
  <si>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</si>
  <si>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</si>
  <si>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</si>
  <si>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</si>
  <si>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</si>
  <si>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</si>
  <si>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</si>
  <si>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</si>
  <si>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</si>
  <si>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</si>
  <si>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</si>
  <si>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</si>
  <si>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</si>
  <si>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</si>
  <si>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</si>
  <si>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</si>
  <si>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</si>
  <si>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</si>
  <si>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</si>
  <si>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</si>
  <si>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</si>
  <si>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</si>
  <si>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</si>
  <si>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</si>
  <si>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</si>
  <si>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</si>
  <si>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</si>
  <si>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</si>
  <si>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</si>
  <si>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</si>
  <si>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</si>
  <si>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</si>
  <si>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</si>
  <si>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</si>
  <si>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</si>
  <si>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</si>
  <si>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</si>
  <si>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</si>
  <si>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</si>
  <si>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</si>
  <si>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</si>
  <si>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</si>
  <si>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</si>
  <si>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</si>
  <si>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</si>
  <si>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</si>
  <si>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</si>
  <si>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</si>
  <si>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</si>
  <si>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</si>
  <si>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</si>
  <si>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</si>
  <si>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</si>
  <si>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</si>
  <si>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</si>
  <si>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</si>
  <si>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</si>
  <si>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</si>
  <si>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</si>
  <si>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</si>
  <si>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</si>
  <si>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</si>
  <si>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</si>
  <si>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</si>
  <si>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</si>
  <si>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</si>
  <si>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</si>
  <si>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</si>
  <si>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</si>
  <si>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</si>
  <si>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</si>
  <si>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</si>
  <si>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</si>
  <si>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</si>
  <si>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</si>
  <si>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</si>
  <si>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</si>
  <si>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</si>
  <si>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</si>
  <si>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</si>
  <si>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</si>
  <si>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</si>
  <si>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</si>
  <si>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</si>
  <si>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</si>
  <si>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</si>
  <si>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</si>
  <si>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</si>
  <si>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</si>
  <si>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</si>
  <si>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</si>
  <si>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</si>
  <si>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</si>
  <si>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</si>
  <si>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</si>
  <si>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</si>
  <si>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</si>
  <si>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</si>
  <si>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</si>
  <si>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</si>
  <si>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</si>
  <si>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</si>
  <si>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</si>
  <si>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</si>
  <si>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</si>
  <si>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</si>
  <si>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</si>
  <si>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</si>
  <si>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</si>
  <si>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</si>
  <si>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</si>
  <si>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</si>
  <si>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</si>
  <si>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</si>
  <si>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</si>
  <si>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</si>
  <si>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</si>
  <si>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</si>
  <si>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</si>
  <si>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</si>
  <si>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</si>
  <si>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</si>
  <si>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</si>
  <si>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</si>
  <si>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</si>
  <si>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</si>
  <si>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</si>
  <si>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</si>
  <si>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</si>
  <si>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</si>
  <si>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</si>
  <si>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</si>
  <si>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</si>
  <si>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</si>
  <si>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</si>
  <si>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</si>
  <si>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</si>
  <si>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</si>
  <si>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</si>
  <si>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</si>
  <si>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</si>
  <si>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</si>
  <si>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</si>
  <si>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</si>
  <si>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</si>
  <si>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</si>
  <si>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</si>
  <si>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</si>
  <si>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</si>
  <si>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</si>
  <si>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</si>
  <si>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</si>
  <si>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</si>
  <si>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</si>
  <si>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</si>
  <si>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</si>
  <si>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</si>
  <si>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</si>
  <si>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</si>
  <si>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</si>
  <si>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</si>
  <si>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</si>
  <si>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</si>
  <si>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</si>
  <si>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</si>
  <si>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</si>
  <si>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</si>
  <si>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</si>
  <si>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</si>
  <si>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</si>
  <si>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</si>
  <si>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</si>
  <si>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</si>
  <si>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</si>
  <si>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</si>
  <si>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</si>
  <si>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</si>
  <si>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</si>
  <si>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</si>
  <si>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</si>
  <si>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</si>
  <si>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</si>
  <si>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</si>
  <si>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</si>
  <si>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</si>
  <si>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</si>
  <si>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</si>
  <si>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</si>
  <si>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</si>
  <si>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</si>
  <si>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</si>
  <si>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</si>
  <si>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</si>
  <si>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</si>
  <si>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</si>
  <si>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</si>
  <si>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</si>
  <si>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</si>
  <si>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</si>
  <si>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</si>
  <si>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</si>
  <si>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</si>
  <si>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</si>
  <si>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</si>
  <si>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</si>
  <si>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</si>
  <si>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</si>
  <si>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</si>
  <si>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</si>
  <si>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</si>
  <si>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</si>
  <si>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</si>
  <si>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</si>
  <si>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</si>
  <si>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</si>
  <si>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</si>
  <si>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</si>
  <si>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</si>
  <si>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</si>
  <si>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</si>
  <si>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</si>
  <si>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</si>
  <si>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</si>
  <si>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</si>
  <si>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</si>
  <si>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</si>
  <si>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</si>
  <si>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</si>
  <si>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</si>
  <si>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</si>
  <si>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</si>
  <si>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</si>
  <si>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</si>
  <si>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</si>
  <si>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</si>
  <si>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</si>
  <si>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</si>
  <si>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</si>
  <si>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</si>
  <si>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</si>
  <si>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</si>
  <si>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</si>
  <si>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</si>
  <si>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</si>
  <si>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</si>
  <si>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</si>
  <si>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</si>
  <si>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</si>
  <si>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</si>
  <si>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</si>
  <si>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</si>
  <si>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</si>
  <si>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</si>
  <si>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</si>
  <si>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</si>
  <si>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</si>
  <si>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</si>
  <si>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</si>
  <si>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</si>
  <si>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</si>
  <si>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</si>
  <si>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</si>
  <si>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</si>
  <si>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</si>
  <si>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</si>
  <si>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</si>
  <si>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</si>
  <si>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</si>
  <si>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</si>
  <si>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</si>
  <si>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</si>
  <si>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</si>
  <si>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</si>
  <si>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</si>
  <si>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</si>
  <si>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</si>
  <si>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</si>
  <si>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</si>
  <si>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</si>
  <si>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</si>
  <si>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</si>
  <si>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</si>
  <si>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</si>
  <si>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</si>
  <si>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</si>
  <si>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</si>
  <si>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</si>
  <si>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</si>
  <si>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</si>
  <si>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</si>
  <si>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</si>
  <si>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</si>
  <si>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</si>
  <si>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</si>
  <si>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</si>
  <si>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</si>
  <si>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</si>
  <si>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</si>
  <si>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</si>
  <si>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</si>
  <si>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</si>
  <si>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</si>
  <si>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</si>
  <si>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</si>
  <si>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</si>
  <si>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</si>
  <si>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</si>
  <si>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</si>
  <si>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</si>
  <si>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</si>
  <si>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</si>
  <si>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</si>
  <si>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</si>
  <si>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</si>
  <si>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</si>
  <si>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</si>
  <si>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</si>
  <si>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</si>
  <si>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</si>
  <si>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</si>
  <si>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</si>
  <si>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</si>
  <si>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</si>
  <si>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</si>
  <si>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</si>
  <si>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</si>
  <si>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</si>
  <si>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</si>
  <si>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</si>
  <si>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</si>
  <si>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</si>
  <si>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</si>
  <si>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</si>
  <si>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</si>
  <si>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</si>
  <si>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</si>
  <si>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</si>
  <si>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</si>
  <si>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</si>
  <si>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</si>
  <si>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</si>
  <si>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</si>
  <si>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</si>
  <si>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</si>
  <si>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</si>
  <si>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</si>
  <si>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</si>
  <si>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</si>
  <si>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</si>
  <si>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</si>
  <si>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</si>
  <si>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</si>
  <si>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</si>
  <si>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</si>
  <si>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</si>
  <si>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</si>
  <si>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</si>
  <si>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</si>
  <si>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</si>
  <si>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</si>
  <si>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</si>
  <si>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</si>
  <si>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</si>
  <si>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</si>
  <si>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</si>
  <si>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</si>
  <si>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</si>
  <si>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</si>
  <si>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</si>
  <si>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</si>
  <si>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</si>
  <si>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</si>
  <si>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</si>
  <si>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</si>
  <si>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</si>
  <si>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</si>
  <si>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</si>
  <si>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</si>
  <si>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</si>
  <si>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</si>
  <si>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</si>
  <si>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</si>
  <si>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</si>
  <si>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</si>
  <si>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</si>
  <si>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</si>
  <si>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</si>
  <si>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</si>
  <si>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</si>
  <si>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</si>
  <si>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</si>
  <si>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</si>
  <si>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</si>
  <si>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</si>
  <si>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</si>
  <si>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</si>
  <si>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</si>
  <si>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</si>
  <si>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</si>
  <si>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</si>
  <si>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</si>
  <si>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</si>
  <si>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</si>
  <si>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</si>
  <si>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</si>
  <si>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</si>
  <si>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</si>
  <si>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</si>
  <si>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</si>
  <si>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</si>
  <si>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</si>
  <si>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</si>
  <si>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</si>
  <si>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</si>
  <si>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</si>
  <si>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</si>
  <si>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</si>
  <si>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</si>
  <si>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</si>
  <si>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</si>
  <si>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</si>
  <si>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</si>
  <si>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</si>
  <si>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</si>
  <si>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</si>
  <si>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</si>
  <si>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</si>
  <si>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</si>
  <si>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</si>
  <si>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</si>
  <si>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</si>
  <si>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</si>
  <si>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</si>
  <si>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</si>
  <si>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</si>
  <si>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</si>
  <si>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</si>
  <si>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</si>
  <si>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</si>
  <si>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</si>
  <si>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</si>
  <si>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</si>
  <si>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</si>
  <si>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</si>
  <si>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</si>
  <si>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</si>
  <si>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</si>
  <si>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</si>
  <si>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</si>
  <si>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</si>
  <si>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</si>
  <si>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</si>
  <si>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</si>
  <si>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</si>
  <si>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</si>
  <si>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</si>
  <si>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</si>
  <si>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</si>
  <si>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</si>
  <si>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</si>
  <si>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</si>
  <si>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</si>
  <si>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</si>
  <si>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</si>
  <si>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</si>
  <si>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</si>
  <si>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</si>
  <si>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</si>
  <si>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</si>
  <si>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</si>
  <si>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</si>
  <si>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</si>
  <si>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</si>
  <si>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</si>
  <si>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</si>
  <si>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</si>
  <si>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</si>
  <si>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</si>
  <si>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</si>
  <si>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</si>
  <si>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</si>
  <si>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</si>
  <si>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</si>
  <si>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</si>
  <si>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</si>
  <si>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</si>
  <si>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</si>
  <si>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</si>
  <si>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</si>
  <si>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</si>
  <si>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</si>
  <si>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</si>
  <si>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</si>
  <si>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</si>
  <si>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</si>
  <si>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</si>
  <si>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</si>
  <si>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</si>
  <si>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</si>
  <si>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</si>
  <si>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</si>
  <si>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</si>
  <si>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</si>
  <si>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</si>
  <si>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</si>
  <si>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</si>
  <si>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</si>
  <si>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</si>
  <si>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</si>
  <si>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</si>
  <si>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</si>
  <si>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</si>
  <si>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</si>
  <si>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</si>
  <si>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</si>
  <si>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</si>
  <si>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</si>
  <si>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</si>
  <si>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</si>
  <si>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</si>
  <si>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</si>
  <si>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</si>
  <si>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</si>
  <si>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</si>
  <si>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</si>
  <si>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</si>
  <si>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</si>
  <si>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</si>
  <si>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</si>
  <si>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</si>
  <si>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</si>
  <si>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</si>
  <si>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</si>
  <si>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</si>
  <si>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</si>
  <si>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</si>
  <si>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</si>
  <si>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</si>
  <si>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</si>
  <si>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</si>
  <si>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</si>
  <si>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</si>
  <si>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</si>
  <si>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</si>
  <si>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</si>
  <si>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</si>
  <si>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</si>
  <si>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</si>
  <si>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</si>
  <si>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</si>
  <si>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</si>
  <si>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</si>
  <si>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</si>
  <si>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</si>
  <si>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</si>
  <si>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</si>
  <si>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</si>
  <si>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</si>
  <si>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</si>
  <si>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</si>
  <si>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</si>
  <si>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</si>
  <si>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</si>
  <si>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</si>
  <si>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</si>
  <si>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</si>
  <si>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</si>
  <si>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</si>
  <si>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</si>
  <si>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</si>
  <si>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</si>
  <si>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</si>
  <si>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</si>
  <si>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</si>
  <si>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</si>
  <si>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</si>
  <si>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</si>
  <si>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</si>
  <si>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</si>
  <si>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</si>
  <si>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</si>
  <si>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</si>
  <si>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</si>
  <si>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</si>
  <si>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</si>
  <si>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</si>
  <si>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</si>
  <si>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</si>
  <si>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</si>
  <si>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</si>
  <si>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</si>
  <si>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</si>
  <si>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</si>
  <si>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</si>
  <si>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</si>
  <si>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</si>
  <si>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</si>
  <si>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</si>
  <si>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</si>
  <si>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</si>
  <si>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</si>
  <si>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</si>
  <si>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</si>
  <si>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</si>
  <si>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</si>
  <si>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</si>
  <si>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</si>
  <si>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</si>
  <si>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</si>
  <si>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</si>
  <si>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</si>
  <si>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</si>
  <si>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</si>
  <si>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</si>
  <si>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</si>
  <si>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</si>
  <si>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</si>
  <si>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</si>
  <si>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</si>
  <si>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</si>
  <si>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</si>
  <si>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</si>
  <si>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</si>
  <si>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</si>
  <si>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</si>
  <si>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</si>
  <si>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</si>
  <si>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</si>
  <si>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</si>
  <si>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</si>
  <si>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</si>
  <si>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</si>
  <si>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</si>
  <si>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</si>
  <si>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</si>
  <si>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</si>
  <si>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</si>
  <si>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</si>
  <si>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</si>
  <si>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</si>
  <si>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</si>
  <si>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</si>
  <si>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</si>
  <si>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</si>
  <si>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</si>
  <si>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</si>
  <si>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</si>
  <si>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</si>
  <si>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</si>
  <si>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</si>
  <si>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</si>
  <si>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</si>
  <si>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</si>
  <si>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</si>
  <si>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</si>
  <si>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</si>
  <si>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</si>
  <si>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</si>
  <si>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</si>
  <si>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</si>
  <si>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</si>
  <si>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</si>
  <si>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</si>
  <si>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</si>
  <si>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</si>
  <si>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</si>
  <si>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</si>
  <si>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</si>
  <si>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</si>
  <si>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</si>
  <si>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</si>
  <si>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</si>
  <si>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</si>
  <si>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</si>
  <si>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</si>
  <si>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</si>
  <si>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</si>
  <si>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</si>
  <si>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</si>
  <si>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</si>
  <si>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</si>
  <si>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</si>
  <si>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</si>
  <si>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</si>
  <si>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</si>
  <si>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</si>
  <si>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</si>
  <si>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</si>
  <si>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</si>
  <si>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</si>
  <si>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</si>
  <si>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</si>
  <si>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</si>
  <si>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</si>
  <si>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</si>
  <si>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</si>
  <si>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</si>
  <si>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</si>
  <si>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</si>
  <si>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</si>
  <si>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</si>
  <si>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</si>
  <si>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</si>
  <si>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</si>
  <si>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</si>
  <si>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</si>
  <si>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</si>
  <si>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</si>
  <si>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</si>
  <si>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</si>
  <si>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</si>
  <si>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</si>
  <si>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</si>
  <si>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</si>
  <si>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</si>
  <si>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</si>
  <si>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</si>
  <si>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</si>
  <si>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</si>
  <si>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</si>
  <si>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</si>
  <si>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</si>
  <si>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</si>
  <si>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</si>
  <si>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</si>
  <si>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</si>
  <si>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</si>
  <si>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</si>
  <si>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</si>
  <si>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</si>
  <si>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</si>
  <si>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</si>
  <si>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</si>
  <si>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</si>
  <si>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</si>
  <si>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</si>
  <si>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</si>
  <si>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</si>
  <si>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</si>
  <si>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</si>
  <si>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</si>
  <si>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</si>
  <si>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</si>
  <si>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</si>
  <si>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</si>
  <si>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</si>
  <si>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</si>
  <si>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</si>
  <si>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</si>
  <si>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</si>
  <si>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</si>
  <si>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</si>
  <si>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</si>
  <si>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</si>
  <si>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</si>
  <si>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</si>
  <si>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</si>
  <si>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</si>
  <si>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</si>
  <si>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</si>
  <si>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</si>
  <si>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</si>
  <si>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</si>
  <si>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</si>
  <si>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</si>
  <si>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</si>
  <si>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</si>
  <si>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</si>
  <si>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</si>
  <si>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</si>
  <si>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</si>
  <si>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</si>
  <si>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</si>
  <si>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</si>
  <si>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</si>
  <si>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</si>
  <si>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</si>
  <si>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</si>
  <si>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</si>
  <si>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</si>
  <si>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</si>
  <si>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</si>
  <si>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</si>
  <si>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</si>
  <si>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</si>
  <si>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</si>
  <si>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</si>
  <si>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</si>
  <si>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</si>
  <si>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</si>
  <si>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</si>
  <si>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</si>
  <si>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</si>
  <si>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</si>
  <si>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</si>
  <si>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</si>
  <si>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</si>
  <si>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</si>
  <si>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</si>
  <si>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</si>
  <si>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</si>
  <si>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</si>
  <si>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</si>
  <si>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</si>
  <si>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</si>
  <si>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</si>
  <si>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</si>
  <si>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</si>
  <si>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</si>
  <si>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</si>
  <si>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</si>
  <si>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</si>
  <si>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</si>
  <si>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</si>
  <si>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</si>
  <si>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</si>
  <si>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</si>
  <si>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</si>
  <si>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</si>
  <si>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</si>
  <si>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</si>
  <si>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</si>
  <si>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</si>
  <si>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</si>
  <si>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</si>
  <si>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</si>
  <si>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</si>
  <si>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</si>
  <si>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</si>
  <si>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</si>
  <si>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</si>
  <si>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</si>
  <si>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</si>
  <si>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</si>
  <si>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</si>
  <si>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</si>
  <si>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</si>
  <si>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</si>
  <si>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</si>
  <si>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</si>
  <si>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</si>
  <si>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</si>
  <si>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</si>
  <si>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</si>
  <si>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</si>
  <si>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</si>
  <si>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</si>
  <si>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</si>
  <si>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</si>
  <si>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</si>
  <si>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</si>
  <si>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</si>
  <si>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</si>
  <si>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</si>
  <si>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</si>
  <si>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</si>
  <si>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</si>
  <si>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</si>
  <si>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</si>
  <si>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</si>
  <si>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</si>
  <si>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</si>
  <si>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</si>
  <si>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</si>
  <si>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</si>
  <si>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</si>
  <si>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</si>
  <si>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</si>
  <si>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</si>
  <si>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</si>
  <si>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</si>
  <si>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</si>
  <si>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</si>
  <si>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</si>
  <si>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</si>
  <si>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</si>
  <si>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</si>
  <si>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</si>
  <si>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</si>
  <si>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</si>
  <si>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</si>
  <si>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</si>
  <si>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</si>
  <si>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</si>
  <si>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</si>
  <si>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</si>
  <si>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</si>
  <si>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</si>
  <si>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</si>
  <si>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</si>
  <si>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</si>
  <si>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</si>
  <si>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</si>
  <si>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</si>
  <si>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</si>
  <si>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</si>
  <si>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</si>
  <si>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</si>
  <si>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</si>
  <si>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</si>
  <si>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</si>
  <si>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</si>
  <si>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</si>
  <si>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</si>
  <si>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</si>
  <si>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</si>
  <si>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</si>
  <si>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</si>
  <si>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</si>
  <si>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</si>
  <si>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</si>
  <si>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</si>
  <si>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</si>
  <si>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</si>
  <si>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</si>
  <si>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</si>
  <si>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</si>
  <si>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</si>
  <si>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</si>
  <si>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</si>
  <si>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</si>
  <si>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</si>
  <si>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</si>
  <si>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</si>
  <si>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</si>
  <si>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</si>
  <si>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</si>
  <si>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</si>
  <si>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</si>
  <si>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</si>
  <si>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</si>
  <si>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</si>
  <si>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</si>
  <si>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</si>
  <si>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</si>
  <si>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</si>
  <si>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</si>
  <si>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</si>
  <si>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</si>
  <si>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</si>
  <si>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</si>
  <si>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</si>
  <si>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</si>
  <si>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</si>
  <si>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</si>
  <si>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</si>
  <si>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</si>
  <si>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</si>
  <si>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</si>
  <si>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</si>
  <si>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</si>
  <si>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</si>
  <si>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</si>
  <si>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</si>
  <si>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</si>
  <si>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</si>
  <si>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</si>
  <si>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</si>
  <si>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</si>
  <si>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</si>
  <si>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</si>
  <si>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</si>
  <si>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</si>
  <si>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</si>
  <si>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</si>
  <si>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</si>
  <si>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</si>
  <si>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</si>
  <si>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</si>
  <si>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</si>
  <si>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</si>
  <si>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</si>
  <si>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</si>
  <si>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</si>
  <si>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</si>
  <si>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</si>
  <si>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</si>
  <si>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</si>
  <si>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</si>
  <si>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</si>
  <si>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</si>
  <si>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</si>
  <si>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</si>
  <si>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</si>
  <si>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</si>
  <si>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</si>
  <si>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</si>
  <si>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</si>
  <si>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</si>
  <si>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</si>
  <si>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</si>
  <si>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</si>
  <si>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</si>
  <si>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</si>
  <si>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</si>
  <si>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</si>
  <si>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</si>
  <si>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</si>
  <si>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</si>
  <si>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</si>
  <si>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</si>
  <si>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</si>
  <si>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</si>
  <si>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</si>
  <si>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</si>
  <si>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</si>
  <si>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</si>
  <si>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</si>
  <si>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</si>
  <si>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</si>
  <si>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</si>
  <si>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</si>
  <si>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</si>
  <si>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</si>
  <si>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</si>
  <si>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</si>
  <si>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</si>
  <si>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</si>
  <si>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</si>
  <si>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</si>
  <si>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</si>
  <si>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</si>
  <si>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</si>
  <si>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</si>
  <si>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</si>
  <si>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</si>
  <si>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</si>
  <si>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</si>
  <si>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</si>
  <si>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</si>
  <si>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</si>
  <si>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</si>
  <si>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</si>
  <si>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</si>
  <si>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</si>
  <si>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</si>
  <si>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</si>
  <si>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</si>
  <si>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</si>
  <si>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</si>
  <si>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</si>
  <si>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</si>
  <si>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</si>
  <si>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</si>
  <si>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</si>
  <si>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</si>
  <si>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</si>
  <si>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</si>
  <si>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</si>
  <si>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</si>
  <si>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</si>
  <si>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</si>
  <si>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</si>
  <si>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</si>
  <si>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</si>
  <si>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</si>
  <si>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</si>
  <si>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</si>
  <si>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</si>
  <si>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</si>
  <si>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</si>
  <si>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</si>
  <si>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</si>
  <si>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</si>
  <si>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</si>
  <si>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</si>
  <si>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</si>
  <si>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</si>
  <si>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</si>
  <si>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</si>
  <si>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</si>
  <si>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</si>
  <si>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</si>
  <si>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</si>
  <si>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</si>
  <si>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</si>
  <si>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</si>
  <si>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</si>
  <si>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</si>
  <si>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</si>
  <si>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</si>
  <si>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</si>
  <si>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</si>
  <si>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</si>
  <si>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</si>
  <si>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</si>
  <si>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</si>
  <si>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</si>
  <si>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</si>
  <si>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</si>
  <si>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</si>
  <si>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</si>
  <si>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</si>
  <si>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</si>
  <si>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</si>
  <si>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</si>
  <si>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</si>
  <si>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</si>
  <si>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</si>
  <si>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</si>
  <si>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</si>
  <si>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</si>
  <si>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</si>
  <si>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</si>
  <si>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</si>
  <si>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</si>
  <si>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</si>
  <si>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</si>
  <si>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</si>
  <si>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</si>
  <si>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</si>
  <si>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</si>
  <si>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</si>
  <si>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</si>
  <si>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</si>
  <si>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</si>
  <si>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</si>
  <si>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</si>
  <si>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</si>
  <si>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</si>
  <si>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</si>
  <si>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</si>
  <si>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</si>
  <si>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</si>
  <si>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</si>
  <si>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</si>
  <si>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</si>
  <si>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</si>
  <si>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</si>
  <si>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</si>
  <si>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</si>
  <si>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</si>
  <si>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</si>
  <si>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</si>
  <si>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</si>
  <si>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</si>
  <si>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</si>
  <si>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</si>
  <si>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</si>
  <si>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</si>
  <si>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</si>
  <si>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</si>
  <si>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</si>
  <si>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</si>
  <si>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</si>
  <si>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</si>
  <si>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</si>
  <si>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</si>
  <si>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</si>
  <si>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</si>
  <si>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</si>
  <si>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</si>
  <si>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</si>
  <si>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</si>
  <si>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</si>
  <si>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</si>
  <si>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</si>
  <si>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</si>
  <si>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</si>
  <si>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</si>
  <si>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</si>
  <si>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</si>
  <si>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</si>
  <si>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</si>
  <si>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</si>
  <si>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</si>
  <si>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</si>
  <si>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</si>
  <si>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</si>
  <si>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</si>
  <si>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</si>
  <si>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</si>
  <si>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</si>
  <si>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</si>
  <si>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</si>
  <si>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</si>
  <si>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</si>
  <si>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</si>
  <si>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</si>
  <si>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</si>
  <si>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</si>
  <si>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</si>
  <si>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</si>
  <si>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</si>
  <si>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</si>
  <si>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</si>
  <si>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</si>
  <si>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</si>
  <si>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</si>
  <si>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</si>
  <si>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</si>
  <si>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</si>
  <si>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</si>
  <si>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</si>
  <si>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</si>
  <si>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</si>
  <si>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</si>
  <si>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</si>
  <si>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</si>
  <si>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</si>
  <si>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</si>
  <si>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</si>
  <si>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</si>
  <si>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</si>
  <si>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</si>
  <si>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</si>
  <si>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</si>
  <si>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</si>
  <si>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</si>
  <si>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</si>
  <si>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</si>
  <si>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</si>
  <si>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</si>
  <si>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</si>
  <si>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</si>
  <si>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</si>
  <si>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</si>
  <si>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</si>
  <si>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</si>
  <si>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</si>
  <si>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</si>
  <si>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</si>
  <si>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</si>
  <si>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</si>
  <si>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</si>
  <si>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</si>
  <si>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</si>
  <si>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</si>
  <si>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</si>
  <si>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</si>
  <si>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</si>
  <si>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</si>
  <si>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</si>
  <si>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</si>
  <si>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</si>
  <si>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</si>
  <si>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</si>
  <si>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</si>
  <si>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</si>
  <si>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</si>
  <si>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</si>
  <si>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</si>
  <si>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</si>
  <si>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</si>
  <si>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</si>
  <si>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</si>
  <si>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</si>
  <si>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</si>
  <si>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</si>
  <si>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</si>
  <si>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</si>
  <si>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</si>
  <si>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</si>
  <si>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</si>
  <si>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</si>
  <si>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</si>
  <si>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</si>
  <si>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</si>
  <si>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</si>
  <si>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</si>
  <si>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</si>
  <si>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</si>
  <si>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</si>
  <si>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</si>
  <si>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</si>
  <si>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</si>
  <si>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</si>
  <si>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</si>
  <si>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</si>
  <si>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</si>
  <si>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</si>
  <si>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</si>
  <si>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</si>
  <si>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</si>
  <si>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</si>
  <si>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</si>
  <si>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</si>
  <si>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</si>
  <si>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</si>
  <si>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</si>
  <si>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</si>
  <si>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</si>
  <si>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</si>
  <si>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</si>
  <si>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</si>
  <si>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</si>
  <si>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</si>
  <si>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</si>
  <si>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</si>
  <si>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</si>
  <si>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</si>
  <si>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</si>
  <si>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</si>
  <si>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</si>
  <si>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</si>
  <si>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</si>
  <si>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</si>
  <si>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</si>
  <si>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</si>
  <si>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</si>
  <si>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</si>
  <si>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</si>
  <si>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</si>
  <si>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</si>
  <si>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</si>
  <si>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</si>
  <si>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</si>
  <si>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</si>
  <si>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</si>
  <si>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</si>
  <si>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</si>
  <si>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</si>
  <si>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</si>
  <si>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</si>
  <si>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</si>
  <si>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</si>
  <si>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</si>
  <si>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</si>
  <si>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</si>
  <si>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</si>
  <si>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</si>
  <si>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</si>
  <si>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</si>
  <si>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</si>
  <si>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</si>
  <si>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</si>
  <si>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</si>
  <si>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</si>
  <si>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</si>
  <si>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</si>
  <si>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</si>
  <si>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</si>
  <si>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</si>
  <si>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</si>
  <si>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</si>
  <si>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</si>
  <si>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</si>
  <si>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</si>
  <si>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</si>
  <si>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</si>
  <si>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</si>
  <si>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</si>
  <si>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</si>
  <si>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</si>
  <si>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</si>
  <si>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</si>
  <si>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</si>
  <si>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</si>
  <si>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</si>
  <si>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</si>
  <si>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</si>
  <si>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</si>
  <si>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</si>
  <si>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</si>
  <si>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</si>
  <si>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</si>
  <si>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</si>
  <si>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</si>
  <si>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</si>
  <si>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</si>
  <si>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</si>
  <si>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</si>
  <si>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</si>
  <si>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</si>
  <si>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</si>
  <si>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</si>
  <si>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</si>
  <si>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</si>
  <si>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</si>
  <si>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</si>
  <si>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</si>
  <si>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</si>
  <si>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</si>
  <si>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</si>
  <si>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</si>
  <si>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</si>
  <si>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</si>
  <si>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</si>
  <si>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</si>
  <si>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</si>
  <si>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</si>
  <si>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</si>
  <si>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</si>
  <si>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</si>
  <si>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</si>
  <si>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</si>
  <si>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</si>
  <si>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</si>
  <si>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</si>
  <si>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</si>
  <si>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</si>
  <si>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</si>
  <si>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</si>
  <si>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</si>
  <si>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Row Labels</t>
  </si>
  <si>
    <t>Grand Total</t>
  </si>
  <si>
    <t>Sum of Profit</t>
  </si>
  <si>
    <t>Sum of Quantity</t>
  </si>
  <si>
    <t>2014</t>
  </si>
  <si>
    <t>2015</t>
  </si>
  <si>
    <t>2016</t>
  </si>
  <si>
    <t>2017</t>
  </si>
  <si>
    <t>Key Performance Indicators</t>
  </si>
  <si>
    <t>Total Values</t>
  </si>
  <si>
    <t xml:space="preserve">Current Year </t>
  </si>
  <si>
    <t>Previous Year</t>
  </si>
  <si>
    <t>YOY%</t>
  </si>
  <si>
    <t>Totals</t>
  </si>
  <si>
    <t>SALES TREND</t>
  </si>
  <si>
    <t>Sales By City(Top 5)</t>
  </si>
  <si>
    <t>Sales by State</t>
  </si>
  <si>
    <t>Count of Order ID</t>
  </si>
  <si>
    <t>Orders by duration</t>
  </si>
  <si>
    <t>Orders by Shipping Mode</t>
  </si>
  <si>
    <t>sales by category</t>
  </si>
  <si>
    <t>STATE</t>
  </si>
  <si>
    <t>SALES</t>
  </si>
  <si>
    <t>Profit YOY%</t>
  </si>
  <si>
    <t>Quantity YOY%</t>
  </si>
  <si>
    <t>Years</t>
  </si>
  <si>
    <t>Profit YOY%2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</si>
</sst>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t;=1000000]\$0.0,,&quot;M&quot;;[&gt;=1000]\$0.0,&quot;K&quot;;0"/>
    <numFmt numFmtId="165" formatCode="[&gt;=1000000]\$0,,&quot;M&quot;;[&gt;=1000]\$0,&quot;K&quot;;0"/>
    <numFmt numFmtId="170" formatCode="[&gt;=1000000]\$0,,&quot;M&quot;;[&gt;=1000]0,&quot;K&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10" fontId="0" fillId="0" borderId="0" xfId="0" applyNumberFormat="1"/>
    <xf numFmtId="9" fontId="0" fillId="0" borderId="0" xfId="0" applyNumberFormat="1"/>
    <xf numFmtId="165" fontId="0" fillId="0" borderId="0" xfId="0" applyNumberFormat="1"/>
    <xf numFmtId="0" fontId="0" fillId="2" borderId="0" xfId="0" applyFill="1" applyAlignment="1">
      <alignment horizontal="center"/>
    </xf>
    <xf numFmtId="0" fontId="2" fillId="0" borderId="2" xfId="0" applyFont="1" applyFill="1" applyBorder="1"/>
    <xf numFmtId="0" fontId="2" fillId="0" borderId="1" xfId="0" applyFont="1" applyFill="1" applyBorder="1"/>
    <xf numFmtId="170" fontId="0" fillId="0" borderId="0" xfId="0" applyNumberFormat="1"/>
    <xf numFmtId="0" fontId="0" fillId="0" borderId="0" xfId="0" applyNumberFormat="1"/>
    <xf numFmtId="0" fontId="2" fillId="0" borderId="0" xfId="0" applyFont="1"/>
  </cellXfs>
  <cellStyles count="2">
    <cellStyle name="Normal" xfId="0" builtinId="0"/>
    <cellStyle name="Percent" xfId="1" builtinId="5"/>
  </cellStyles>
  <dxfs count="5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64" formatCode="[&gt;=1000000]\$0.0,,&quot;M&quot;;[&gt;=1000]\$0.0,&quot;K&quot;;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font>
        <b val="0"/>
        <i val="0"/>
        <strike val="0"/>
        <condense val="0"/>
        <extend val="0"/>
        <outline val="0"/>
        <shadow val="0"/>
        <u val="none"/>
        <vertAlign val="baseline"/>
        <sz val="11"/>
        <color theme="1"/>
        <name val="Calibri"/>
        <family val="2"/>
        <scheme val="minor"/>
      </font>
    </dxf>
    <dxf>
      <numFmt numFmtId="164" formatCode="[&gt;=1000000]\$0.0,,&quot;M&quot;;[&gt;=1000]\$0.0,&quot;K&quot;;0"/>
    </dxf>
    <dxf>
      <font>
        <b val="0"/>
        <i val="0"/>
        <strike val="0"/>
        <condense val="0"/>
        <extend val="0"/>
        <outline val="0"/>
        <shadow val="0"/>
        <u val="none"/>
        <vertAlign val="baseline"/>
        <sz val="11"/>
        <color theme="1"/>
        <name val="Calibri"/>
        <family val="2"/>
        <scheme val="minor"/>
      </font>
    </dxf>
    <dxf>
      <numFmt numFmtId="164" formatCode="[&gt;=1000000]\$0.0,,&quot;M&quot;;[&gt;=1000]\$0.0,&quot;K&quot;;0"/>
    </dxf>
    <dxf>
      <numFmt numFmtId="14" formatCode="0.00%"/>
    </dxf>
    <dxf>
      <numFmt numFmtId="166" formatCode="0.000%"/>
    </dxf>
    <dxf>
      <numFmt numFmtId="14" formatCode="0.00%"/>
    </dxf>
    <dxf>
      <numFmt numFmtId="167" formatCode="0.0%"/>
    </dxf>
    <dxf>
      <numFmt numFmtId="13" formatCode="0%"/>
    </dxf>
    <dxf>
      <numFmt numFmtId="164" formatCode="[&gt;=1000000]\$0.0,,&quot;M&quot;;[&gt;=1000]\$0.0,&quot;K&quot;;0"/>
    </dxf>
    <dxf>
      <numFmt numFmtId="164" formatCode="[&gt;=1000000]\$0.0,,&quot;M&quot;;[&gt;=1000]\$0.0,&quot;K&quot;;0"/>
    </dxf>
    <dxf>
      <numFmt numFmtId="13" formatCode="0%"/>
    </dxf>
    <dxf>
      <numFmt numFmtId="167" formatCode="0.0%"/>
    </dxf>
    <dxf>
      <numFmt numFmtId="14" formatCode="0.00%"/>
    </dxf>
    <dxf>
      <numFmt numFmtId="166" formatCode="0.000%"/>
    </dxf>
    <dxf>
      <numFmt numFmtId="164" formatCode="[&gt;=1000000]\$0.0,,&quot;M&quot;;[&gt;=1000]\$0.0,&quot;K&quot;;0"/>
    </dxf>
    <dxf>
      <numFmt numFmtId="13" formatCode="0%"/>
    </dxf>
    <dxf>
      <numFmt numFmtId="167" formatCode="0.0%"/>
    </dxf>
    <dxf>
      <numFmt numFmtId="14" formatCode="0.00%"/>
    </dxf>
    <dxf>
      <numFmt numFmtId="13" formatCode="0%"/>
    </dxf>
    <dxf>
      <numFmt numFmtId="167" formatCode="0.0%"/>
    </dxf>
    <dxf>
      <numFmt numFmtId="14" formatCode="0.00%"/>
    </dxf>
    <dxf>
      <numFmt numFmtId="166" formatCode="0.000%"/>
    </dxf>
    <dxf>
      <numFmt numFmtId="164" formatCode="[&gt;=1000000]\$0.0,,&quot;M&quot;;[&gt;=1000]\$0.0,&quot;K&quot;;0"/>
    </dxf>
    <dxf>
      <numFmt numFmtId="164"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custom1" pivot="0" table="0" count="10" xr9:uid="{5848C881-7CAF-45C8-8CA8-11B798604E63}">
      <tableStyleElement type="wholeTable" dxfId="57"/>
      <tableStyleElement type="headerRow" dxfId="56"/>
    </tableStyle>
  </tableStyles>
  <colors>
    <mruColors>
      <color rgb="FFF0F4F6"/>
      <color rgb="FFCCDCE8"/>
      <color rgb="FFE1EAF1"/>
      <color rgb="FF385F7C"/>
      <color rgb="FFEADCE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Analysis.xlsx]Pivot Calculations!PivotTable3</c:name>
    <c:fmtId val="3"/>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385F7C"/>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385F7C"/>
            </a:solidFill>
            <a:prstDash val="sysDot"/>
            <a:round/>
          </a:ln>
          <a:effectLst/>
        </c:spPr>
        <c:marker>
          <c:symbol val="circle"/>
          <c:size val="5"/>
          <c:spPr>
            <a:solidFill>
              <a:srgbClr val="385F7C"/>
            </a:solidFill>
            <a:ln w="9525">
              <a:noFill/>
            </a:ln>
            <a:effectLst/>
          </c:spPr>
        </c:marker>
      </c:pivotFmt>
      <c:pivotFmt>
        <c:idx val="2"/>
        <c:spPr>
          <a:ln w="19050" cap="rnd">
            <a:solidFill>
              <a:srgbClr val="385F7C"/>
            </a:solidFill>
            <a:prstDash val="sysDot"/>
            <a:round/>
          </a:ln>
          <a:effectLst/>
        </c:spPr>
        <c:marker>
          <c:symbol val="circle"/>
          <c:size val="5"/>
          <c:spPr>
            <a:solidFill>
              <a:srgbClr val="385F7C"/>
            </a:solidFill>
            <a:ln w="9525">
              <a:noFill/>
            </a:ln>
            <a:effectLst/>
          </c:spPr>
        </c:marker>
      </c:pivotFmt>
      <c:pivotFmt>
        <c:idx val="3"/>
        <c:spPr>
          <a:ln w="19050" cap="rnd">
            <a:solidFill>
              <a:srgbClr val="385F7C"/>
            </a:solidFill>
            <a:prstDash val="sysDot"/>
            <a:round/>
          </a:ln>
          <a:effectLst/>
        </c:spPr>
        <c:marker>
          <c:symbol val="circle"/>
          <c:size val="5"/>
          <c:spPr>
            <a:solidFill>
              <a:srgbClr val="385F7C"/>
            </a:solidFill>
            <a:ln w="9525">
              <a:noFill/>
            </a:ln>
            <a:effectLst/>
          </c:spPr>
        </c:marker>
      </c:pivotFmt>
      <c:pivotFmt>
        <c:idx val="4"/>
        <c:spPr>
          <a:ln w="19050" cap="rnd">
            <a:solidFill>
              <a:srgbClr val="385F7C"/>
            </a:solidFill>
            <a:prstDash val="sysDot"/>
            <a:round/>
          </a:ln>
          <a:effectLst/>
        </c:spPr>
        <c:marker>
          <c:symbol val="circle"/>
          <c:size val="5"/>
          <c:spPr>
            <a:solidFill>
              <a:srgbClr val="385F7C"/>
            </a:solidFill>
            <a:ln w="9525">
              <a:noFill/>
            </a:ln>
            <a:effectLst/>
          </c:spPr>
        </c:marker>
      </c:pivotFmt>
      <c:pivotFmt>
        <c:idx val="5"/>
        <c:spPr>
          <a:ln w="19050" cap="rnd">
            <a:solidFill>
              <a:srgbClr val="385F7C"/>
            </a:solidFill>
            <a:prstDash val="sysDot"/>
            <a:round/>
          </a:ln>
          <a:effectLst/>
        </c:spPr>
        <c:marker>
          <c:symbol val="circle"/>
          <c:size val="5"/>
          <c:spPr>
            <a:solidFill>
              <a:srgbClr val="385F7C"/>
            </a:solidFill>
            <a:ln w="9525">
              <a:noFill/>
            </a:ln>
            <a:effectLst/>
          </c:spPr>
        </c:marker>
      </c:pivotFmt>
    </c:pivotFmts>
    <c:plotArea>
      <c:layout/>
      <c:lineChart>
        <c:grouping val="standard"/>
        <c:varyColors val="0"/>
        <c:ser>
          <c:idx val="0"/>
          <c:order val="0"/>
          <c:tx>
            <c:strRef>
              <c:f>'Pivot Calculations'!$B$16</c:f>
              <c:strCache>
                <c:ptCount val="1"/>
                <c:pt idx="0">
                  <c:v>Total</c:v>
                </c:pt>
              </c:strCache>
            </c:strRef>
          </c:tx>
          <c:spPr>
            <a:ln w="19050" cap="rnd">
              <a:solidFill>
                <a:srgbClr val="385F7C"/>
              </a:solidFill>
              <a:prstDash val="sysDot"/>
              <a:round/>
            </a:ln>
            <a:effectLst/>
          </c:spPr>
          <c:marker>
            <c:symbol val="circle"/>
            <c:size val="5"/>
            <c:spPr>
              <a:solidFill>
                <a:srgbClr val="385F7C"/>
              </a:solidFill>
              <a:ln w="9525">
                <a:noFill/>
              </a:ln>
              <a:effectLst/>
            </c:spPr>
          </c:marker>
          <c:dLbls>
            <c:delete val="1"/>
          </c:dLbls>
          <c:cat>
            <c:strRef>
              <c:f>'Pivot Calculations'!$A$17:$A$29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Calculations'!$B$17:$B$29</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87C7-4209-A6CD-015738DD6AD9}"/>
            </c:ext>
          </c:extLst>
        </c:ser>
        <c:dLbls>
          <c:showLegendKey val="0"/>
          <c:showVal val="1"/>
          <c:showCatName val="0"/>
          <c:showSerName val="0"/>
          <c:showPercent val="0"/>
          <c:showBubbleSize val="0"/>
        </c:dLbls>
        <c:marker val="1"/>
        <c:smooth val="0"/>
        <c:axId val="816578136"/>
        <c:axId val="816578464"/>
      </c:lineChart>
      <c:catAx>
        <c:axId val="8165781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H"/>
          </a:p>
        </c:txPr>
        <c:crossAx val="816578464"/>
        <c:crosses val="autoZero"/>
        <c:auto val="1"/>
        <c:lblAlgn val="ctr"/>
        <c:lblOffset val="100"/>
        <c:noMultiLvlLbl val="0"/>
      </c:catAx>
      <c:valAx>
        <c:axId val="816578464"/>
        <c:scaling>
          <c:orientation val="minMax"/>
        </c:scaling>
        <c:delete val="1"/>
        <c:axPos val="l"/>
        <c:numFmt formatCode="[&gt;=1000000]\$0.0,,&quot;M&quot;;[&gt;=1000]\$0.0,&quot;K&quot;;0" sourceLinked="1"/>
        <c:majorTickMark val="none"/>
        <c:minorTickMark val="none"/>
        <c:tickLblPos val="nextTo"/>
        <c:crossAx val="816578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tx1">
              <a:lumMod val="65000"/>
              <a:lumOff val="35000"/>
            </a:schemeClr>
          </a:solidFill>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Analysis.xlsx]Pivot Calculations!PivotTable6</c:name>
    <c:fmtId val="3"/>
  </c:pivotSource>
  <c:chart>
    <c:autoTitleDeleted val="1"/>
    <c:pivotFmts>
      <c:pivotFmt>
        <c:idx val="0"/>
        <c:spPr>
          <a:solidFill>
            <a:schemeClr val="accent1"/>
          </a:solidFill>
          <a:ln w="28575" cap="rnd">
            <a:noFill/>
            <a:round/>
          </a:ln>
          <a:effectLst/>
        </c:spPr>
        <c:marker>
          <c:symbol val="circle"/>
          <c:size val="6"/>
          <c:spPr>
            <a:solidFill>
              <a:srgbClr val="385F7C"/>
            </a:solidFill>
            <a:ln w="19050">
              <a:solidFill>
                <a:srgbClr val="385F7C"/>
              </a:solidFill>
              <a:prstDash val="sysDot"/>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circle"/>
          <c:size val="8"/>
          <c:spPr>
            <a:solidFill>
              <a:srgbClr val="385F7C"/>
            </a:solidFill>
            <a:ln w="19050">
              <a:solidFill>
                <a:srgbClr val="385F7C"/>
              </a:solidFill>
              <a:prstDash val="sysDot"/>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H"/>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Calculations'!$I$25</c:f>
              <c:strCache>
                <c:ptCount val="1"/>
                <c:pt idx="0">
                  <c:v>Total</c:v>
                </c:pt>
              </c:strCache>
            </c:strRef>
          </c:tx>
          <c:spPr>
            <a:ln w="28575" cap="rnd">
              <a:noFill/>
              <a:round/>
            </a:ln>
            <a:effectLst/>
          </c:spPr>
          <c:marker>
            <c:symbol val="circle"/>
            <c:size val="8"/>
            <c:spPr>
              <a:solidFill>
                <a:srgbClr val="385F7C"/>
              </a:solidFill>
              <a:ln w="19050">
                <a:solidFill>
                  <a:srgbClr val="385F7C"/>
                </a:solidFill>
                <a:prstDash val="sysDot"/>
              </a:ln>
              <a:effectLst/>
            </c:spPr>
          </c:marker>
          <c:dLbls>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Calculations'!$H$26:$H$34</c:f>
              <c:strCache>
                <c:ptCount val="8"/>
                <c:pt idx="0">
                  <c:v>0 days</c:v>
                </c:pt>
                <c:pt idx="1">
                  <c:v>1 days</c:v>
                </c:pt>
                <c:pt idx="2">
                  <c:v>2 days</c:v>
                </c:pt>
                <c:pt idx="3">
                  <c:v>3 days</c:v>
                </c:pt>
                <c:pt idx="4">
                  <c:v>4 days</c:v>
                </c:pt>
                <c:pt idx="5">
                  <c:v>5 days</c:v>
                </c:pt>
                <c:pt idx="6">
                  <c:v>6 days</c:v>
                </c:pt>
                <c:pt idx="7">
                  <c:v>7 days</c:v>
                </c:pt>
              </c:strCache>
            </c:strRef>
          </c:cat>
          <c:val>
            <c:numRef>
              <c:f>'Pivot Calculations'!$I$26:$I$34</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4189-4FD0-83A7-1CABF2EE0447}"/>
            </c:ext>
          </c:extLst>
        </c:ser>
        <c:dLbls>
          <c:showLegendKey val="0"/>
          <c:showVal val="0"/>
          <c:showCatName val="0"/>
          <c:showSerName val="0"/>
          <c:showPercent val="0"/>
          <c:showBubbleSize val="0"/>
        </c:dLbls>
        <c:dropLines>
          <c:spPr>
            <a:ln w="19050" cap="flat" cmpd="sng" algn="ctr">
              <a:solidFill>
                <a:srgbClr val="385F7C"/>
              </a:solidFill>
              <a:prstDash val="sysDot"/>
              <a:round/>
            </a:ln>
            <a:effectLst/>
          </c:spPr>
        </c:dropLines>
        <c:marker val="1"/>
        <c:smooth val="0"/>
        <c:axId val="390837464"/>
        <c:axId val="390842864"/>
      </c:lineChart>
      <c:catAx>
        <c:axId val="390837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GH"/>
          </a:p>
        </c:txPr>
        <c:crossAx val="390842864"/>
        <c:crosses val="autoZero"/>
        <c:auto val="1"/>
        <c:lblAlgn val="ctr"/>
        <c:lblOffset val="100"/>
        <c:noMultiLvlLbl val="0"/>
      </c:catAx>
      <c:valAx>
        <c:axId val="390842864"/>
        <c:scaling>
          <c:orientation val="minMax"/>
        </c:scaling>
        <c:delete val="1"/>
        <c:axPos val="l"/>
        <c:numFmt formatCode="0%" sourceLinked="1"/>
        <c:majorTickMark val="none"/>
        <c:minorTickMark val="none"/>
        <c:tickLblPos val="nextTo"/>
        <c:crossAx val="390837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solidFill>
            <a:schemeClr val="tx1">
              <a:lumMod val="65000"/>
              <a:lumOff val="35000"/>
            </a:schemeClr>
          </a:solidFill>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delete val="1"/>
          </c:dLbls>
          <c:cat>
            <c:strRef>
              <c:f>'Pivot Calculations'!$J$16:$J$20</c:f>
              <c:strCache>
                <c:ptCount val="5"/>
                <c:pt idx="0">
                  <c:v>Los Angeles</c:v>
                </c:pt>
                <c:pt idx="1">
                  <c:v>New York City</c:v>
                </c:pt>
                <c:pt idx="2">
                  <c:v>Philadelphia</c:v>
                </c:pt>
                <c:pt idx="3">
                  <c:v>San Francisco</c:v>
                </c:pt>
                <c:pt idx="4">
                  <c:v>Seattle</c:v>
                </c:pt>
              </c:strCache>
            </c:strRef>
          </c:cat>
          <c:val>
            <c:numRef>
              <c:f>'Pivot Calculations'!$K$16:$K$20</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701E-4EDA-86F6-1D63E5C85E8C}"/>
            </c:ext>
          </c:extLst>
        </c:ser>
        <c:ser>
          <c:idx val="1"/>
          <c:order val="1"/>
          <c:spPr>
            <a:solidFill>
              <a:srgbClr val="E1EAF1">
                <a:alpha val="59000"/>
              </a:srgbClr>
            </a:solidFill>
            <a:ln>
              <a:noFill/>
            </a:ln>
            <a:effectLst/>
          </c:spPr>
          <c:invertIfNegative val="0"/>
          <c:dLbls>
            <c:dLbl>
              <c:idx val="0"/>
              <c:tx>
                <c:rich>
                  <a:bodyPr/>
                  <a:lstStyle/>
                  <a:p>
                    <a:fld id="{1ABCEBA1-623C-450E-AD4C-416C1929B96B}" type="CELLRANGE">
                      <a:rPr lang="en-US"/>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01E-4EDA-86F6-1D63E5C85E8C}"/>
                </c:ext>
              </c:extLst>
            </c:dLbl>
            <c:dLbl>
              <c:idx val="1"/>
              <c:tx>
                <c:rich>
                  <a:bodyPr/>
                  <a:lstStyle/>
                  <a:p>
                    <a:fld id="{17DBBB5E-38A5-4440-AD8F-85543C02F6AE}"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01E-4EDA-86F6-1D63E5C85E8C}"/>
                </c:ext>
              </c:extLst>
            </c:dLbl>
            <c:dLbl>
              <c:idx val="2"/>
              <c:tx>
                <c:rich>
                  <a:bodyPr/>
                  <a:lstStyle/>
                  <a:p>
                    <a:fld id="{51FFA1D5-C51D-4A3C-BBF3-C595CC910EC1}"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1E-4EDA-86F6-1D63E5C85E8C}"/>
                </c:ext>
              </c:extLst>
            </c:dLbl>
            <c:dLbl>
              <c:idx val="3"/>
              <c:tx>
                <c:rich>
                  <a:bodyPr/>
                  <a:lstStyle/>
                  <a:p>
                    <a:fld id="{023027CC-7B9D-4EB8-AF08-F71DABD5A4FA}"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1E-4EDA-86F6-1D63E5C85E8C}"/>
                </c:ext>
              </c:extLst>
            </c:dLbl>
            <c:dLbl>
              <c:idx val="4"/>
              <c:tx>
                <c:rich>
                  <a:bodyPr/>
                  <a:lstStyle/>
                  <a:p>
                    <a:fld id="{C07E97B3-4BE6-495C-A1D7-C67EEF592FEF}"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1E-4EDA-86F6-1D63E5C85E8C}"/>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Calculations'!$J$16:$J$20</c:f>
              <c:strCache>
                <c:ptCount val="5"/>
                <c:pt idx="0">
                  <c:v>Los Angeles</c:v>
                </c:pt>
                <c:pt idx="1">
                  <c:v>New York City</c:v>
                </c:pt>
                <c:pt idx="2">
                  <c:v>Philadelphia</c:v>
                </c:pt>
                <c:pt idx="3">
                  <c:v>San Francisco</c:v>
                </c:pt>
                <c:pt idx="4">
                  <c:v>Seattle</c:v>
                </c:pt>
              </c:strCache>
            </c:strRef>
          </c:cat>
          <c:val>
            <c:numRef>
              <c:f>'Pivot Calculations'!$L$16:$L$20</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'Pivot Calculations'!$K$16:$K$20</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701E-4EDA-86F6-1D63E5C85E8C}"/>
            </c:ext>
          </c:extLst>
        </c:ser>
        <c:dLbls>
          <c:dLblPos val="inEnd"/>
          <c:showLegendKey val="0"/>
          <c:showVal val="1"/>
          <c:showCatName val="0"/>
          <c:showSerName val="0"/>
          <c:showPercent val="0"/>
          <c:showBubbleSize val="0"/>
        </c:dLbls>
        <c:gapWidth val="150"/>
        <c:overlap val="100"/>
        <c:axId val="394590968"/>
        <c:axId val="394578728"/>
      </c:barChart>
      <c:catAx>
        <c:axId val="3945909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crossAx val="394578728"/>
        <c:crosses val="autoZero"/>
        <c:auto val="1"/>
        <c:lblAlgn val="ctr"/>
        <c:lblOffset val="100"/>
        <c:noMultiLvlLbl val="0"/>
      </c:catAx>
      <c:valAx>
        <c:axId val="394578728"/>
        <c:scaling>
          <c:orientation val="minMax"/>
        </c:scaling>
        <c:delete val="1"/>
        <c:axPos val="b"/>
        <c:numFmt formatCode="[&gt;=1000000]\$0.0,,&quot;M&quot;;[&gt;=1000]\$0.0,&quot;K&quot;;0" sourceLinked="1"/>
        <c:majorTickMark val="none"/>
        <c:minorTickMark val="none"/>
        <c:tickLblPos val="nextTo"/>
        <c:crossAx val="394590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pPr>
      <a:endParaRPr lang="en-GH"/>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Analysis.xlsx]Pivot Calculations!PivotTable7</c:name>
    <c:fmtId val="5"/>
  </c:pivotSource>
  <c:chart>
    <c:autoTitleDeleted val="1"/>
    <c:pivotFmts>
      <c:pivotFmt>
        <c:idx val="0"/>
        <c:spPr>
          <a:solidFill>
            <a:srgbClr val="385F7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dLbl>
          <c:idx val="0"/>
          <c:layout>
            <c:manualLayout>
              <c:x val="4.7222222222222221E-2"/>
              <c:y val="0.277777777777777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DCE8"/>
          </a:solidFill>
          <a:ln w="19050">
            <a:solidFill>
              <a:schemeClr val="lt1"/>
            </a:solidFill>
          </a:ln>
          <a:effectLst/>
        </c:spPr>
        <c:dLbl>
          <c:idx val="0"/>
          <c:layout>
            <c:manualLayout>
              <c:x val="-0.1055555555555555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F4F6"/>
          </a:solidFill>
          <a:ln w="19050">
            <a:solidFill>
              <a:schemeClr val="lt1"/>
            </a:solidFill>
          </a:ln>
          <a:effectLst/>
        </c:spPr>
        <c:dLbl>
          <c:idx val="0"/>
          <c:layout>
            <c:manualLayout>
              <c:x val="-9.166666666666667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w="19050">
            <a:solidFill>
              <a:schemeClr val="lt1"/>
            </a:solidFill>
          </a:ln>
          <a:effectLst/>
        </c:spPr>
        <c:dLbl>
          <c:idx val="0"/>
          <c:layout>
            <c:manualLayout>
              <c:x val="-7.500000000000001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85F7C"/>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dLbl>
          <c:idx val="0"/>
          <c:layout>
            <c:manualLayout>
              <c:x val="-9.1666666666666674E-2"/>
              <c:y val="7.8703703703703706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19050">
            <a:solidFill>
              <a:schemeClr val="lt1"/>
            </a:solidFill>
          </a:ln>
          <a:effectLst/>
        </c:spPr>
        <c:dLbl>
          <c:idx val="0"/>
          <c:layout>
            <c:manualLayout>
              <c:x val="-7.5000000000000011E-2"/>
              <c:y val="4.6296296296296294E-3"/>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CDCE8"/>
          </a:solidFill>
          <a:ln w="19050">
            <a:solidFill>
              <a:schemeClr val="lt1"/>
            </a:solidFill>
          </a:ln>
          <a:effectLst/>
        </c:spPr>
        <c:dLbl>
          <c:idx val="0"/>
          <c:layout>
            <c:manualLayout>
              <c:x val="-0.10555555555555557"/>
              <c:y val="-4.1666666666666664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5F7C"/>
          </a:solidFill>
          <a:ln w="19050">
            <a:solidFill>
              <a:schemeClr val="lt1"/>
            </a:solidFill>
          </a:ln>
          <a:effectLst/>
        </c:spPr>
        <c:dLbl>
          <c:idx val="0"/>
          <c:layout>
            <c:manualLayout>
              <c:x val="4.7222222222222221E-2"/>
              <c:y val="0.2777777777777776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6014873140859"/>
          <c:y val="6.1890684717041948E-2"/>
          <c:w val="0.49843884268564792"/>
          <c:h val="0.93347976239812125"/>
        </c:manualLayout>
      </c:layout>
      <c:doughnutChart>
        <c:varyColors val="1"/>
        <c:ser>
          <c:idx val="0"/>
          <c:order val="0"/>
          <c:tx>
            <c:strRef>
              <c:f>'Pivot Calculations'!$I$40</c:f>
              <c:strCache>
                <c:ptCount val="1"/>
                <c:pt idx="0">
                  <c:v>Total</c:v>
                </c:pt>
              </c:strCache>
            </c:strRef>
          </c:tx>
          <c:spPr>
            <a:solidFill>
              <a:srgbClr val="385F7C"/>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8A6F-46EA-9B87-F2F6B92181B5}"/>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8A6F-46EA-9B87-F2F6B92181B5}"/>
              </c:ext>
            </c:extLst>
          </c:dPt>
          <c:dPt>
            <c:idx val="2"/>
            <c:bubble3D val="0"/>
            <c:spPr>
              <a:solidFill>
                <a:srgbClr val="CCDCE8"/>
              </a:solidFill>
              <a:ln w="19050">
                <a:solidFill>
                  <a:schemeClr val="lt1"/>
                </a:solidFill>
              </a:ln>
              <a:effectLst/>
            </c:spPr>
            <c:extLst>
              <c:ext xmlns:c16="http://schemas.microsoft.com/office/drawing/2014/chart" uri="{C3380CC4-5D6E-409C-BE32-E72D297353CC}">
                <c16:uniqueId val="{00000005-8A6F-46EA-9B87-F2F6B92181B5}"/>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8A6F-46EA-9B87-F2F6B92181B5}"/>
              </c:ext>
            </c:extLst>
          </c:dPt>
          <c:dLbls>
            <c:dLbl>
              <c:idx val="0"/>
              <c:layout>
                <c:manualLayout>
                  <c:x val="-9.1666666666666674E-2"/>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6F-46EA-9B87-F2F6B92181B5}"/>
                </c:ext>
              </c:extLst>
            </c:dLbl>
            <c:dLbl>
              <c:idx val="1"/>
              <c:layout>
                <c:manualLayout>
                  <c:x val="-7.500000000000001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6F-46EA-9B87-F2F6B92181B5}"/>
                </c:ext>
              </c:extLst>
            </c:dLbl>
            <c:dLbl>
              <c:idx val="2"/>
              <c:layout>
                <c:manualLayout>
                  <c:x val="-0.10555555555555557"/>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6F-46EA-9B87-F2F6B92181B5}"/>
                </c:ext>
              </c:extLst>
            </c:dLbl>
            <c:dLbl>
              <c:idx val="3"/>
              <c:layout>
                <c:manualLayout>
                  <c:x val="4.7222222222222221E-2"/>
                  <c:y val="0.277777777777777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6F-46EA-9B87-F2F6B92181B5}"/>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showLegendKey val="0"/>
            <c:showVal val="1"/>
            <c:showCatName val="0"/>
            <c:showSerName val="0"/>
            <c:showPercent val="0"/>
            <c:showBubbleSize val="0"/>
            <c:showLeaderLines val="1"/>
            <c:leaderLines>
              <c:spPr>
                <a:ln w="19050" cap="flat" cmpd="sng" algn="ctr">
                  <a:solidFill>
                    <a:srgbClr val="385F7C"/>
                  </a:solidFill>
                  <a:prstDash val="sysDot"/>
                  <a:round/>
                </a:ln>
                <a:effectLst/>
              </c:spPr>
            </c:leaderLines>
            <c:extLst>
              <c:ext xmlns:c15="http://schemas.microsoft.com/office/drawing/2012/chart" uri="{CE6537A1-D6FC-4f65-9D91-7224C49458BB}"/>
            </c:extLst>
          </c:dLbls>
          <c:cat>
            <c:strRef>
              <c:f>'Pivot Calculations'!$H$41:$H$45</c:f>
              <c:strCache>
                <c:ptCount val="4"/>
                <c:pt idx="0">
                  <c:v>First Class</c:v>
                </c:pt>
                <c:pt idx="1">
                  <c:v>Same Day</c:v>
                </c:pt>
                <c:pt idx="2">
                  <c:v>Second Class</c:v>
                </c:pt>
                <c:pt idx="3">
                  <c:v>Standard Class</c:v>
                </c:pt>
              </c:strCache>
            </c:strRef>
          </c:cat>
          <c:val>
            <c:numRef>
              <c:f>'Pivot Calculations'!$I$41:$I$45</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8A6F-46EA-9B87-F2F6B92181B5}"/>
            </c:ext>
          </c:extLst>
        </c:ser>
        <c:dLbls>
          <c:showLegendKey val="0"/>
          <c:showVal val="0"/>
          <c:showCatName val="0"/>
          <c:showSerName val="0"/>
          <c:showPercent val="0"/>
          <c:showBubbleSize val="0"/>
          <c:showLeaderLines val="1"/>
        </c:dLbls>
        <c:firstSliceAng val="201"/>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a:solidFill>
            <a:schemeClr val="tx1">
              <a:lumMod val="65000"/>
              <a:lumOff val="35000"/>
            </a:schemeClr>
          </a:solidFill>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6.7229818662362412E-2"/>
          <c:w val="0.79072722409576102"/>
          <c:h val="0.86554036267527512"/>
        </c:manualLayout>
      </c:layout>
      <c:barChart>
        <c:barDir val="bar"/>
        <c:grouping val="stacked"/>
        <c:varyColors val="0"/>
        <c:ser>
          <c:idx val="0"/>
          <c:order val="0"/>
          <c:spPr>
            <a:solidFill>
              <a:srgbClr val="CCDCE8"/>
            </a:solidFill>
            <a:ln>
              <a:noFill/>
            </a:ln>
            <a:effectLst/>
          </c:spPr>
          <c:invertIfNegative val="0"/>
          <c:cat>
            <c:strRef>
              <c:f>'Pivot Calculations'!$J$50:$J$53</c:f>
              <c:strCache>
                <c:ptCount val="4"/>
                <c:pt idx="0">
                  <c:v>Bookcases</c:v>
                </c:pt>
                <c:pt idx="1">
                  <c:v>Chairs</c:v>
                </c:pt>
                <c:pt idx="2">
                  <c:v>Furnishings</c:v>
                </c:pt>
                <c:pt idx="3">
                  <c:v>Tables</c:v>
                </c:pt>
              </c:strCache>
            </c:strRef>
          </c:cat>
          <c:val>
            <c:numRef>
              <c:f>'Pivot Calculations'!$K$50:$K$53</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5F8F-4276-A98B-49A2341D91A5}"/>
            </c:ext>
          </c:extLst>
        </c:ser>
        <c:ser>
          <c:idx val="1"/>
          <c:order val="1"/>
          <c:spPr>
            <a:solidFill>
              <a:srgbClr val="F0F4F6"/>
            </a:solidFill>
            <a:ln>
              <a:noFill/>
            </a:ln>
            <a:effectLst/>
          </c:spPr>
          <c:invertIfNegative val="0"/>
          <c:dLbls>
            <c:dLbl>
              <c:idx val="0"/>
              <c:tx>
                <c:rich>
                  <a:bodyPr/>
                  <a:lstStyle/>
                  <a:p>
                    <a:fld id="{603B25EA-8C45-4633-A2FB-494F7282DBDB}" type="CELLRANGE">
                      <a:rPr lang="en-US"/>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F8F-4276-A98B-49A2341D91A5}"/>
                </c:ext>
              </c:extLst>
            </c:dLbl>
            <c:dLbl>
              <c:idx val="1"/>
              <c:layout>
                <c:manualLayout>
                  <c:x val="1.3552403496672957E-2"/>
                  <c:y val="-1.2119633546658854E-16"/>
                </c:manualLayout>
              </c:layout>
              <c:tx>
                <c:rich>
                  <a:bodyPr/>
                  <a:lstStyle/>
                  <a:p>
                    <a:fld id="{06B82B4D-7BE9-4857-8DE2-08049E63C1B8}" type="CELLRANGE">
                      <a:rPr lang="en-US"/>
                      <a:pPr/>
                      <a:t>[CELLRANGE]</a:t>
                    </a:fld>
                    <a:endParaRPr lang="en-GH"/>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F8F-4276-A98B-49A2341D91A5}"/>
                </c:ext>
              </c:extLst>
            </c:dLbl>
            <c:dLbl>
              <c:idx val="2"/>
              <c:tx>
                <c:rich>
                  <a:bodyPr/>
                  <a:lstStyle/>
                  <a:p>
                    <a:fld id="{383BC764-31F6-4172-A5A0-4672F480623F}"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F8F-4276-A98B-49A2341D91A5}"/>
                </c:ext>
              </c:extLst>
            </c:dLbl>
            <c:dLbl>
              <c:idx val="3"/>
              <c:tx>
                <c:rich>
                  <a:bodyPr/>
                  <a:lstStyle/>
                  <a:p>
                    <a:fld id="{B3B8B481-08BD-4235-B188-6C024FFE5B27}"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F8F-4276-A98B-49A2341D91A5}"/>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GH"/>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Calculations'!$J$50:$J$53</c:f>
              <c:strCache>
                <c:ptCount val="4"/>
                <c:pt idx="0">
                  <c:v>Bookcases</c:v>
                </c:pt>
                <c:pt idx="1">
                  <c:v>Chairs</c:v>
                </c:pt>
                <c:pt idx="2">
                  <c:v>Furnishings</c:v>
                </c:pt>
                <c:pt idx="3">
                  <c:v>Tables</c:v>
                </c:pt>
              </c:strCache>
            </c:strRef>
          </c:cat>
          <c:val>
            <c:numRef>
              <c:f>'Pivot Calculations'!$L$50:$L$53</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'Pivot Calculations'!$K$50:$K$53</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5F8F-4276-A98B-49A2341D91A5}"/>
            </c:ext>
          </c:extLst>
        </c:ser>
        <c:dLbls>
          <c:showLegendKey val="0"/>
          <c:showVal val="0"/>
          <c:showCatName val="0"/>
          <c:showSerName val="0"/>
          <c:showPercent val="0"/>
          <c:showBubbleSize val="0"/>
        </c:dLbls>
        <c:gapWidth val="150"/>
        <c:overlap val="100"/>
        <c:axId val="394224968"/>
        <c:axId val="394223528"/>
      </c:barChart>
      <c:catAx>
        <c:axId val="394224968"/>
        <c:scaling>
          <c:orientation val="minMax"/>
        </c:scaling>
        <c:delete val="0"/>
        <c:axPos val="r"/>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GH"/>
          </a:p>
        </c:txPr>
        <c:crossAx val="394223528"/>
        <c:crosses val="autoZero"/>
        <c:auto val="1"/>
        <c:lblAlgn val="ctr"/>
        <c:lblOffset val="100"/>
        <c:noMultiLvlLbl val="0"/>
      </c:catAx>
      <c:valAx>
        <c:axId val="394223528"/>
        <c:scaling>
          <c:orientation val="maxMin"/>
        </c:scaling>
        <c:delete val="1"/>
        <c:axPos val="b"/>
        <c:numFmt formatCode="[&gt;=1000000]\$0.0,,&quot;M&quot;;[&gt;=1000]\$0.0,&quot;K&quot;;0" sourceLinked="1"/>
        <c:majorTickMark val="none"/>
        <c:minorTickMark val="none"/>
        <c:tickLblPos val="nextTo"/>
        <c:crossAx val="394224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050"/>
      </a:pPr>
      <a:endParaRPr lang="en-GH"/>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CDCE8"/>
            </a:solidFill>
            <a:ln>
              <a:noFill/>
            </a:ln>
            <a:effectLst/>
          </c:spPr>
          <c:invertIfNegative val="0"/>
          <c:dLbls>
            <c:delete val="1"/>
          </c:dLbls>
          <c:cat>
            <c:strRef>
              <c:f>'Pivot Calculations'!$J$16:$J$20</c:f>
              <c:strCache>
                <c:ptCount val="5"/>
                <c:pt idx="0">
                  <c:v>Los Angeles</c:v>
                </c:pt>
                <c:pt idx="1">
                  <c:v>New York City</c:v>
                </c:pt>
                <c:pt idx="2">
                  <c:v>Philadelphia</c:v>
                </c:pt>
                <c:pt idx="3">
                  <c:v>San Francisco</c:v>
                </c:pt>
                <c:pt idx="4">
                  <c:v>Seattle</c:v>
                </c:pt>
              </c:strCache>
            </c:strRef>
          </c:cat>
          <c:val>
            <c:numRef>
              <c:f>'Pivot Calculations'!$K$16:$K$20</c:f>
              <c:numCache>
                <c:formatCode>[&gt;=1000000]\$0.0,,"M";[&gt;=1000]\$0.0,"K";0</c:formatCode>
                <c:ptCount val="5"/>
                <c:pt idx="0">
                  <c:v>54000.040999999976</c:v>
                </c:pt>
                <c:pt idx="1">
                  <c:v>75691.049000000014</c:v>
                </c:pt>
                <c:pt idx="2">
                  <c:v>36495.541000000012</c:v>
                </c:pt>
                <c:pt idx="3">
                  <c:v>36357.307999999997</c:v>
                </c:pt>
                <c:pt idx="4">
                  <c:v>40995.877999999997</c:v>
                </c:pt>
              </c:numCache>
            </c:numRef>
          </c:val>
          <c:extLst>
            <c:ext xmlns:c16="http://schemas.microsoft.com/office/drawing/2014/chart" uri="{C3380CC4-5D6E-409C-BE32-E72D297353CC}">
              <c16:uniqueId val="{00000000-7668-467F-8FA1-54D94F28F796}"/>
            </c:ext>
          </c:extLst>
        </c:ser>
        <c:ser>
          <c:idx val="1"/>
          <c:order val="1"/>
          <c:spPr>
            <a:solidFill>
              <a:srgbClr val="E1EAF1">
                <a:alpha val="59000"/>
              </a:srgbClr>
            </a:solidFill>
            <a:ln>
              <a:noFill/>
            </a:ln>
            <a:effectLst/>
          </c:spPr>
          <c:invertIfNegative val="0"/>
          <c:dLbls>
            <c:dLbl>
              <c:idx val="0"/>
              <c:tx>
                <c:rich>
                  <a:bodyPr/>
                  <a:lstStyle/>
                  <a:p>
                    <a:fld id="{7C04A885-DBF9-4C20-8011-6F1270FCAC99}" type="CELLRANGE">
                      <a:rPr lang="en-US"/>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668-467F-8FA1-54D94F28F796}"/>
                </c:ext>
              </c:extLst>
            </c:dLbl>
            <c:dLbl>
              <c:idx val="1"/>
              <c:tx>
                <c:rich>
                  <a:bodyPr/>
                  <a:lstStyle/>
                  <a:p>
                    <a:fld id="{37142604-6854-4A92-AC14-4A0EC8500C49}"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668-467F-8FA1-54D94F28F796}"/>
                </c:ext>
              </c:extLst>
            </c:dLbl>
            <c:dLbl>
              <c:idx val="2"/>
              <c:tx>
                <c:rich>
                  <a:bodyPr/>
                  <a:lstStyle/>
                  <a:p>
                    <a:fld id="{CE169DC1-7617-4DF1-B5AA-56ED40AF453D}"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668-467F-8FA1-54D94F28F796}"/>
                </c:ext>
              </c:extLst>
            </c:dLbl>
            <c:dLbl>
              <c:idx val="3"/>
              <c:tx>
                <c:rich>
                  <a:bodyPr/>
                  <a:lstStyle/>
                  <a:p>
                    <a:fld id="{41BC13A1-51C3-4185-B23E-499073086B96}"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668-467F-8FA1-54D94F28F796}"/>
                </c:ext>
              </c:extLst>
            </c:dLbl>
            <c:dLbl>
              <c:idx val="4"/>
              <c:tx>
                <c:rich>
                  <a:bodyPr/>
                  <a:lstStyle/>
                  <a:p>
                    <a:fld id="{C10E1E7E-8A9A-4FDF-AED3-EFE94DE29BFE}" type="CELLRANGE">
                      <a:rPr lang="en-GH"/>
                      <a:pPr/>
                      <a:t>[CELLRANGE]</a:t>
                    </a:fld>
                    <a:endParaRPr lang="en-GH"/>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668-467F-8FA1-54D94F28F796}"/>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Calculations'!$J$16:$J$20</c:f>
              <c:strCache>
                <c:ptCount val="5"/>
                <c:pt idx="0">
                  <c:v>Los Angeles</c:v>
                </c:pt>
                <c:pt idx="1">
                  <c:v>New York City</c:v>
                </c:pt>
                <c:pt idx="2">
                  <c:v>Philadelphia</c:v>
                </c:pt>
                <c:pt idx="3">
                  <c:v>San Francisco</c:v>
                </c:pt>
                <c:pt idx="4">
                  <c:v>Seattle</c:v>
                </c:pt>
              </c:strCache>
            </c:strRef>
          </c:cat>
          <c:val>
            <c:numRef>
              <c:f>'Pivot Calculations'!$L$16:$L$20</c:f>
              <c:numCache>
                <c:formatCode>[&gt;=1000000]\$0.0,,"M";[&gt;=1000]\$0.0,"K";0</c:formatCode>
                <c:ptCount val="5"/>
                <c:pt idx="0">
                  <c:v>36829.217800000035</c:v>
                </c:pt>
                <c:pt idx="1">
                  <c:v>15138.209799999997</c:v>
                </c:pt>
                <c:pt idx="2">
                  <c:v>54333.717799999999</c:v>
                </c:pt>
                <c:pt idx="3">
                  <c:v>54471.950800000013</c:v>
                </c:pt>
                <c:pt idx="4">
                  <c:v>49833.380800000014</c:v>
                </c:pt>
              </c:numCache>
            </c:numRef>
          </c:val>
          <c:extLst>
            <c:ext xmlns:c15="http://schemas.microsoft.com/office/drawing/2012/chart" uri="{02D57815-91ED-43cb-92C2-25804820EDAC}">
              <c15:datalabelsRange>
                <c15:f>'Pivot Calculations'!$K$16:$K$20</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7668-467F-8FA1-54D94F28F796}"/>
            </c:ext>
          </c:extLst>
        </c:ser>
        <c:dLbls>
          <c:dLblPos val="inEnd"/>
          <c:showLegendKey val="0"/>
          <c:showVal val="1"/>
          <c:showCatName val="0"/>
          <c:showSerName val="0"/>
          <c:showPercent val="0"/>
          <c:showBubbleSize val="0"/>
        </c:dLbls>
        <c:gapWidth val="150"/>
        <c:overlap val="100"/>
        <c:axId val="394590968"/>
        <c:axId val="394578728"/>
      </c:barChart>
      <c:catAx>
        <c:axId val="3945909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H"/>
          </a:p>
        </c:txPr>
        <c:crossAx val="394578728"/>
        <c:crosses val="autoZero"/>
        <c:auto val="1"/>
        <c:lblAlgn val="ctr"/>
        <c:lblOffset val="100"/>
        <c:noMultiLvlLbl val="0"/>
      </c:catAx>
      <c:valAx>
        <c:axId val="394578728"/>
        <c:scaling>
          <c:orientation val="minMax"/>
        </c:scaling>
        <c:delete val="1"/>
        <c:axPos val="b"/>
        <c:numFmt formatCode="[&gt;=1000000]\$0.0,,&quot;M&quot;;[&gt;=1000]\$0.0,&quot;K&quot;;0" sourceLinked="1"/>
        <c:majorTickMark val="none"/>
        <c:minorTickMark val="none"/>
        <c:tickLblPos val="nextTo"/>
        <c:crossAx val="394590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pPr>
      <a:endParaRPr lang="en-GH"/>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1A38C718-DD8A-45ED-8C5A-0941F1E74030}">
          <cx:tx>
            <cx:txData>
              <cx:f>_xlchart.v5.6</cx:f>
              <cx:v>SALES</cx:v>
            </cx:txData>
          </cx:tx>
          <cx:spPr>
            <a:solidFill>
              <a:schemeClr val="bg2"/>
            </a:solidFill>
          </cx:spPr>
          <cx:dataId val="0"/>
          <cx:layoutPr>
            <cx:geography cultureLanguage="en-US" cultureRegion="GH" attribution="Powered by Bing">
              <cx:geoCache provider="{E9337A44-BEBE-4D9F-B70C-5C5E7DAFC167}">
                <cx:binary>1H1pc9tGtvZfcfnzC6V3oKcmtyogRW2WbEu2k/gLipYU7Gjs26+/D0TKkRBqmRrdt4qaqbAssonT
/fTZnnO69e/r/l/Xye26fNenSVb967r/9X1Q1/m/fvmlug5u03V1kIbXpanMX/XBtUl/MX/9FV7f
/nJTrrsw839hhIpfroN1Wd/27//n3/g2/9Z8MNfrOjTZ5+a2HC5vqyapq2fe2/nWu/VNGmbLsKrL
8Lqmv77/ctuvq/fvbrM6rIcvQ3776/tHH3n/7pf5F/3joe8SyFU3NxjL6YFQ3BEOpeTuh75/l5jM
375taX3AOWfatpm++3Hun32xTjH+RXHuhFnf3JS3VYXJ3L3+HPZIcvz2j/fvrk2T1dNy+Vi5X99/
zcL69ubdVb2ubzHtsDKLzQcWZhL/69XdfH95vOD/8+/ZL7ACs988wGS+XC+99Q9I7tF5Z/56tzBJ
k/4I1/er9AYIOQeaCNuhXDyGxrYPCFVMA74NNHh/sy020PynYu1Gave3zIBbLvYSuK/1OrhfszcA
CqrCuG0rJjeqxB7jRSk9ULbDGFPq/qkbpF6SYzcym1EzJL5+2UskvtxmGQzE7e39wrwBHPLAETBa
xHF2wuGoAy44E0qozfv8/tn3lu0VIu1G5sFsZvB8udhLeH5L1j/W6VsaNXZgKyWgC/ZjJQEqjiDw
OGTrb/RjVF4hyW5Mfg6cIfLbh/1EpAxHk70lIuKAac6YQ8XGm8yAubNeSkit5EZfECg89Da/vSzQ
E8DcD5wD830vgVneJutuXb6lIdMHhDhwK1xukIFKPAzRbIkQzlGC020cIB8j8xqJdkPz98gZNsvD
vcQGwZkp1zfmfn3ewMkgONOOlESwjROBVjzEhhJ5IBG8cTXzLq8RZTcof4+cgbL4uJegXJiyDt4t
1qVJwjc1aFh5rrktOdlp0Gx9QB3JHaW2/n8WlL1ert04zcfP0LrYz5B5sU7Cv0yZvWmGYx8wKZTS
VO9WIqoPFLWZTQXdQHmvwJtI7XUy7Ubp4dgZQovf9lKffivjdVa9KUcgDuBZHMLp1gGBA3ho5DQ7
EFxTKeU20p45oNdItBudv0fOsPntci+xWRjkFNd1eN3U91v4v/dBgh5IW1LJ+TbvnPkgG7E2dxDY
sRkur5RmNzSPBs/QWexnErpCdBDerN8OGeYcSC0lJeKJFBSK49hcMIfvTEFfIdBucH4OnAGz2s9k
5zycUnFTvyE0Ysr+NYXd2kIzUxotDqgGLMiI7vfDxtm8SpbdqDwYOsPlfD9pgaNbU/pvGgmwAyVg
qoDMzkjA4QdCCG4LskVtFlW/QqDd0PwcOAPm6Le99DOfQKdVQ9Ku3zROEwRxAMK07doTMtMZENIO
dxzUCrYR96xW8FqpdkP0ePQMp0/7idPJzTp4w2xUiAPUAojN7uPkWaBGqThQEjmRQ2ahwIuC7MZk
O2wGxslyL5XmJEECasLq3t6/QWRGDiiwEOAHNnnLDA8HKahwFJfO38zOQ07tNRI9AczPucyx2c8I
4CS7Cddvyg7oA6Sb2tZbZPSMVAMPjYjZIUpvg2pxvy02YcArBHoCmfuZzIHZzxDgxHTr+5V5A4Vh
B8QWStpC/AyIH2Wa/GCCQyGi3rw/42xekuYJSO7mMMdjPz3K2Vvn/g5SFIHiP5z63c/M52sHLodA
Ue7JaZQNHpqwl+XZjcn9uBkqZ1d76VrOsCTNdTzcr81/ryncPpDMnsqXc58iYbgAlhBq43Nmhus1
ojwByc9JzEH5cy9B+WCasHpjr0IOtIPURaktUTnzKpoigqZoAXC2bmcGzqtE2o3Og6EzeD7spyU7
X4fZ7dspjJBI+FFylg8M1UPXovQBo4oK+J+devOiOLth2Q6bQXJ+uJcac1Sus5t3X0DEJC8B83/Y
bnW+LocEgrwkwuOesGeb4FDFm6ypnKmrrQ5sQlEW19s9MaMbXiPJU9vifg7znbHcy51xcdu9O16n
eRWEb1n6FvxAORLG9J7aBgAPldaeqG9UxhHFb6KTGVn3arF2ozQbPoPq4ngvoTpfV9X6Omiq27p+
y1yXHaBEB2rO3nLZs0ARUCki0dnjzCLEV8uzG6PZ8BlG53vq+8LrIPTX2duZOFBDDrDR6CPdTUVI
FIkI8uEpK55+ZpnV+SskegKgnyPn2Jzsp/6EVTX9P8/Dt4OHo0bH0OTzkwiaeSIwRei7Ymgz2faZ
/AOeVwn1FEIPBs9B2s+E6xwImaZ8S4SQ6CobFW6xLU3MununIrhto89HbruwdiD0kkRPw7MZOcdm
Pxt+fg+ra5NV4dtaN8W1llzd03mP4wSoD3JllGL17kLrq0Tajc6DoTN4ft9T+2ay+k2pVoFzCuhN
oBplu7ufWRBHCYybkJSp6YTDQ/Lo/GVRdoPyc+AMkvMve+lyLm5/lOsqXt+vzn9PH009I+inmk4r
/AycHwbWOPYDHmM687Mt9s3qRa+RaDc0f4+cYXOxnznxxW27fsueEY5TJFIJ8BS7a0aUKoQC6Fu0
t+caEGc/1JmX5XkKl8085qh821ON6d6d3pbV7XC/Om+gM6jmcWSaku+OAGwUVxHA4SjgJoLWM2s2
ZZMvy/QUOn+PnSN0urcInd/24fUb1r+5OBAMRo0+ONLz0KpRog4ocQCi8w+t6d69LM3T2NyPnWNz
vrfY/GnK+A11hx2ARWNiOtizKwbAGQZkNwRUz5Zpm0XPk+68JNHT6GxGzrH5cy+x+RiEb6gxaOkR
aNxFK9y2vDeLzRzkpQTsm8Pujdr9ntiUwV+SZjcmm1EzPD7uJ532MU7Qw/OmZ+NwcMHhqN9tOw/m
bVYapT8YMUJssDV3PzNMXiHRE7j8HDnH5mw/daW89c1bppkcVszBWSu+ra3qx2kmZeQATfCU8pl7
+fiiIE8Ash03h2M/u98vA5zZf3dSvW3xBqmMYg6S+y3vomcF8alGQBErT2cX735g4h4GzK+VajdC
j0fPcLrcTwbgyjT/NyeyoD4EtTR2f9fE3NlM/aVo7cVR0w1SsyDg9XLtxmo+fobW1WIvjdxmVst1
/Lb98QilOaIxlNc2WMyPAxNywDhBo7aapTmvlec5jO5nM0douZcIfbstUzBZ92bnDTJRgTY5yfC/
mQbhqI9STGmFHOfuZ0bbvEKS3bD8HDhD5NuX/UQkxLmFN+2Nn/qxKHM0agSblZ97IedgapwX/L7+
NkfmFRI9Ac3PkXNsfttLbH5fo4kg8+s3DdxspDmUS9t5wprdBW44enJf3ZnFb6+TaTc+D8fOEPp9
TxG6rep3335uu00w9d9bNQ4VEQwYoePm7mfmchyCU8DcBnuz5d9mgdzvrxXrCZweD59DtZ886O+D
wfVh/hu6HhA5aA5g6omzwCgaIAWi4K/Jlr++f/aGMHiFQE/Acz+TOTD7QeNcP3ut2UMVevTJ//Q2
Nw1qAGYOR+R20mwo66BXG0Xq+4a2Wew2u23tabF2YzQb/mgm/5+ucnu67/BnA+ByXa8P767Pe3DT
2/Pv3k0XN/rNhm7zyI3pezTb+01/cvPreyawyj8v5Zu+4lH+OVu0zZr/HHe7rupf31tKHWibc5yM
AHo4tkqQGnUwWL++R9PVFHmA0gZNh1sUHAQe2XSlxq/vkflyXD4CuLeHv6spscMQtDtyhoKspqgB
alys8PPKwk8mGUCZ/FyN7b/fZU36yYRZXeHGQJjdfPOxScrpieA9NEwzsxXoEQYB8uv1JcwOPk3/
X0KjMqNdLG8d6tWNPmS5yK1kQfI2HL9J2eTxWlilrFZZMVSDWNasl0G/sIxHfvhZKTJrYVgf26c6
kEOzjLWVFcedTpPqPJFpbg2uiXuZ/5BxHfVmibVKIr7wbVvQW7s3Q3OZBL2drB1H5t41T3mhLnwV
Fjl3UxpWEEXkskw/BpTUXbb0E1nGuWs6maYfqD0UENlPUzqcsZRn0V9W1RqMeQDpjkWC63q0Rigb
MaFR15vOT2K5sCMerpFN07AJVODcep3JouK4TkUijhPRVqV9PFZ+HXaLMcxx90ZCvJB5q+cfT9Gc
8vj5aE2ZTgtwJAY4PaOn9x9gNEbcqRRR4U1EYx6Hi9pwyQNXa2YV0arsO7+sl2VQ+yJwLWGNefap
E3yo2IKKUXX8tFZBVsWuMQUv6QXImALvPS8ktvBDGW00CXCchkMIjSLAtC0fy9gHocWCkls3yipb
wpb+aPt2sUocUXPiZmWt1PdYEq8G6/JT3V7GZnqu0Djigmv7GI58z5+bN4OxjcWdG3/AnlNuS/Kk
+iMQHst8t4vCJvyYebgstHaDwOByP/f5x4MznE3bxu2bOPWsBWh26NDjafuyDS3SB/zGshO74AvZ
ESXXUCSrPjFjaCcXoUUNPedxMTRXcUXIGLgIoRMsyvOSIAV5LIlkCIFBYE6tZsgtZwDUKiTREGfe
tafHTJZHpshTbzi0vLTSw9HglD1Qef6R/5w86ti4gQ99VXfUEHk8+cAOvCQaSHkjVActXw1UjTRe
ybJrKnEYOp5Q38sGq164lUIzw3dDhrbUh21oSN69sBHozJLZROKmTWgJFBXnaHGu6bE0vh4jqfPa
+oEuZzu1jvs6mBQi7U2Ae0mbLhKjWIRpNbDc7TXjkEqGJGiu0lxFwyKzaJld6TRIy2xZSFOyy7QN
s+rH82s22dMH9tZGIoPTPQQdM7j1A9oysyVN5zklKcb+R1/WJTYBaWKCxSJ9x6Xl9iVvraucxcWk
NHVnppcw95v/dLHQiICjehwnJB3BBUzb48VyClbVQ6XMjyyRFmx4BOs1dm47kHqQZ9yTsPuV3+C2
mjSSGSxqmacllceOFVlt7BYBrO1k+YcAo7JwTNoz0ce5SV8wK3S+x8AmIitn09WbQFhNB6Ye2r6e
d1mus5H/qDymrPQwqqs8aT4VYx3m2aIrhgLCWXba4j0zFKkZlk48DtZVl+feSaXLJPIX6TiS4SwN
iqz23EwT5dWLRhIruVSp9sd0wbjuYRKZFQ00OyWjTvCtceh1RfGCmlIko482AIJvnMPXiiCjxXFu
ObMY2JlZ0WZt/t2WRkZykRN0JRSu5zValws62hZMuzdsrGfSCLzX3JmTnHoO3uq7mqti1XT8ZYUW
cyuOLi4EI1JTylAq+ce2iPu4Sr3A5N/zElpUHPIqdsQ5owEfznjVDFgO7bXJ+C0N+mGw3SYouyJY
wOB36tIvRs86LlMRjd9Kq6nUhROqKUDoRZsm+ihu5ASPqbjGFhpaW7aXeRnF47cxUXEXuyRJJqcV
YvUBkMl0gF/yAVcQfnPSvgd2XEYDXqqR+LWzzGXFq5Wymwm7uPdDBBjF3eO141tD5zqmj/AVBsED
JA+tbIoN6lym8bqvVFbkK92WtL0S3Iz1h7KMvdJNkrRk6cLyvbQ/9gWc65+Zk3niW0taik1mOz7i
jLbIDEKU523D3IRj9W3UBRHjC1uhUWW2Nbg3ZD7VefJ9pGlV+m7PiJ1Xbmcik5zwpuhgKJ5/4twa
semsLqPw2+i60P94YlWSKuhS3v3Jx2bajF0jJvPHKjuG81ZtIdV3L+IjNmHHmrryz20YFuzT58WY
7jJ6pBQc94kyG44LDThMIEp+rOUjb5vC0ir9loosrblbm0Zat6YIClijIK4yelh6tgk/tZXjw+Lk
gTT+oe/UrDUuDlR2SevWzC/OEs9RVz0vE2dwq46q9rJ2LBIuCjn25gybiARuRIQX5q7wFJ2UPSDY
h6YNEF2ceFFcT5rfosPr43T/aT64PC553x49P+O5XXNwlIJMdwmzu+sFkRM8nnGsvCDrisr+2jYZ
QRAry5IhiG3Had8KBFniOKBdj23bx5rjxa/vIltL5dOW5k3UMe/K69W0pVkRjml5HOaMTyayGCtC
V0XS5lV4NMohhtZ5XTrF1HRwUminTQuo0fNTYjPL5iACcuA2YdWAIKpEM1Nd8CwdTZSxr04dcOhW
nfuTALXFm0l17/QYbSQDZPOCflJx2MrJpJR5AUdjBRRhPO3l9CtTxGipTHRki+OwS6Z1KIbOqAuv
6PGpMODTFAc/VdUqtuySr3KnbHm1GOAvMN0XpjbLADA1jRu8GYWqEIk7IWZTq/uY2kljhq/cbydL
VZcFttaYjKG5rokTs8wdalOM32yWTf4xtQwFIL1KE384HFNFa3+ludV0XxGllliOzo44dh9vR1iT
LLQ0tpjoknyybg3M5nHI8g5mrUZEggeGtUfwL+RYFEuR+gJLUdd2YNULmTQRVCLQLMK/NuszmcKp
I/W5SHumow7CBURXNpMO0k7yj1CXdqNQgyqsL21qG1iHTXjLAqdv4wUyy8DPXjILM3c0PVLg8Bgj
cEsoAc8TLxIZhJB5b3+pGoodUg84FBUewfdjfUSUCyMPvc4yfeWqhA9Y8KT1MoQsMHpYpa7sk/qT
rSrHi1ZeLRwYAyhke1mi7QweILWg+HWfwVFtYfOLLsNS9omTQVegRRMcftxPQFhRSPGih0i3l8Sk
BpLIOIZvilU95anPr7bQ/LFNxOQnJwAjgYtfEAXNMxuEg5Xlk374EgSDSjy3bmKeL7yOeNGFYqMo
h8MiKFXuuJoxHQVuWRZhcUqShvfSzRHtWGeln1ri3EsDmy+KzvT+NQkTctx5jVDL2M5MciOiZCwv
U6NS/LWEkSbdR9FS0o9LJ8q0zBcF4seqWXWddNqLsgi83rgqJSn9wElJ9TLLSk0XUV83peea3inG
yA2ythT9wu/jFsrQjmU3JG5vyUhEK81oI65UUg/CX5CeNl1zlOsuoB7iN8+vT+rARmS2sMekG0ek
tdiK+UkfD17jFlUeqVWrbZ8vZWr145dOGRZ+a0Tie0suakYXA/JTM7jKryu91CHr4oUvE/8Yx9/q
ZWFIN555OiPkiHY0YCvfqpyAHOaxScXXQbZ+bH3VhvT9l77ueX1uVXVmXcJj2M2NLJUqv45262fG
zY2hQfVZ92MSH3kh2I3VaISTGlfHhrNgYZdjVTg/aBo52U3ActP2S2yVobjVTd11ZBEnXUWj49rL
CukskQfIRB15qRWrC01tK46PWpWzKgluAyfjNVa5p9wpxfnITYstPdKyyoPPOFZRK3KYZSLP7ZNG
e2GQfMhkHxf+YdT6ddd+6KTnh+HKE2nXyEsvY7w4UZEIfGeFvaJ47ObtSODWk8oJO+36llBFvQy8
coyGk86vrCA86sIU3mYR607AwLZ52Mg/jNUoWZ1gc3SWt+g4whZ60eSIurRbD9zp1ceE2TZe6s0v
rTBM8B661gQeN5pKFD/GptCsPY1UmfvsmPaWZduLIZJxYx/1WUTTxJWinfwikVaI6fhcwqmse2/A
iZJFJAMt/Y9Dl3e5/SnyrKhLVnbMLZafxM2gnfajirgMtVtoPXESdlnLIP5m+55njWdCJBVWyhoK
mOxzWO0ikGcW90o7+UDDIqTJpyjqIsc77CIYAv/QhGg0LhcwWZNIQ2slhB0SPxjCYknyOCqdZVYT
S2Z/MJ9leF4aJVp/bXynKBYl8mCsLHOaEB5kQVUwfQnkR8jiFoWeYnoRVJj9Ig9oxtUqCrppxXhS
x3gxVVBbV1lqTyZftLXv2Avd1QYbYMwQbxzVukzxuXwz1aCWI5aviGz8wJdUHp6WBBRJZkbDCR6a
i4DJ32nST+ucCR2BS7IaqwQUVhY7gbgtCiQ0xaoMQ0Rai86hg10sQieQjQUERVM03+ooa8IM62UF
ozkKmlHQ/tyJ7EnkEEjn45XCzsITON4qfnhWP20wVVoT8nKw8LtEp9PStC3FR+FinaKDDC3OImGO
2/mUJefFDxBuAX4n+9yoq1gKT/OF6DQIIDe3A4q12O4eb6w0vtKOrGlyXj3cLUaDXVMutjGulqOc
/sUrGZ9zEpbW1Xaprc3H7xd58zkwBSw+t1meQgCaWUH7Iw5VHpZHYcYHTLpgI/5Ijesz7ofkCgm4
b7QrN0CZsa2x1ZB5N6V/klE9eNKlcdAO6qNOG4NValma4CMsB8dWLkBzeK12YzJMQa+fSoZfJrZP
ih96s4ImhwbBrm3mFLAQOdoiN5nq6PHQOFN2TjbQbraH8uIE66NEiBGH0k6myfdqCLBPfVpOjwlE
oPDLwRTEDr6OViia+hQz5dPybjbS2AwNpMQkp2+hYVlhHCobHLurqoNJ9M2CWmM34h8m4UbYhxaR
WRydjCgj9vmRT8BokcMubAx0Wkf+xHxUHfANW5sVP6jyM2yfSiJixeTLFsHuxwpc9vSFrJ1eROs7
eEkyMqlDOspJ/qxRftB9bRI/8cNV5jv43qDg1OfHcTXYtD7jm70SRpWu7aPtkuuoLSFOH/IYXwIP
YPDwKA9j+PmWFqMiXxG5RU67zAurzsIFqXwPD5dRgBuXl3WSg9tMQBiAsgFMQXNiG39S5wb+Fb+L
h0ZFzipGsNgPp1xXSW+Oa2FImi4SLZK0db3KB21INW3w+aAuKrwgaJTJRVo0+O+QdiDRJOkoqKIC
XH5y0ca1B1KgKyM8nQa+ab+pzOuRBXjDOO39TsOUR6ueFwwWximDpHEOkxQuNj3srczT1YnUcFX9
n0T1EeyNnxgTx8dbOjmqk6CMVk2QIN+9HkSFJvHjPAqwHEf8TmcK4yRYsMrrYm/8xgPHdPXXgndB
p47rzdR77VdYIp73Y4wZxX5XyUM1EgorV5diWj7a59OuAV81bfENf+pUcYcVoA2b5luHIcNLiQ2O
zxchqFDLDZMRvDKa1uJMu6AsBpWe85yW+IQa6JTDtrKpsK82JMtIZVJ6qyYrSo+d+F4x4jvGDfXm
IS0Ha1hIEYMv9WiM1DdNkTtlizoBMSHP0lhN+lSLLgQJ78dODVPJlTfA51UDLE20QmY7LV4T8okq
YI0Tg4uPkszHcNwpgVn+2SE886zTzqvKMrzQPJpIStPA3Z3bscdV/VmAxhq8w96LrCFYqS6XSbUE
dYFmLtcGCaS+C59TpORwhhrgj5YYMSuVpZPbSKU3bbeSlRSbb7OSUW3ARPOQhLw97UaZevbneGw6
66pEMA1WYcwLrb7D3mJ/WV0+YgUiQaY5eHlmwfgjvZxYqiREvIrIWqemy78rPQQF/SH6RCUXShX5
4K0EM1Vt/dWFNOq9Q3g0nki3SsB/WwsnoXb5DYxkF9dfiF9Evr/w5MCD/rKzEdsUN7oN24L9WXkO
qImjMm7aVC8sNlbxt1E0TBi3gXfokexTahBT2rbUDW2wy9NIs0WLX1p269odKlP9cjuTDZZFHoEg
XqCdfpimdWdukqSd7J8e/MmaIPqflDes0ukT2R1770Vs+h1uCbbwicEfpg96HOxEeojMfapthImX
Q5V9RIvexVgPND+MoKiTVup0eme7ZRFTwhJp9OzhrQ0fPplTy1+U/VBy26WsJM6nJrD9zrgdycCe
i2H0NDvpimzSct8aJzqwQp0ILwJhWX1SjAT7WxDUHy7AW06SxyEqjd+3D5KlhksrsFWsq03GloXR
aMdulOWN+BxvDFa8IRoLHCvEbrCSYiIhq1KVQixTPy2M5waFaqyrJpQ55lx3qOK1pyHzpzAuED2e
YbfJJFZzp3CWieFHXE82k5LnbCozLrOun/ak7Y0sDl0ZVFmaHgZRAm1cbRYEPPBk9GI0ceN7RUWt
6CxgPLGdF4ivWUIPLgf2ATuYwbgp+g9aOahRQwBfza4CYxSktn2/hzZ0Bma2sMSkQUkL4iVw27CY
ZH8hu3uc202Px21GOCMwXTCN58/o97LpjdVVNqiqjWmMwAFDCuQB0KTnHzUj0KFNBO0EeBYoK/xX
TWn9g+Jh58SF4yGUvN8jJO6NWRS5J8RH3Dgx7W6tggnUJoyAsBGlAGRb4/i8LI8pBDSVYP84uOvc
USiHY5+zx7J4LWegbyP/CqeNYcZCSad4vKpwzfbhaBA6v7TO/3wgupFAHChHM5CL070YDycfByWh
SUq8y6LP4Cj8GB7/xB5imLmtZj8/QTrRdn+Xd6YZgrsl0kY3IcM9h3Mis08i4Wd1oi63FqMLxom0
HxQfpFz1onLaVZR7Y/m56fgQLdMmm+w5L2EarGoU8EcvSPR4p0MipFLTtWXc1hKNPfOy2KCJ1dkD
Ly6TjVJ1iOug430Te7DrodOGgCAQzQDN1BzOAaGFFUyCRDkvmnHRFsjsVzLlRhK3h2kZFjD1BT4O
/fDoRThw5JOLblPPyjdm9vlJzGEEcPizUgS3f4GSpfhrOjMYVVDUrLfai6CKJ8s03gVCeSWz5vNg
OY3Avamvp7okCiA4b4A/23fXhjP9iZHHz7N7RCO4Ba652Lq93g+KyCUGltW4ZYXLX/6z54Hynw45
QDFwMEj8wxzwzgMT3YbRxcYtIUie0LDjBHqRVcXkMJ5/4GRfHmxTbAiUn6YbL9CPIsBozvjMbhj7
sBxlfGxnVhnLhZ2mNv+uSijMSyr4z0cBOgcVPPw9NySZc1OXeiwdGl/5x5tQpJVgR7CPWJHi5flZ
zWpr+HZ0aGgU46d7IvCnruYFlIzUgRf1ub4mEWjqrVoxFU+hYsnTKZ3snDZLFyQVJbNdu0xQ6XAT
hKLVouZZb3+NOgIj+IJcmxaRBwsODhNLoNG4Q3DJkoNTSI93FCGoF9lhUB2VIyNBdchkP3VJNLgz
pjF/VWOGQvvCVD44X+2m3ogs1q2lX9P0DFEEWoP8hYlzMFIfmAAnQj6lnvR9czwgZpHmwuvDmPbD
wmMohf1ZFUWK9KyMmMiKwzRpRlYviCGqSpdOKUEBfuA9NVx90ps6Y6yQJPGPXpbSoj+P/aDVaOVp
WhVScDURWkiOkQDZYbpMrCjHFtkGTraFYYEbb8IdZA4OnJi6M6+bFCi+W80uSBlcClLWKTzpWmYh
0DbMQf6SsQbLjdBPNfYFr5IpyLQ2MVeOoi1wI7lDx9CNqzqlo5tVpc7CpcrtJGrceyqmgDsP3G2A
dRfZoeLXYX3HwpmCC7towXgh54kVO8wdg0emMbKd9pSgihL6i6RPccvOEeoMSZR85QjHNb9QQ61F
fhIpYk0kRdWW4H+HTX6ou6HixTKImxR0MJghG9UPNwpqx3gLqzF+R1K3wH3rkn3Shc7t7tAvYHSK
L3LQ7Wi+oA4yVdoQmxKmLkxdobjxJczBgvtL7HO0OayCsqA0WqQUwfBfA1LiyjmVqu/Ydyr7oXYu
QOd5+edM6yhmh1FWWQQZOu637OsFWsxQ4z/MzABsl13PxnJwiQXGpF0gZKTSWQxi8LoPsa7qanRR
Ju9CZPnaKVGvDQNSHQmS1N0PRdJ4CJaeQCKQuamdpeUfGRghq3GdTSlwayML1Ol99cFJ4U+iVRYk
ijWI7u/iPxDyU/w6ZPXkDDdbI7mLUjM7iZFKlhqdOrnblkSlFBbWNzbEYHHM3C62Wv0FzsU4V3mm
rWSVhtKXbuD73ZUcQhkth7DzjkLR8uOQ8PEkLfv2GAyLubRLxRa9lsGFHdYJAZfdll88bOpj4UtT
udC+4EdU5skfPgnNstfUQ46c8PoISTioLpbJMycn300Mdcy6XH1QXZgvbREEQJdY5Sqye3EYmbD5
OEZJTQ6RLdSHzkB4gh2r0usgb64YFflZKSz/LG2r+lBWoMbRIOMft6bRy0B3zmc7Dwr0G+ThTVgV
3jIJct8dRJYtpaeLU2dk6WrwMlSns1wKfLUzZAsRZfaqw1eeOMgTf5S9aY7Qj+HdFDpOjuKeJqM7
6EiugoiYq1ygZuAmoI4q1+LG/9r1o7NOrEyCYmjSL53DwkPCanIqiA5C11gW/yBAH67KusLf94hs
7zNIzRB9VDXXNxQlKORZNKeXLYuCcJUPmXVIq7S+rFoBIgSmYFkNfXPKq3KIXZl2zsKztRc4f4Qt
08MJOiOa64qJiB6aJq+RfoVpMLgtjjPfOrW006XlWeVpqtEmsRS0jj73LY+Rv6XmTFY1LRaeE5g1
iar8Q4/La84qRacd6smptuu33WmPMPuc2HF7AlbeOg1jHrClA+t3Q7uOZ+44OjRAOp9bf3Z50d0W
ltUvWEjHdVVFhqHTIUdb4zhW2LlBkicuOrnKZpmPXdyfqsYvfJfQPLwYqA1DjFRv0XY84ac4qJDk
p2VflCuWN+xMJmnv/i9zX9YkJ662+Yv4AolFEDExF0BmVmZl7YurfKMoLy0QmxBICH79PNj99dcu
97GjZ24mzrnobruKTcv7PpuAQD9H8/LZN5xfhwTTx45mKgB5+lUmXGtZES19sAvZ1F2rMtSvi3Ko
FX3Q7mLMTA1tRp2zSkQq80wQvoEx77OANt2hB4CRUb+d7hzp6ruxXKY6r6dJPA3lMrxop1qaDc64
nBOtZCZxf2CCE2CBmHiuXPPQJfNtSseyybvVyjfZqjUD+dQ+I3J/yJSy5C4FuXFUVCe50T4/hVUX
vo1J7M4SPIQFHRIaXJRPGTfegE7ZiHOceH2VNaRO37SHYqtIUDfKLJLjcBvPcb3HQh/HeVqt7GIi
fXkL/RA0J3Opn2jfqYM1jhyksvGbDvjTjP79aR3aNTkMKlwyObTi64IXcignZswO5enyMOk04pkO
BzDJtZgyv7T2GKe1Ogyoj0km2Jg+pd2UfgqcCh6l5v0nu9r1q8EALyzr6VUIwcPBx05RDG6YHlD3
elk0d/bs6bH+uPp9dwgawqEYA8x9XS5+iL3MYUXyZZUAp4rq+AIJzzxXYycPdWT0EzRnAe7f0hPx
u2Av42B8BV443KZdqS/I0qQPbavXSzHKYecYlly052113YX+dNImnG+7ketHnSTh56C2WBzosNjr
cGkxeYC13ZBgMpdOs/lYzS7ogScl3YHHbVigbYfyE3BMelw9zc+cl/pupUn5lADSeR3WZHrEhi8u
MNnY1Uq8CdqquNo3KY/OYN5JkE9t2hTJunQBxrvu9qvw+tsa1MCtcL0acihW/L2e5fCqJhMKNP3r
etZpaC4hoKqBWrT9owjWtMWa3bpdwOrkgoCLzK1aw5vEigCMgfa+eJxCG3deonCt0nxpHWrwghlA
7cm5jgLLpp2P3ItmyppU8fPsKXEL9Ke59sKle24m/YafEQCgK/I8tqhgpGHy2qUSstBIkeqU9op+
NB43c96Us38FCZJ5qqi1w6GkTRDmaUnYZch7nexTv+3SU1smqgC/HK6ZBQ9fJOnaskyuU2qzNuDd
de9Bh3C5eAPDu479edLnIbUgoIjTZD524dDeBC707liXViqPnS77XZkqfS9FZdsdqOilvGyruq8K
T3cRlJqcE+/A7Diu90vSaVMettLDL9LB4YTMGm+tn0V9qoEV6CYnDJVLHrWG2yugOHLMA0PE48zW
fsl7v4nPkBFyUswEJeLlBIBgeo4qdKUa64hWUxSjcBId5E4XdorZKaLO7+TjGiyc2mxxg5+aE8Vi
5x+TEEzFYWiWThelHSPzkHqillAGiSbVmfa4aOrcC1P3UAVQ82S0DJu7fiHeepjRAMvcZwP1z3Mq
XZdTDX7hijVYTgsI99aiB+J2knSqchwnWJ8mb3GjvGkWL07XAK+/811bAD9q6009pmjU3kxTKJOp
WGIZNxTA/9hjPiSgXXNDFtruQmKa8lyXYI2ztgP8nK+TG7osaBcQUszI+qKrwqjfiTmar+oK8G0h
XeUuAhGSpIgTv2SA6qQmx1poBZrURGzJ6AxWPp7odO1FqWN5K3k4ZiysA0CEwBKfifL0F5uiNAm0
Wuih7zkJdsKW1NAcJVzp9Tk0A5DIzRkr4/vFC3uGwswkS9XkWEkn/IXe9yok8GARGpJ4V6pGZZEY
iEt3dcsIK3eKuj6KrohnY/MEkrnlF3JIwjdh7cd1LcWTKNVHkapIZmgT2ocZmpMdT7g++Ng8fCwS
sQYtx9bLZqHNtQ4qs7elTnM1qFVlDPJRlbVt1D7orokLreMlM0kVYn21U/t5Enzds74BvSgcvwLz
mfg5ceM8FCs2m/A2HcvggUHYpIvKAoPCeMCAyaDTm7+QXtV3aujGZDcyJs5j3/UPZhgnsTNOWH4E
mi1Y5rUuPba9HAraDc2+Hnj00NU+2aVT2V/WPPKuaO3CS6pApvZiBKmeoi0qKOU4Xskwc1gdpU0G
Q27TFn5qh3GnSNxfQ9c4T0elZ56l4+y7fKiFzMN4tCpLScuhbYVQ0xzHGA+3WwC+P6wc589x8PHD
QYL3KzQm5ZytS62vsctj86/iuikqifoCt8DvsetUe8PSODedKp9lJchHIIJuDzFReuj9tN0zxeSt
J32d2zYuX/yufWokFGoCjdueUS5f+5lOfRYFff8a+FyfDA24y7h2MskrgLYnrigeWvhA3itnczTh
wY1EW3KyM6k+12XAPtZckJeaBPPZglEuIjX0xwBQ9jNIAVpva5pTWSD94SrmPEDdisVxG4Th57De
mvSla7dd29HxU28Tr9o1cQWCFiB3Hx+7qKv6fNSVm8CBrT1ATDZLkgcN1pEs9ioZXTVqpJ/Kspzq
jDa4h0w2rEzyGr83ByyHMVEuKjq2saGsQAtvG41aqxanVvXTB4WurcxrFQT+R2y8s85SL5nthTfV
cTEp6V1UQ0SfNj3Dnqy2Nlm1eOomipz8ZGyisD2g89z3hkOl1fMoOINS1Jdqgdgl0wIlzdmNRn2q
6eSqfAT8abPKNu7zNC2YK5iU6NOMArr6xYJNsxmYQrvrpA1OAM8FpFyVW1HMQ876FSfWWb5vWTld
hgv6t8xDOTIVDR+8aOcNLbTI/mqj52lsmlemrMvrMRiLxvcG/9rMjDyA9UtSqJVQw2XxNJfNYUZR
dcLq1807N5SlRCmXovSEusTrr4NyJl5u+KYQXFo/UjutLJwPUMpgEOVh2ZYyrO1e2BgUT1vnskaR
pndbG2tzvgwVRU0ddHx96UbT1Te0J/NYoKvgNZa0NO5XlWtiRLMcPJ/KLryJTcCTrCZDFbw1kLN6
XW69xEm+B5FXO/+qLvu4T3N02y5UmVnLdjQ5w4YbLUUJXi1pMgOVebgUnV14W18uCQekk48GDZi6
bSxQqyBzkJ+nZq+NGqoXIeqwF8WMqQJ6By6hoNOZdUMfT3uBWq07mtJ47R/jMDob7UrostpuFw3g
AB+4T8EJHRQEXFNX6CX0fHkrjarxHUIPMi4jobAGN2Ehv8fjf229lPl4j6PsliJVpYteIh3R8uE7
iOypjQiZmnSDbCnhTl3CdLlJCqBj2PgZzMOVfREh9118gN57xXwbyJhWr0bNpVdmXQIAzkNny+Uc
Y4vAcjw9mxKAQnKeUFC6a1+m/hLmRoxmqA8rWDd8LWx5spefgsR0ti2iZjJLdxkYPN6aVT3UH2MO
MU7Q8odgilQV72IIaKvg5BszLD30UdWEGge9gxj2SiUS67E39UUNddQVhcgMpbtKsWIuaYUiKgkP
1cTaZVFAhy0Q3iqH1Ms0c7gTnQurZqdmKIFSYAddn5xXlH7JjntNzMHOWZ4qk5FwSMMdW9YgPICP
bJ9VYponD6qfKaM9THFZaDB3dlDBtF/8rkaVBVV+qetdH49pWVgN/YzLVjqAFF1js3xT/5/SSthb
gLj2Avh0de59HuQ1jc2VJMvS7lTQQkRmUxDUymseZOpmdhxQwrEs6NQSZq6b6+6gJx/qSpeouYNp
yNZf1OrzGktr2PIsxj5qiilYl/ux8maHAsFrdqhA0SFyqaLooONwagveJu6Tt3K3qIyIeSD3SV3V
UTHjTMzPGondOhulRWvQrZ5FN6IlKXcoJ/R4Ycqotl+E5zbEBRU17fK1LsUe/jHLvX1rSALREB3S
Lud+2Pe7cPHHCzL27LWxTQjAknEq+hyAYhWhQ2XLeN0msW8K6kdmeoEkA3KOTCuo/3JoTQaLAolQ
6J0Abl0LdN5tFg6ow68ciECXzUHNdqyOm5Mnxh4SexPB9AHNn2ohKaGLGYuki1JQZd5UHuCnwIdh
TnhZAM3fxaCaQeYGgNmnFUIKjA2e3hnP7/Gcq9rHRLnbBR+7CFOepDsJzcdXD6IqgIdSibOHZXj8
iOZyLu+YbPVWdQW0ukAFE590yKLqE5bIYDkENpT3/RzwK8g3xRehCd58Mq8OMjpugIysa+UyVfnz
U+IiczvrpsQjwF4H1pq1PVZT1sJEUUfpPQF8yIpU9vORALSoihmanQ9zEMLfGNVjeNGFUkI2qaOH
gYt+P9HOf4n1SLKUQR9Z6maFc2Bclwy+rOUaXk9aFdSMFmazpoNwP61sao8i1lDNjd0Kmargs8Pt
ps0m2UA3nKuOLXQP5gr8L45wrsZC2MBi6fXgw6iySTHIHgMxDigKumW8CowyZ0GJTQo/EortIdBQ
j7NjE9TQU4enhEqBfQx1mYisRQF+M3hbxTsmYdJlqKmXKotrnkImUw9VWWBDl1CEAS65XVsgANka
KxXvagvhXxH4bbVbB4efERFkfpCztKqwgfpjHstuR/no8nmKlleG1cJeuqnTqmgGm9yPkZ4MLhdF
AxqCCihQS/uroOH0MimbmkG+xJc204Snl55X0k9LU9Un56nxFhpCmUObRt/g1jEd+A+WLnkVjVLn
bA6rpTDzIses0cnEd6askgbrrw6aS0noEu2neI6ePV4qdw3kqg4ABvTtkjWqJa9VCiVG1kIgct1D
+eLv2BwtaApSCrfFwP2o3bVElo915PScY99EVYf6vCgDPSTbe4tv5mAGDB3Qnl8nTRu8DFB/iMya
5jUY2/5FT32fISED2COUnhBwCYsh3+hX4c2+QG3lvNxD5XGlDWxHI3CXj50w3lFLTOpCVzW7mczU
n6ZogAdFs/oMXIBdeNxPnoEYVwzDQMSfFF2DnQv98d7qhR5rHL9Lc2mTeavW/BaSng4QDxvH5GIM
yi4u1tRD4dRWqTt0EbXNPVy8VaEBbhUaQz3MhyAyO5Qv5LJb+hKaxZm8lHxxLymfSKZG48PSGdW7
Nmn4H5A7+0UYhdNTgnL/QEJOPvVQxr/4+JEo8xxeHKwIL/ACJVcO4oODshNmXWLeIJyebpXxF54l
U+8TzIP1NhVejYqGhO0B+4Hu0GaMQZEwiGbw0+d5oPqDBNhRJA6NygCv85q5kvTPXtKED7IMwjYP
geofleoIKDooQOsg+LwYoP96VyvgQfoTNqi6tQW4ebirXtDR9q261+HYh9HNJMsBq/yI81GhmdID
fNkQL7hFtgO4BhCh/U24QOKzHGYKDwktgt53U3n0TdnK9QiB+TI98crN0eeoC/v6QvZJO4U5D7U/
eUVio3DWWLxqqGzAtUG3IVNSxX4BQSBZUTYm/lLluo61745mcUAxs5i6aB+G3Zx8jLtuwqIyqLpx
DdaxqPSjAnUe9BOFt8RCQGgTQvsFmTTKeKi9Fni0MWkgrw8jSFRL1X/1B29hYwGiFQLC3ajmpS7B
pFaihopJCb6J2zEGB9AgQorVH+5skExoYarAxVo/98nMrSxAECfo+2Blqpy8lrIfTV+MM2L3yM5X
gRmHT6ZeLVky/BZVLfnchyjJslWVWBkuOOybMs2BWG9PEsbCT5tDKZxlwwfjiZVGWcWTGn8GjT6L
3aU3jWiYL+Uy8ibOnZ8mzO5/Tc/9yC6DNUTiQgzvLLKBQdKBk/mRm6uiBdYkUbEvda82b1P7XfjR
1mmDD+71oKV+Q1T+yMlvV4SNG2Tl5h0G5btFDPxdlgBwLpl8+CW+tt+vaL+raoKo06DmR1aGBiI4
6zsPlo9KghT8/sh/5ifcfmcev+cAfO4VnDWinN796//Gqclbqsf4v7af+utvfQtL+J9/e+xb/P+X
fwWHi+h+7P+Y3v+tH34vrv7n3W0ZCj/8y09xDv8hsOH+62ia6T/84Q9pDj+kjPyQ5gAjBcQDf2kB
fspzeH9Syrcoh+8/9GeYQ4KjIpDYwBAEsGmHopj+d5iDlyKPFfqWNNo8yGDVY2hx/kxzCJP/Qr0G
i/rmkEfIx0ZNg7XdAh22CEScU4pzfUOChgqr2r8JdCA/jq0Ip9ETWOJhqNvykEC940J/H1uD89w0
NCPWcRVidcmtaAFoaRjVD7z0u7iFHXJp+7OsiTc/Va4Lj04tpUKlCqjojVW2o6RYfLCjDlB9vC5g
nZB3IC8FhdcWrEiHtRrIjR4Pf3vTf47Jv2dRbHf2N44cB4fjhuGkZ35Co4i+v/NkNHMDx4G+DITv
7kkJ52g0y/QMmNa/nr0F3NyvLwgT0k+XhAaMMJzxu2UX/CRO8ODDVxtbexnH6bmfmCexBsI7DfUj
uiQI0QZvuCDaV6/pPACAzU1o4UhLY4M2PxLYgo6cVV6VrZbhrXQxN+uBTrG7TboK4o2+M+4W2xN5
bCiZ1kPIu/5SjgQdOCLOVgv1N9dxNmjQGtCzowHfixll56UXW3ffgL4uKFkRKABT2wjGA+hLlgIg
AbnPuGwLGDsIKNIYJpY8xhcZ8nYajdnz0VuulriijxrUAMQ5UGGCRGmrA9rfVO/WSZFrnUDQkjNR
LQIq7HQWO7LduQ/UVhdDKegjIV6F3pKNeDZon4dXr1zcrYhn3Iaj8A/sgoiqV2rnes3hxBnKG1e2
uKN0iYIjypzSPekhKsHfD2iVH8EUkvGSQgtOr9d6Zh7Mu0usXqAj78rTpEeMPzE2KySfQFPuUQnQ
Ry9oqPsAEYDzPgZ0wy6q0eF+4Ldz/REdCvTTFqzAmvPYw6UbZfGnytS4Oyo3sYdbB99m6Pplecst
ARsAoKItixAtTwVApIve5Cz4s1ni9NnC8y6ydCa6hcg4vitj6LdzfxzwkqolxFdA4zchYQKMkLoI
V8i3d3iPgckjgN4VTMbNMBcumob1YVl7fFZLI0ouBTzl5QnMCn1k28tJh6rG90NlcZliZyZF1Uwe
y1dr56tSzOudB/AZtOH/oNEDvCjTDmwqJmGTAh7LYCaZGUp42uzgTxJFEw0EXf0/otNrZPo3Iafo
6htC7VlGrmermtsgqMUbRWF9ASdpCFQRPfdbJ2r7AZpAmJrIiiEL8Mbd2tlOSV7KGW+8bXi9nKiL
I7eLepY+QyQ8Tne0Wr24iCzDsLGoXqscrqFY3/iTi4L9GAmva/LWQI0PbjqEPSEoJEYk/TxvbE9W
BSqc/1jkYtQr/rGVfyg3u/uq9ckjIP6m2jDe6G2kkI3kZZ+SR7gx8Hma2hvizOMzvm09r027W1mv
XvFmMLkYvCnrAdkEM1SmPlqMl5FH7j7BEq933sqwOsJrCetM3figlulaKpR+o74QVvbgKDl1t2EQ
DVsnu7hz0Bm8etYbXCVGvbVmBLMt3Tkn8V5YCvwFKIbuL7uypvoRDannPXuGrcN5otrTt4tLcSfN
EmD5hZBtSZ+qEIzfPaorOEZbT4PZBgR2XG2IBWJF0Y8ufkIlhuoH6gPEvgi8COXD7sibpHGoETlm
jxpQ2+TfBnLtPHy43kPfUcR2mxRQ2eO3gCfGGor6lD5WxgOzh+qkjF9gdzT0RvIUC0UiSN1/Zmhy
rss4kQJqiBbXRHku3QXjQsuPQC9mAS7CiOkLkMCp/qCxQpAyd3yN9E3fdl2cAOX3eLpjjfD0jtYE
vwkCP3mCmA3ffGogmZfTGrgPieFD/TVigK8gaV6Ap+5a31J602L/WYeMGiniIyxrCUhsaHV9/whB
8KohyWZrDQm88D+iZxizqhLJdYdzOV4ia3jerwSKZOHmnLS9eVogDN/V01gWGBgbRybKYwCOswg4
B5bdVnbOSECWqChZG114qGjncx9K9C4fBMqxcR+qKO5khmqLd1hkevQaif88RormQet/9KDfy6au
qWH06KasKmcHlrOm4lMzcvbViQDJE2BPbyAOPZtZD8uubrS7i3smPoLc7HYtNimQYGNwnwy8+0iA
3e6BOAgOK2QLCGliGo3SAhGAQjxIRte6uUI0SPNE5ciy1B+n/epNLvOsc3kH7Gdn21ndIK2hPcM/
Z3ZmZs0dlnX1UaamfLBhczsz38mDBjq2R5KGA4UNdhvxLNWDGOPmaW7DUUAA0nXnFBtY0dTDemq8
tIbRIawyC7ssGnHGsOzZoH/EpqNeOqQ+lYVcx26fVH7/oYxBchFsPWmWxJHp8i2v4VrFLsg2BrQQ
nI1/ILFFF6Azwgu6SrGfG0qvIzEy8NfwDC2ZW1AOFKOm9nJAm31ImmFpcglb0ZGVDi7OiNxJ3qsD
snhMAe+aepG1VrDywih07BZO7G5pmbkeppA/ANOND1DbIqoGNCWcvd6a7Jcljq89uG4usWAvF37X
wfnobbQ5jHe7ZdSoyCk0DoNZ5AXilOJHeBXWL77fyMsUHMqlhhG2KX5dofxUzG0aTfwP9l+IB9P3
rQla1CCRUAqc3KT0BdJ9kMw1B9iEQg82Q+nbHmbWRl/8+qrvJJsoxOCbQJIQAoWQMRa+z5sKIT8E
XB+lp6HBKlqFFRYGNVHUGL++zo+NF0pVXCeGMhTlMoUy8r2924InMGMqICaB2R9rqq+xZnfwyETw
vojfFHv/dDHmQ/bKUCAjqfpdl0cwhz2BIvCUwE656/syPI5ljOyYCukLv36unwtZBCIleG/o7aBW
fh/xMoiUKc/58SmACem6Myi9I2B++QjE43JkffKbUfIP1yPoQwiGyRaUnryTK5MEASFd00an1ZX8
+fsW1JU+dowI6uG5GKsFr/fXz7i9rh+LdTxcgkMPKXIRgp+K9QX6L1hNp/Ck4w7VFfPAVqMs4diB
O0exB4YAcIPcay3+2fckto9f38DPgxRny8JAkYBi2tK/3j10D2mF7yAePBlT6Yt59oKjI3OPsxD+
6v7+oSf5x6swxGXiUPAICUTvRg0Ay7nj1RifxASlzoJY4gNL4HL891dBQwlLCo4mwMR7d5V4CugQ
geY8pWD/ihixYTl16v9imERpGPiwviCgg70fJjVEwVAY9tGJgsk+VLrEoLALnFe7BRjfNRzadv1N
S/fz+oU1fZvlKS6Mf3r3YF1lYThu4vCEvMD4hZhEnFYfyYKZafp010EoSbN4XDFEfv1Cf57sMHwg
z4bgaVMkVrwbHCmdK39VET3VBrOb91gnpxiY+Srj5DdegX94RAwOiCGgCEGk1vvFkjWzxqVaCrlh
2UK1RPrLdZzUaxNiwNRbB+e2UfPvnw+CeiTPbZlY0XsjjfXhNi6RFXhq4kFfdG0YHBs/KQ9odH47
07+p5n+c6inQCZhHwu0E2p9nWpnoxMd6clr1mCYZDPnRnEXMb+6RGgAkXTZlh8QqlMluRl03o9Ya
r+1gHTQJ3hiiueijt0bQ8QsCEwJUnWvXlLdJHavmN6/l54Vwi4CD0B4r0pbUuM3mv3mduiqawf1z
jHAwxEFeIebnVTpwvJmVIYaaTFHW//pLkJ9XiBRQHupKhLbD1vXemyIa4CWIJsMQTzzUug4KZ5VN
zk1fEk2wZZaKb+Md6SHXg2mGV2ujlYCLTd39MNKhOQzCrMhagrL4APNgUxa/vsF/eidYKTFWyHYO
N303FaD3LVebYNZDOImi24/kRyK84ARPZldlM8xAv/kIP829GCmVmA2AcjBEw/cXHKpxK/qX9WRD
DomoL8WmP+owTJ1CN/7rp/uniwE3go8eSXbYDt49HZTRKYyk6XJywrlb2dXp2UfeCxIjkANZ/eZi
P31qPFkCjSXxg23Hi+iPw6utPaJG7i+nmCMKBOXrhJGFiYgu8ddP9S5KCZVRjOVyKx4iPBwg+XcD
uQnKysHjMKOC0OV466OHM7mXjFP9xL1+HS+VtEBCQhEm5xL2CoeOhAU6G5ptG+wHd19WNXACb0az
lI9kVa8r0/rCR3zUawrUK9hDA7y150ON5hgKvuV26vq0b//tQgwXDso7AKYpsmx+KoWqbknUplA8
0XWBD6EzCOGaESYi/OVfV124FMZACHMEID0wJj9+nUlAvW5dqU8acULHBGlIUKb1Q7rzoJO7DDv3
W/xw273+tjCG2NYQS4ipz2Bq9H/6St3aBmTQUXiKBxd+3aKFwFXz9PkbIAInK1CdYW2ip945+ptJ
hhSg9xfH9AJtEeDKFL647TCJv691YcOnKpwreSIESNJa+DKJ6/GwxKsJaD47nnyKSV2Hhe1HMl6n
oscMDHCywgWdlo5nlMrl3jctUMS13vCaQbOtscC5zCuYfYwjjXAteTD4/bcgM70Ov2muoovvok9S
J0F/Byk30sS24dV42AwOy6SJOoGTBPtN49HdRpAjmxxiIuB+NYAjnlWDFaxIxIwcDUQw1rrwSd3e
gUGS1zqevAO0JfHtd9Voz7p6SzkB3fddOgpY2u/ykUUmRU6FVuepDhnJ36tI56QiCIdoIigCDCmh
ocjMUEUTsG/fzv1bsMqux5whyD7KjSIN+QI6vgYoDu9RkKdObWDoIury1i5IANwxb1j7Y9wDojyk
Gi6GixjJC1CvDSv+dB3Yn8WnhaTH7dNmq2sGhblWIl9z+QNoOSKCayI0GvdFu7Q+isRz91CktiUY
b+h6z7UY7HQHNRg+CAXtr3fIo1H1fb/62C+0geNhjyMS3T0MQ8lZxAgauGeKjF/c6OMp5kBG69cg
7kx4Bd/QBkXNDT6z8yv8IB49eoOIHaAkchZCSEipDM8Wb9MC0TDA5qp6QoJrrEB5FsBBgFxNmwnt
kLTwru5swPEbTVyC6F3hnTgObvMKux4BDJBOrti1UhjWAeGUTTDSm2620XS/xcGMRQ2NcHmLfrVH
vOXCZpV7yBQ5WqvhvSvMZJEiozo1FyA8MWBWgRHUdRaNBGVzxc6h5VBSIzBuy8ByxFbXvW6AaSXK
jOvBQQpDM1qlQBmF8Z1+JEi/bQ5JFWGAdWUS02uv0tgbvtUBwOwx+lYRA2oo4x64GUxMCLfkAEKS
AWhb7/5Ip5XfJqt1t98hOASs4WaQUkAeQ0mjt4qXJd+NZpzVxfdpFVOsLf42Z2YWyOStiypAb9AW
kEfiSFldAO0FNk+nEMu4jiOMImh60ZmVyMhG+ui4YeaBHM2npepnu3cVcPjv1AyBoBeaxa2QECFq
u6Rn4RtEChsSqwHPI5IF7Y8jPhD4b9sfgzpN35bArtg5gnpkRXwMqNp9nyBo9hJxp5imyOUG09As
IV5syG0IS0JKRXU3dgNuhPjATvaqoeN9t5LBfTRwt3kWQA/yzu6TPnXmKnINeYwl9ICwg/Bq+Zp4
YDJ2Eqaz8A4RCECBywW1cYD5B90N9mPQACWkEYArMFZCsDk1ZvAUsA8ozOtJZFCMbImaTWWh1EMc
6toCm/eaSJ4aPQKtXxqAknsgaGsCSEKG/NT6vgPUBoR8SgCQrcbK+fuO/6940v8XCvQHZvU/Ea7/
H/KkaGdQR/7VKP9EkyKxp9dvX/46y3KjSb//zJ8sKXT4/4VSHKe6RcEWLr8d2fo98t4jODEcXUu4
VQbo0iKGbfW/WVKCEw6wm6FzSdHaxBTl3p8saYAMfVT02OABTQEQ89N/w5J+i9f829YN3CJJttNk
tv0bdO37xtRvS+Uj/cu7hIhokOkecfvJYl60TcNOn6TfMviealSDpTywEeHa0TlImxYuzhZJ4GzK
on4JlThtcrY6uOo8lAmQx0MaJ3wJRVqjq/Fgajk5fqixFlXVORKzhYxrxX/l5gLZM7jWE1SM87CK
TJjWuPJMbAtBEvw6CfOyMvHmHOJ+KPtPcBVjH62DuakWKJW4/T/snddy3Fbata8ILuRwOEBnNpts
ZuoERZEiwkbGRrz67wFtjyXaI//+j13lcnlGIjsC+w1rPUt91otmoeTaEovBLcxP6v+1a0aDc3bj
sYu9qySR6wFFHvem3MVzGzB9xfaWdc0Mlt+hUVrQeGXtVr8Wff9eNX8Zk/NH5oOmqlRh//uq+U/2
8vXlj7DR5aL59Ud+lxaYROjRXpg2kAONsp9r8LeLxnV/oZDR+eJT9jHo+y4owrB+IU3UcpiEAfiw
6dH/uGiIedMRbSFHYErAKET7RxfNp4qT37LQLTQQvYuP/fOUKtUq3WwNU6ECVMzUT9Jp3nWe2d59
9578xcjtU0u3aCe4NI1FCsGEUf+cSDFrrDix5Ck7cBjaHVxGhIid6l7lA4zvv2lPPjXHy2PBukYv
AeCb7f/nIprPAgYYxc1u0krvSrWb/pLbFhbOmX1nZefJ34EXKM//9C46S4qDpXL3YxitLnX9dzOK
UbRsaZ0m3CVTE2KWq0t5xFYaYdrDKGchGRy8BxVWh75RO8SgCL2B7G9tnCDFtrYiFs19bw5+NzJV
+jj8vXKkDpi8Rv1agHXAgNZ6WxSr3naYGfTl9qQHMMGKA1LF/JwJUNyZ0sh7tv3FAQB2tSEkIDmF
k0xOZgTufWVERbydaoSESdSCGZVtftahTH3Dpj0/xMJsHpwqulS7KVmzVCqooaGKzrohLhkI2MuS
2OjOetvl77Mxl1ezMaT3upqkfqGG2caq4wKJZ94HXVkMO7UM4XbPtb51exW+BqDfNcqBys+k0V44
mixPrPkBbyHqe1EZLuwyezEZNcqwYw3kRL45eqGNqEwvX1v0AEd7zkcMq3Pc+Wo9oIRtXHOjtnrz
TFfsDWJFm+i0SJmnIRraZ9YT1tQe46JKN07hoLgeQr7ngRqTU8DeMi++do3DKAmG42PqCf3GQ7cW
B4Paem+pC5TUB17mYD7Wp5KdZJqMm6Z30XuCi4m/ijhzrQC/bHalZhhSAjz+5dEBfHox4Tt4cKcZ
5HSYNNiWFvtwOmP4NTHOXIERu4nHRA3CkWaNPsZet5raPAPg7TflqMqN29uK5Y/QW9+aPI+3cRG/
Tk1arSKmwBeR5+KqR0AS5+uWNydmgXRZZ/n8SJCCcmYANB/VGdiW346awHPVq8pKJGmo+koJVYpj
bx/S94LNKNq1MSXiyDine2M5KL8KbUqz9RzNdrFWZOIdeAtamKH2ay2zYMCocyoy+gvSXd5UYxzQ
z5oX4bKhFCK691pUoXXICFCpXE5FnF7IYYcCtJ+pBkBMWdxX8iJVGhMviIyAzqhu+sKoN+QvO1+M
sDNWLJAm/LJ2fROyMjzajEqscRg0n8Pf5KvN1TOidiV9wwSQoPXfxhzNidUo8hJk8/xVEkAT8Mla
Xyvc1VfIg4HazFLe1JZUAmgFNwDMknVnzU9K1xgntAH6Wp/m9qQ487wePHu4LQqvCyLN6zdTbp6L
IX90jLDUd4nApGT6Etff9FrYCSiDsO8QS9od6InMZzCip/6MPYAOKRfWGl4Cy90pq+356A7ZNO4z
ZltTTuFfq6ofKsgjH0Q7AD1krUn3EfFGlPWqm/o2vTNBE0Yy88Guuf2AxkTGa09rUYVYGJGwZYbA
a6jCVdv3pFsU26GH6PE0KiYQWIhIOv4rd2hVdCjK5G7atE1qE+SkhAiIpCK66YW14GKrpI9ODJ07
oHUALAbUQKzVDL9C/xFfeKHSY/kGBmg96xWuXqg5RajE64GmV39IQc5Zmxoig/PmjFiX/FjCMz2I
iYiL5lbkEEiQE3uteFasStx6PYqlRi24DZe5Y+16VWYPTjgpC4NNDyd/6GzjAEqlVP1h7ofOt5TY
21rSwJulh/VRG0drp+eK6iD5n9CO5zOiET0umUm29fJ/O6Ed3k5TN7zaeoGvqdCKaoOT09iXGRwM
vzMxAYkuM/dVqxYHJL7eWubdXAQ5ZRgXu8vOqTZN2jsHTc1Gs9tyRfWH+6jyZFC0qstKfmI1oISh
9+VjSVBLpbidW0DOvlUoHZL6fsjPo2FW30wGuUeeSBJtBLg7XGoesx2Illm8bgCg7/Hue1eZldgv
GeucGC5sD069dfKzMggH3z+0zCJgzMefWYrM3/FUZw8GApzrTKDmw8idl7dRHqPqaKm9NW4ewu64
bn/bXf9bBf5NFeiiwPyu4vlT77T6lr0ML82373Wpv/7Mb2WgQ0FHS0LxQ7FFPbfISH8rA/kjhxUD
1u7/9ke/tU6G9wvuZLopjzgXB6sIw+nfWydqRwjiFjNyJstL6fZPqkDyVz5XMHRvFKgoJ6lW2Th/
GrSKtI9TDbjoboIb+yRTxImI5A2uPsZZZTA6TS43VT1dZ6U+L1b7PqCA9ahB1GqTkqnDbc+Ytacw
6bDiFIWwifxQh2+jtBepfJwGbgiSOovkdcFOBeRn9uVD72B0SQXQ1WPKaahIIEePlos3MdmFiGdu
UwLCjixe5lOWWpL0j06dd07dhujw8RQd0GQzbyrxzwJLBPyx+DMp1ZoLSB2pb+cwW5TRSrcDT45x
DGj1vTMn4b6kWLopvIhdd5t8SZ1aeUqyXLmL6sLGQjUW247pyZq0A26DVANXOH3cVT62596N3tjr
8iIxYfngxs+mPomN5wnmGZYBYg1Y3FaNxHuF+3oAi40fr1BnIDFVgsi+ltWmnnn0uNfPtjECm3Tk
pQT54He6fk40944z5RIXTeHHY3FLK6kdx4F6JBNF7+ucQPwrP5ZTfjTd6inMsYnMmhy540ZfPBub
dV0y2DGMs5jEl9rqU5Rt5e2IIuZZgNVdVUYcrwSjtg2WjT5IkiLgK3g3GuE6dHDVY4lZngLUJ4tf
jULW2Dqzo14ZQlE2shfcaloveyDnzXzQRgN0RpHBlI9CA08Yd0Z8DcwMVZybc3XNJmTGIaAcJEKw
l9LUmjvuoT1+GvyhgVFlayg1GEQHaxe6s+u7qCyvcDc0T6Zw7+w2KWGhUPFq7QR8JMTPNrN1Z/hm
u4AW3PtsrhREZsZwjzmT3h2Gv4P+dSluvbB7VdS6KQKnVo2zpBA75UkdA07Q49FFM13Pa/act4ai
oXpF6xOv9NK4aTPpbVg4UTMbsQ3vyNb8NOkTJntKj6t7rD3kVUbFwLfSwI8kE+4U6Eu+pHIrT7o2
dhcR1F8A+41i3TtM9C/M3Fa/mLzwVUtJHuRJiq/M4r0sN5rbAAEyxkm9GCaKlH3JQs+3rFRO76B8
ZmXrNsAG3ifPGS4zvcHFEhWmWGdOYjS+lkVBlafa7cft698b/d/c6JdkCu6y/7vf/2/u9h8jgt9+
5vc7vUZXbyzrUsZemACWg+P3O71BhDsEQrpSgOWLvOePKRnnA2IUCJMOPST77j+mZKb+C9tv1mAo
2l0NC8I/Cof8vO9c4KSMyHiGPAhegk9bSFfrOwJOXFK/2Dz6eRyz/I+493z3nvxFv/95i4YziG0x
IjCXcGDeieXPv2uIw66vdaOEP9KlRaHhxUVj4I5h+aVgnXedM57fI4RnT0RGU/X888dePq8fVnjL
g+PVQK/F24ZO5dNLRACWjYZwPZKePNa4TtMOq37UeFxLFTc4ChFNQ/EFQ14kxgqvZ/JthP5drO3G
NqjzFh0zu/2t7N0sMHALHDpRxlct4RmEqmUhgOupqdZtFM2XXeuEN7mdDav/jxfB1tNDpqSyav0T
XLAxKzzPswekb9SxBZbzJldyc584wwSKW8XoDwvbWCs5t3BNRWA3eJ27IkJp4vmhRLi2C9QbJfY3
X+3nZOt58bzpXZHtR6K6aDIH7Y4MTLmZilmmeFP/qaAF9wWiPPapDLY4sO3PooGW6WbHbsjbIQEf
VihqyAthjbh1yvT95+/W55HPxyMxKkOMZLnWnySVFgaAvNJ4pB6byW6SNR+e7daHRhr1GU/t3ykU
Pl1EH68MhYjL3ANFIATIH7/eutZi01MyHi9KmjN3FDy2XeT9jQrp81SJV0U9hgydOClG2p/jpLyG
20U2KO6uQfq0RRD4XhleshOte/fzt+9j/Pbd5Hx5PfgVKNi48LAPfr4ppBFD+oHvIEpdLdvPTqvD
M+I7AyhgWE35kmOhxXaLVluKm6m33GNFutsKzlt4E3fFfEGpVp+bCTSIb/dW60NmYkrQa8a8ixap
a5kV0zbhu3nPoriYAmNWTQU3IcMsuG48yFjRzTMnTXYtO+bHwZ6T3c9f5K9igR9epYtUlFuDQz7X
osljpvrDTYmFHnL/ZtwNxDSRt4RHnLyQdq+QVLUpRYtszSjfx6xRVhY6bp8vb7rL8hSCjlbJDZZT
qDAiGRZNuLGq0Ug+akCvT5Y3mV8cFuGPVm2vQUTpt5qX14BIQG2xGgyzO10VsB/nhEyBHv8MNkF9
VVA4bEW00Qh0+cLtTOxsaVksPHWa4qQsLzhd4l1ehfraiOyE5A4806WVgNfWTW3bGqV714RWumfB
na8KrY5xk0bha8zBE+SIb/dmNfdXFXiVmrwexzzmLtKkPrStddUDErHNqgvszi7Jz9PgjoqmFFBM
iiCrCywFENOvCN+c3iZcsmw/YrmOhDS2Vmim+JbsmLJTVPaKsYl5tmJDvWN5y6Qkiil9tZhdvFC9
aQrITWBnPZSq4bObHZ8ctxArJ9ebneV52T6d0vE4Mwa7sjPhrqSbgP1HWj5cdbKovxYpLicET2sF
6FcQh+KbIhT3Es+JsjKjhJAXB6BgbvOsba1mB+7tx14B4hVW6CHAQkhiJhqF9qDYqlV6XN7PVZml
VYAuSPHbcmh9LTeerRhJuznG6j4STBtBY073SiYkq9NcnU8aiDHmO9Ce1irnSwAox9jCu3D3AOOM
lya02+uU96nYS7Xzghrk+Z0wQWZivG96HAT4Y4yXsm7KjYh1ZclNcFEusO+5BwHQAYIdBz6akRHG
WEa7Yeo2cWyc9TDv1tzb+r0EKuZP+ABdMhH0N6PhM29srTpPDZaB0IoDZejFqo+ybtWFovHjXLKX
VtUDIymGlpFpIpUbo9sijS7DyP6CmVjdEaKr3oTaDIWjsR/h07zoWD1WQ4NfX0mxTkkrZEDUNNrR
GbvhUFiCvJp+HoNcNSIUcDVwvJ7xneMpMbcoKGxaXgBdSktsvi7jatHCBYPnHD4rVTzxZFAQxrow
g1gAQPIbte75cvV4njiGxAbDh12s4JYmKwDD+rZpW+XCmsvyCD5LhapvTRi7WvXcJa3DZGdC8e7D
sKFBgxnCbarV6otp0sx9XIzZTiMfYefQdWxtZSpV4XtkuYhurdMB+AjiUQfIOMSEk4L26M3oKQ21
7m2R+TwZfTMcwNT1e9F70u+jyjw2WI22tRRhYIVqv+9AE10pE9nVXYYDC5ReimlmXyQezqCVVtug
B9QoJyVrHu/NXi02hqpjMBdRtTaz0gwwRcGqogXeanZdHAl4Q3sG9JFNJP8Tj5OoVsgG6oNX0eba
ZYd12WayW7eq2IRpP733Er79iSyZbBVWFAUzaa9+U4KAqvTcXSURJ4fGNBiWZFetEcro+ATRUzm2
1BngTWKlx+p0MUu1fZxJgbpC2KmepkStgQWHZEzD6i37b6D+h5WX0XtPadq8xkBCNnaZOA8x/B2C
qRztTlGpL/AWxFdCDFQnPSVfWQIvsCMv5dl95P117JjXqOjFTRaZ9VOaGmIlVGhxCQ6Xa+aD0zaD
arUfzFpsqsjrHqDoZnt0Pu3brMTqDhY7956GF1lXlF92VoaH2aPFnCajgpw0hwcHcNV2Gli7BbZh
iRU6+mrtNT2vXCTxFRDAYWWhp2IFMutriAfR1exUYevDquFndC9rH5HiWIggmBgOooM60/eSl6TY
YCGQN8xRIEVqrQ3y0a80bgzBjBhoi51i3kFWzgLP6TBAIA0PqtD2fOrI5tATh4tnJp7eqYH7hwQQ
ztrAXnlIJyz6PrWNvtVURqVhoVgXoHGVm4kHiFfgdygvQgdpCWNf68uAUJEdkx3LG6JE+S8RdTeN
qterhqCkJ5UdQYs5C9xgXW7blHGNT71oXFijupU1NwWt6YxTb9TmBkLtuM/h7AR9lsab0gjjxd56
p4WY1AcpCXQQg7V2EvW6CQv4iMBs+m1T9VO85e13xGtjunV8RMxR93ybLYmap+gmX+bADRtDB07p
MccB3jpOLV5aVzfj0whvIZ/3H8f7vw3r3zSsONN/Opn8DxmKRfvSfj+Z/PVnfl9Qe7+wJCVqHjm/
rS+zv//2q575i60Ra2zr0HiWwpo6+PfRpP0Ls0dvcRKxOf6hXzUMWllUrswRWfgSH+r+k9Ek9+sf
2zlCR/mHoACHcafFM12K8e96SfIPdbPSO3NvZS6gWovIgIZLaDsTOHrIotrasTIh7LschunNYvxz
tIQJTA3x9HBTlh0hGG2lvGROBsYM3chpJnhl0TklkW9XnDZRazqnOOvbm4lJ5l3eWqCWMfjs88jW
vpRVSLhS6qQHtvhrArbrr+xm0t2ouA0euXQYcdl31fxKTpyCPJ1Ti9We0G8ZLIoDzJYCIZqRbTuj
Zcgji8vS0pPAy0IwH2mOVq1vYYomOZqxXKH/1JXIOZANBZuYe+ZVWbnZtspcLPMt5lUIjqN+HpXO
A38t1EuNW/XlRPwN1XZp1BvGC9lWK/XoSfMS76Qp4lob7e4yxKkN36lcadjZ/aIGn8catTLejWmC
W4QgEOMoqvegyRsJQl4z2TrRXjKYBnHUZEm3tTK1egOyXFMPMMqtExR5aH/FfW2mNpG24AS2VT6m
O+jjZFSZA3BGZ9KoLfXusXSTEApOPJxlmcyv3jRMT5DHjHME93oHR7Q52UY6npmZkMIFdGkDFrK7
UEe7/pob3bgCgOdsqj7rtw5u1pWGNNw3RZERJjegyxRm96Z4hp80Ft2FV13oBfUvkXTrjnBMKtES
q6EVXuaiyveo+vcAi8QKXgxr076pt3XdW+8cVECyUplgLDGHLZFy4V4nPP6aBO9Z33hKKg4x0BJl
jdi0u6jMKX2IpsR7dpajPk3sCnQj68MK/c+dF5rJ5cyk/ZJyBQ4dp0nySGJpe0w7Nbs1S7PagtLR
PX8gwXKH+M5JfbGMbefJSS6jyJw3k+OA4mSZ6tyQGK9B+5J4T5LW6BdouXrtNXxXykjaYZDOZvba
EXJxCm0720HpNi5sySo2r+zkuXOd5KkmffBURJV1Bvgz70Z8/ydV6Y0LfbCWRKMyuiK7rL1LZ8ML
gOdn+1zp9lURLkDNwnJPel3pz4Wn2Zc1usU9MYrVLk0zoGM5gMnNYHIcZtVwoceDydcRF4uiSnBO
kXyJO1elfgWTudar0HmpjeGbVY/5PpoqsLtTbu3LOjQ3jotFasI5/GCY4pVTvIoCJTL1Z7qGu7I3
5oe2pUiY1UI9l9hQC5hBJG+Rqwpi06MnPMW9ZmnBgHf9Bb5yeu1EglbMZGL3CoUm3hY9PxTNSXaP
lRXMgIHBA4dNfoEnmSADw0j24AHslUt8261jtBI4H4IKXwrtTpbFPtIH+1BCSCpIeQnYt+YFcVGp
OONcym6sMNvZ0yCxE8zFHjgRIB24BcCPPONZll6yd0jq2oBqrFdo0MB+FmN6wxrS/DaDPgwMdLXB
HENXTytLPBFvMN47RaWcKefKgA/UobzDhE77CVZRaUZ8tXZ9USNNSAPP21gyzbdhCwgZ7BE+lOzc
Iyx7wkYPFBDh+TlVI2NXaK7aBtmg9ieMfs2rISG/IQpYgQRwttAix3Wf0fKsYzT5T9KZ6ooQgjnD
W+JMJTFaEzVTW4ot/QgciGmynKDpR3uBAJFzFYXTmqlAS9lSdgylPK+/j+YJfVEmPGhiTQT7VWkT
wCNVo15EVV1dIl8ndVBTnlJdNK7PbM1YJ5nHjteu0Q40hR1k+LZZwKvYosB8lWqKkzwV5deMCLeL
sIy9swUsb9+21pj7AK3lOZEKrabDfgN024udOuOW2bp7rbZ2LhmbG+oJG43KbipnOMW0xV6DBvce
PE6N00wiwCMik+SYz/0Xb5b2jhNxDgCV9ac2MhO+SkN6bFN6T6T03jHvzOZapmF9mapDDa8syWDS
5hWibxzXmgfsctbjam21tfGIcF6n4edVNqFbbuIx1b/NTtRd4tGtXkyjXg4XesunOM+Se6lr1IgI
DryNkXrRFgAnQMUpQkuohfE1cv4lmQwuVB/V463a8dYXsTWvpkkyqBx19wJrK+jiMWOQaThoag2h
DaR3mBYoeBW7CO1Lty2Q3e6FN1f3WUf6glalazJ652vRGyYzgx7lzCTVGSigUpiQixGXs2s6aX2k
HzwtEl+Gms5jmSQx++G4TbjEL9pQr3ao38gYFnXjPQvbTlZ5MahPkGHCHXemeB9KfTXptnU9d6ny
WjFDP1SEvG/gBbdXWlJke8tUiMMzo/acTYN7Hw1uuNHUWr2N+wToZO+ECpxmxd4YsdOcmonJAZPd
V3XuuP13jZwxtY9mtB1RHK9mQnt8feksC1WH4Vg0yUjKWTkQQOxrRQe+PxeJekbM1nD2p2l011kU
In7agcoOCsOT5zqqs10JsAJsSuUIgeyjATvphG797sGV3vdZrFP3DsoxAVsN9ju/7vtC7KTVPcMe
ReFULghAF83QVyHtZwjeL2rYvTvZ/OyW402hQZMjbLPi8ep830AVXDd1cqfXUXWoYse56yuhP4h0
KF5ZR4yPTcgP9gXgmBc7wbUhDlXEq+jASLT4ELYZneRsX1JqgZuDwClUa53opTSBiibxcWQRDYdv
7NzrWtaT/dTa4XtHEpRLBPfAB4fiQUdX1s+0QqW6JS+0QnYOhwxkQa2UzxU3UGovr19pYyg2NfvI
/ICGvIElluorijxxoUVTccCO4jxbk1V/UcFPpNfhGGcXTmyxG2RAF4fbDA4Cige403BF/Uha6Rv6
11a5t+pwtBCSEQmOtA7C+r5mC7YqFHXaNl5ZbHqGhwhkBr8ZaYnJpWdYF5mPQLeGnZ1UZBAzFjnx
N0ccHQ7lJACXpDGPbHuRlKlKafkCrv0DdFllRy1yX8xxto5t3Tlwgii3MXAKoimY60WFNp16dDyn
hk/zMLOclnEyvCxRk4fGs5ktmUq31YpxAtK5lFvGrHfEAhvNRZLsRbghsYzM5TKUO+JJzEDUbrJt
kXwGU2ie8xmbBeOVaD+bBGiTMBEemlxPDlJlD6oxglJJ6jgizYKVTuLal86g8YSPyZy17hMYki0u
KRjS6ybJyvUQmtXIxpPBkAwr4PJ8zLtOrcCIZHq+tdRQfTc7kHdBJSoQ5T6bHe0NmbLtPrZqVzjt
a2c6tbDuwxpqrwySOkuwAPzbxBUykdPfNnEmw///vXT8D/6ssnj5sYdbfuS3Hu5Dfo9tmIBtSAjm
h+b1t52jpiFARn289E8f3R3t1e89nIPImJ9CqOIsfd/3ynztF/T9bNA439lAaf+ohSOZ/scWju2e
xfNaekF6ORMb5I8tXM44FL4T9BUtqZgD2eBSZZ4VLPvtUr0oq97V8yCtHTl3W0Facq4+kioEfVAU
Vd7e6bkpWRQs2D19nTWE+wwpyqyirtzbxOZot2XAojHRuqAaRjDryAFwpaLim3apMgwKsFx2r3m/
R3aStwwcZyiksrossinFAtcnzNQ8tyqOFlavA5rdXt1Tzk+XkxmGd6lR415S7CelLfvtUPbOEnJP
EL2VVsc0Z/KTpyOiK8sS+l1sJ9y5khhVnO/lw+LuaXqPurJmfpM1M5pgmxvxzQyq+oXrD7lZIdv+
MgGzCVUnlkhumr7Dr+exy6LDGvtsy9osY7fnldSmeVQ7Jw8lQRq03N62JNwwR8XkJbfc8vvOVzIl
C+LcFLsqbIZNOjfODMuh4BdDIQsZ3fZhf6VbYfEsh0m7Gey46Lclmp9V3LYIESPiDRBuRtPsU740
q9Sq+ydoQ9NDOJeOHVC+VSOOVMI2QStbvFCw2J3+FGZpTSw9DSg7HIysmujXNsWd5rdacxzKUlti
lkjNYmOMnzphtLS3kbk9eCkMJl0OiICS1KzlJm4bYq96vuorxSDF8FzbYq2jsMu3hsxCsGTWCIwq
lQ7JrmkKU64nbMfHSNqUK7WjDiI7IN8RcRqvSB7o3I0+DAPGibQMSIzro82kM6f3IcVXVqC12fDu
hIn6MhNeuREWV+Nm0e6usb9NLzn7dJq/Jre2XTlWtxo6kQthy+yJEtT2GQRTSVVKJDkmcYqs9Ma5
ImS4WXU6ljKyQUhWB5Sp8aXBONavoyirNxMYI6rrxrsarZqZcth0QQfv8xB74ej4pZGLWzszmJxZ
cYfWNlXKPSmb+l7mpCjZmMC+LMUJHWGqeV/DvNcow1vEOdtI1vpdSMO+H5rc2QDnd+iMirC9hef7
qg6Wsuond16FbgOtlysg2ZcOu2bifcbeCyLb1Y4stM2DiC33edGsb/s2tkPfarGjoFnR4cYhv2Rz
HtZ3JFc1p9pV56+ZzMMVCeLTA4qufBfO6D5xBape6lcKZS4WsPZqKsfiVFspfGJZMoHx9T5hmN6y
+NHisLy3o1r6g+IVe6JVokegh9igsfNkN4IZUADehwQhmW9lSe8FLs9EHWoKlfVT3QWTHA1vA0RE
RycGRC+8AOcEB96S1VWTh2h6bDX7Vmhi2iOnR9S2BED24+Qh5ZKvqZqYK8LOh8AiD2OXZp4XlKb+
Mg7TIwnTVgAi0RtXXq87jVjVBlF92eBXdVx19vXQEpTCwxIw3cFW/PdU/H85FS32fz87FYOXLHkH
65f8cDD++lO/H4ycfogQCP604cksI8z/Djc13YTsCV0AT86H9JIx6u+WNXxuGjtiYJvLtf1hzPld
d6n/Yhn8Qkgrvx6b/8h9o/EY30tVllBSTSfdmr07Rh99OdK/n23S/hG21MHOKgbDW/cDiGuu/XTR
/DpDf8YHMB3Ska5hrapCMkAw+3thtjQrrVfUj9+9e38h2tGWBfh3C/KPiFREMw7wXHUhPSzP9rtJ
K6roSnhx1zPoKbRTJBiU+p1TktQx9swu/H4wu2eHCznxm9zFKk2KMgdcOAP1CmDvFW8e+8QrfgfA
Lj3LtPvZUlwN/7oVftMmVHabnz/jD/jH52cMp2UBwyCQpbz49IwTMkdILJcnY+R6XNnjnN33iypp
w9CCWh6nt5auEpoy7O82zPNJqMY2R4WC/bov5RtdRasFiVJZKzKm0E3KPEa54DSWiNZRicmZ/c8h
bz2qcUhU3kMb1xcCteIIslKxLyHu9Pn256/qzx/Dwh5x+CDgP3F//TTwxsQXkYOVtadCAh4oIxfl
qimYHPjVgh5l4OzdVqGWPf38YT/JTWgXHLpwjEw630X+tTyt7z59Sx0js2qj4lS4s3bSRNydAMIG
CUD/h58/0id12McjsTYAsYLwZAEt/PhIFafqXHMwntxKNV/qAe/3NpTupPuiitesHjGgG+rklgEJ
e0P+d1+a5Uvx/ZeGV6mruqWjxYMARYH748OjjUsQYOCOWvqZF/Qd1ovAGpttrTlvEYFRTk0qH/12
APu5zJZL5xvRIO1+QOhxHG2jUQPMT8R2pQ7pPkZT6dhW3Gn6Vil9tVIV8sQCijUThYMBuuHX4wBb
cfSt/KvL9M8fFKoqbhvk/LKYYQPz4/NX7c4qLCtULrUuzF+SRrJZY9AvGckwzS+iAzAO8TVyPUIU
5zpmUWsSgsMEyXmXWFzKYMIvD1s97b8ljeG89RbThMPPP2IIZZ/fZbZCfIlYKyFr5+pcFOfffZ3s
hvFqQ67kJRVdFXooOxCgbcePM1pimmGXX6vnPp+szidHiAGiVlA4NtU2W456kdX5TYWVfvSdbIge
hzQv91Q40q8omO4JwHNXYV2E2M2WOoIYFGqKMG2L07AUGvVSckRYeFC2fVQieh/nO4uq7QY5xDVT
CANWROfUJ7zCd/KjnrGX0kZLJqCIjdnN8CkGNz1mSxlEfWsegGdqx/mjShoA6uYYqimeWANRRw1L
SaUtxdWcjq9VW8vbTlWovIZcOng56o5thK7foT4exDZ0FOo1ZnjhV++jikuKWvnSLaVdVbWw/1lZ
77Xay95wzttc90s5mHxUhv1SJCIYptxZCkcNCeFVDWl1bQ4NMImPCjOjFySJb4hcUNFLEZq3BuVo
5V0xK6dC1bRS7jhq9CEolhLWlU72NOZqfKE3XnVrETWz7bxU0amY8vnFtctmzQ4jRT8o3GijQMt/
ITNreCfbmPp5/qili4+6elxKbGMptqePurtZSnA8f/mu4K+SSr9U6NTmVOvpR+XuhAOGnY963lxK
e+Ojym+o9yNzqfyHpQlIPvqB9KM3MD76hNFwxqMNiDULz91Qyzz3iVmbiuYtDmNdn5/bQRmXVBCv
4VZevupTnkrk0p3suko9SSEJCyZ1pp635CLLkIDZBPdMqmfl7Qf0IZ0MzNkdn0EI6Uj1Rj4u1CCr
ImTzHmBbHOq1LYYITUomtfAqxoVFZKiYnAEfwJh58mi30uAbNYTMf4eg4yzc2EqchldMUw07CjBp
M3PSDNHmmyJLGs+Hpo/5fD0SO4a1CE0woP+QJoQU6YXVEXsdlNmBTSbWv5CqYMMkDxqxO1vcMQtU
NV2Qxw2MnB61fHvdJgok4zJK3Helg9+rrtRSl6Tqup17sqhYw0NhONKx0qAY23qedi2tWUMKXQQx
dR22PRAr7//YO4/tuJFsi/5KrzdHLZiAG7xJJpCO3oiiNMESJRHeRcB//dugqrolSi2+6nEPSqtk
mAaICETce84+Epnsbi6cEoCmQou0tU2SPbYupaZiL9M21bbcVvO91pQrBMtyYCDzn65dkXumEXOK
tPY9HF2/PFrS74owTzrndukxdO041sBRhnakcFq6CcfffSSHprrjYWydiCww813f8AnCuiugn0KM
XmgyZOgSL0qPYNxQY6pIIpeN/iQt2y5gj1pxH7igWzlivlCuqyWzlq8YTX26OnwAYChzmbRHgx3/
gYwAvCqkErdWACM1ChbUU8RdjLLxr7NozMTWSluIwGWTgRZAYyR2RhMRDeomICFDY06gyCSpATMm
90XCkYB/h3cU4yHDJ7ba7TSmpDkRRKZ9lARxzBpk1dwzL6Ewp3RPvEFo1v1cjGZ/6TQ+PdqKwIoL
jP08kmJ4KvyAv7LPdlGaGNUHJJogTtq5BBOsRntJz4wu7r5hTIBsguPxDAbvrif63AoVSko+PJHN
BH1bba62ZD6EqZG2H4pxZGcBymu4U7YzPjUysQ6DCzY79HJ08sg1Il7HLmr4N5UcjEtC5Sxxozob
BkpHdNhmfKGUdyBg6BiZZZYeJNl89LNxYJhXqeb6D5XeroMzy1q1dwuFnXOaBaQTvV2LIyC3+WA1
YarGGU8w/4EWHqO7ZJWUAVh+cOAUMiPzOpPE5d6aXuXDthfZ2F90U7duPuliXtu55kxhTUtlPNb1
AmJ5MhFPk/i6QpDK9aOPrE98LhJjLoVd8S36lkbcJslrICt+PjB1moJy+U0lXaa87NkVxPwda6rZ
VclVa4iZEBOrSXRuN9bH/qLUEpBIFNhb8v90/FvhjOx9XTSYTFu+EQsI6WfrPrmrygf8LoBKhzRF
Ck9OFOOCWMlPY7XCpSeJF9jqJmguMdvcjJpYlWd3Hk+Lvap0MHN+3H4Ad0ejPRFJap5qxHX9WYTr
cQhmiTiIDe5s7RuTy0ppuJ0/50VuX0+9Iq+pxeeTI6otY3UgB7F8niGXs4ZQxMXygmmHXps5J2qH
Pd5/r+lRuQMzHLfkX7LMzXJMblOEWGeEzWV2YJvSjFn2cCpsEET6DzLToNcXZsU0WbTI8o+iqo32
a8mCPJ88gyEVwoxijGQ2yWk7mJRDyENmbM/QIqE+AiDTDTxprUFn693Co/bJB9dmtumou+BPfUGW
igi1BBI2EIdr8lJTaawpx2PsxMeG20IrjCSW3VKj1bqY4NTcZQN2cM9VB1GSVnJYRty421w3IAw1
Bc6bi8qZxLnWkcQVJm1VDmfxPDbJ1rNh09yzE1FfdJ++O82lVK3aJ4VW1B8Hr+UpMLd3aE+M9NGo
6SbB9GYHNr9rOkJSeTE6z1R3IGyftKgZnygL4RwqXOXQNfd144ZeRrTsZU8yS5gua7UvNbvMup7o
e9iXJRRFOGfNoDsXwkiIFp/Z3ahwJDCUFjUxBLjfF7dk7VCqCPFgTTIYClyh+8WDQYKSbYKINEcz
XV6q/U77/oVblCWUQZgOqf/AWC/VdeVTDdn1ZuNnO69cFbBT/8GkI+UZGLoH951NROcI9CjuBBnK
hTfctpECsT7HjOiwSS3uJgcHynep1cHacmWTWNfmREbtMZrWILl0mrT4IpcaIu8S0B6O6arsu4sC
AQzHSB8BtEo8vHPjBAZ8bgXzHmoz+GkRJe7Fy670vyKxN/oLJtoDjnP/vsFw+XX8x+mrVF/n73sM
f/7Yn7UU1/qDQxveVQr44HxeLEp/GZvsPyi7rEk76zJHiMq/Sik0EmCbgOSx18IC5oLvLaw+L6dT
djAptOgwSv/KgfnzFPQt3ebXpyLr5Xz63bEOIZoNMoVnAm0GF3Drq1qAidEPpZAtD4Q4pha0dKtj
nBIufUa4hn026bId7mJb4UbQqc8fMa12NwlHtnKfZwY2fYlQmzzr3GdzA4mA0HMspGZDqHUcI+a5
8Qel792cyOzYJxhvmbSRIomRWIFBwPP9ZFb2I7iFT4Uxb2Ne6n5Yo22ZFsuNkv593ZBGS4ZcLja1
U6A3hXaPtMrKcBGNPJM2XuYZt8qpLSLiOv3RR8RJAIKWmrcV6YYnJYcurEuPLOWGHxwdVwuxDU+X
JbLhwNAM4zZaTI3NvuY/c5DCP9/UK6NhKBd5RDtW4rWY8uaTNZA5sYzK3y5Cge9YL9QL1Bb96BP3
P6Vsq1b3vTHIo51LwtkpQficxsv+uOTsiFyr5weVPSqTEF/4cjhtfZ4cQ7a08bYqPP3R5fl74TRU
lG3TXw6lPi2HblTyOGg97254I3F1mTbvVNr5JErUFsdA6NM2lAzySzejwjsC/6BfyXmx9qHvLfvO
Q91SbpzeMs6lp9Dlrt2Ghzmnk4vyvTceKUtRnMonnVcrymS68ppCe16SEUGT1UbUtKfki1ao6bKh
LbZ/+Xys6vLIyJbEz/Pr0Sw6bkaF6GPrOm417nTZYwcGybCtvWbZpTUXWXlzhw5mAJngdql5TpEG
kh57XcTP56DjkuQQFUa+HDgESGuX2ORm7C3KfVhFI/aHlVbnp0XUx0EKPAZdNvS7Lo3Nx0ajWskO
c/b0PUMFGk9XMha8Jj9lyDrYo67qQaXsNFxFm3ekkRQPkkCVO+J+5lXjpc49BAqouAZvl1imdAIg
0RbS/T4+o3mbkLq2MtmIcznTGm6252Q5pt/OTrdDzZfMOKiE9mKqirawL6hpt/S2Hb9zNlPWLB+W
apz3noBHUxSm9Tw6FhKFCFJJzVkGWnkQm1mKITrTu+SSwgqv5fcFeZG1g+x+KyxiGckZkDXJ1V2c
q9uo9OeLdGHfYhFeE6BFR6cHp4egPmQee6PzjR2Rj9ZD0Xv5nnRODSWJkwDmn7q09Pa5oas7SqOP
dlf055j83lceMW9bdmNjgmRj0YhNIFihJNy62yrDcXapt0RbEmuaba/n1SmOsHoht/HkFSfK+ppN
c3mjNMvZjaSPXtupME59jC/FQHwRllgOD5QTu9BEeX5K0KoTUmmO1nYsbOvdhPdzY5czTmhygJio
E503gR+HExrwbBiOiCNWH2S4ai9gDEYZwEo6CHv0mOqit/zsavLQSlTaaF93dmyGQzKAAdFdOvHg
OwoYE57mi/MCBGG/Pjjdx2HR0gtOQfFKisnwrhKjM3Prl8bPgwoy3IhFuSZoeM7gSdK+1N1PC+lH
HiJUOVWHuC7bu9bHIROOA3mmfTJYKREh1fKOc54eLlmboBlvJKzvhow+B52B2br0Y9Ge1t3aSdO1
sCIeiO1S0QlsBStdpq9s0gBZKAwsEiPReI4zn41RU98k5Hu89/n+FoWRZcqOTVmvUXZLTCB2hAiO
DLyVczh6OTbVFb6IXpWqETEGNXBQDn3sQM3k3nFjfdli2sq3piyzs6HL8nk7SARRemY66cZykDuw
n5z2iR5DAZrLT+A3W2QRhCzWEc1UjOzafZ4XLP607JadP06ZxVsUXbNdvEVegxHNT5wovaAeWcxN
Z2BVUk4ffXhZWdq8i579qcxPRc0MJdzJ0L/NogYDwt3Ege1BjrgxHLJT9c1g1gOrxswTRtZOtZ9i
luemKkzBdBjNW8Ne3wiTxhRUpuKTFEO+XIw6yT4cl+iNXfK0ny+VzOs54LRDfhBiuwtJI/8bKP+/
26U3tks+iPnf7ZaoN3Uy/dz9o37+B0W+vnz6sQX17ef/2jYBOdThfUB2p5bPg5LN0V/bJvcP9mU0
RmBPf4N//HPfZHmgEQWAQt+i/YR7FsnEXy0o7w+EGRb0ZeDYxCTwV39j37QyRL6vhrNtYt8kYJrR
fbIca/3m39dpZ6NiCzNP+iGf1ub4Myyuq2mOjtla7BqrQ5nqJ7A2ITSFRyMHb0G2+XcX7xcFbf9V
qfjlI4A9htnGd8byvP79d6XiGtJd43k4d2uMPZeReJwpXashD6sSUJEJrqvDjuQ3cbUBkXzRsJHa
u6aowtH8IAZsiEmARBZ2GQ9WvO27zs83DVlY7dq2FjaJbE0WcERdzUyfBeLQtOZRXSWsbx8zvK7r
/8744wiifaeWep+WwLO0cLb9g6i7NaY3d85bfSC0ZtG7GomFVJYV6DlFWKt6mL2cg4xhHSZ0jyW2
OMh0Z3FPXTPNlhvRqZUd6W1ST7uA6uBtLBBoocrPkYfdgJ/ow4lwd1NDU+j4HwyLzUXM4ozxLYTr
QMnU2grHBU3kb/SElbkucLOXW+oht5OGOqUdiUNVZTh0zUdkbPo+Lfpr6kZk51ZPC2w5VsRt64zF
3ln4GNh6cBsRZV1OQmfn6yHL1sfPlYiDmOiW84qa0gap/7ZxFG/Gfie3ruI15f6/Z7H/T1fbxRPz
3fz4CSW0ravq6+cu/dx335/Fvv3YX2uKATKIOoHjmkzZdVH515piQYugF0q6A6TDb6Ch79raOORN
ZDB/GXP+WlOE/gdLDQwiSqQvOrG/1dYW66nuh0WFNiItRN0UFHfsnwMKqBBjK6rT4VBXscFegGT5
ZKk4C3Td4+zkT56OlaVZn110NP0tECu1maY5p1iUN1u98+49UAUnrejyi6kvzgf2m2iYHDrTkr2r
rlEtzjhbgKBBH8LjD8lXqQcoYy0Qq62/a3yNbbKDFZc+600DWzVAYFVtMuHlodGSQB8bvCfdEDa8
4MGgGbV6kOXqcSh8xL5pTf2lNreOnT05WqMHBeD0TY7hc4v+i+f1IB8JWmODYA/W5mXLXEbuA4HQ
t5jLnwbJ2zt281jUSBjiDtxd7XKsdMwbI0FsZlZ8H6eZupBT6aNjZP6mW2GDo8bXq6id4r+A1DNo
7lFK7whRqKMcz6UZaA/EXWltlix/NnNt2jgOl7L2pAr0lhctBi6BAMbHV+Ay6N6xTNmUUFVH66Lz
GYZGoOuPTArziVkfMojru7pALOu0Dn+bi5vR44S2/iRAZpYtv4ftZK6miZlL0BScFu3OWG7iurjx
8S6GhVrPE/Fin9kCkghSBpbUlg9kNUAC9CV+lyv6J5G7WgHq6nmuWkqSljRx0WJAHfOZLolfxJ+j
QjO4Dv49z6wufKEKETWB65s85h01YwylxMhtJZEf95EX5VAxcb40WrHsGojqh9Hj6lkU2ahYuUfP
0O5fBknaElMwi1YFjcs4oDh+Uw4co6Xu31PpGqj+80up2zdDyoeKs1wccYUAEObEFdRxOZ1cH7vs
QEEu0Dv+LbrJy1QZyIBqHh/uirdyIocWEYVJNrr0SAAiXDKen8HCozRHarkpxvQJOAz3fuF3WWRP
aOQB8I+dpxAz1vxMyVVSBgYY022WC0zv/lYq+fhyv8uYrPcBC8S2G/m+ccKQIeyQW9/ygOodrzjp
RvzMJGdUo9ulxszo9FyGSr3OBYRV87si4bdA+Z+stfTAzEM4D9Hgsudyocy7n+nKhCNJdRuXU8pp
9MrlImGvjaFVPbo5L+i43GGvZzB5zMaXi1E1TIpR4582eflUwjQNIwrQJ1jjNhmWDNoip+gyYxy6
JQe+2ZrINzd4jweafU2zW0rTDNnM6kEpBZdUp8wxxok685Q27WM0Eucc3VOK6Nh1c5dJiS3oPB0z
Duk9lQ8Lsh49liq/8EwmKgH3egBxjD4TrugQ7vkzhM70ZkhsAmfXAZIt2HSNfqWqoKrs0TFu6h7n
l15yu0Xi56c40dmXo1cPB2OdhjlShJd7q3GSJpOyOnfw6rOEMASqpvXpeHJtXkY5pthlVzfS32MR
yQmoK/wdcsciGDUgWS8DYB3hTPGbVCyws2aWMX9gfotlrZOst7nrYax3kmGEj7ALBzAbn5rU1g52
wlfFB40loDe0Q+RbrF52+oRIn1tg5M94nSyEo8weXWM2lxa1FbMyotNawzinAzhd2pO998bsSQM/
ARUBvFqUmytNihnRL7p2iG3maY0U8nymxbVzHQYZlbXqXFNUC5aK5cvNSkynLA60sKjwir2fFAr1
/MSLGZi/QQo7W7fTrYDuK3Z1kwrL6ABQezlETWR/Aoi1gdcUMYtiTDkqGrl1mpv7+6g3bxLYDPvF
gBlCQd0MGzEMWwCzlBkGPsLYG8wit6kPILD5xS2oyK1rk+mDynmZtDRQB3xj8NyMLrm2JUNC2uLG
JIZ070Sat7HRM/HYoR5BRGJDnzvl/tWFHtDHBTjniOmyd/NnX9hcmpkZ8HKtwT3hVy95yd7gvoqK
NrWYOhVons0SuJpp3EKLrjkC0gOtWyILova5dfnjss9CJn0DLoz1RGhFujOk/Ozpmh1WGu36unUf
yppWRK4l19rYX7pIcjfWSLzWnE6wLSlbFUaAvlAnfBOX/qaaNCCPS7F8zO2iHDYYzIUT+p6htM2y
yOzJhMIQsPf1IdXq5r0d50WgPFByF3SH+1M66txCS6cPvIliwvTCTEcRmdRpd00wgQPJGKMBtkup
JtTGc97pIWpJqUKsUQ3u+rbVTk3Uf9K6uv4Cc/mzIBySCoU15c9ea2kL0gJtWdSW5X88dBXwCzpI
k99spNZa2ybDJF5mYtCCmEcRB2cvuvA5YWs7coxGdYnmyXNRggpVHrp56bTHORbDNgGhXJxHiW9R
dyA2wtm2c97CYRkccw5jSJvabUWp6JS4zv13W7FfHFVen1TY1wgHcxANCB3V2WvwT+FrJkU72R/c
dMZxsiTPac7Dxaq8+15SuLWhym9Fykj//fty2nu9n4ISSk3bRJToWvqrQxq6I3P2u6Y/GOPLYscc
tNL8SzVqOe6j/Pn37/ZKYCReviUSI8dE/7im8f14HiP+RCNatuoPxcwAWXcCfo7pNcZk+e17/bfC
8EaFYXW0s2f/9w0ZSBky/fLp+xPAnz/z5xHA0//gJUCDUQ4WbPhXFdufZQXP/YNDgYN6FpEYlYKV
JfeX5YMwBn0Ng7H4ALrJaP5nWQE57JrPTvcEoYoDW+hvRda/niicSm30dTj2UVWsJLwfh1BMUXLx
mro/mGaPWwjfJ/oVYSb+uaDAyRPEltU5jFqISH5Cveu7a/WLafpqAKNNWI85RFToa1In26sf371t
SeYGUtPtx94cQncundBIzQJjcVoe/oO3wt8CPEsILt2rt6J9MxiE53V7YYAdIVB3ZAeKyRPZYfsf
fCsupW85KBg5w62LxHdlksWgeUOZAiPfNKUYGWHMSDKkt93k9sfff6tVQvhdL+3lAq7JcgKmmmn9
FF6J3LfPC5sL6KcRut/ZRBbRO8/T4ARxFWG+qQGdrqzkLQrO+ltl4N8KHBmDv3hztkLrKEbj9Op7
dji6I6vpur1WC2eFXydhZYj279HV+Io2biRQYDwUzZVT9+PVVACuFQ26fi/hYkjGZqXg7kytO4RZ
U74ZavdK1PvydlTydHqqJsPk5cT83c3DQmNaidH1e3YqHU1G+dW1zGePujsIz/LMiUgY+f09/Pky
4mkiNpEjv0F71Xm1ikcJ2xvyvPrV8ox7AY0FN8uvw9+/y3qZfhwpvAtFO99zaQbZ1joVv/teeAYp
IBI4t7fSYd5YmnbOY+JqNkyOsHppv/GdfnUVv3+3VzcNKX/cxnbRkypASyECSx4P4JKaDAZTjSlq
I/P86fdf8HUo28ud83AD2BZScgbkq6VsTnKHZiXTDgSeuILbUDzEeg9mt16wUNYx/OH21sVTs20L
ob44ne6dGts69LGs90PvD2E/YQ2Ro9t8niZLO86O8Ddm1LV3Cz3Hwk3irUEI9xsL0+sQy/VzWzpO
aYOyjmv+NOI8xdGp7phG6dgLItdWljhFFnsINc2COgwpa9t49RhYXL3QxB39UV/cia2t11xixbO2
MQSmK8RBf5b+/u0Et38xNGGCkpTBDLf5b/377wZN5kMPRLPYIQdOQpqldoCOfkIQSU9NtbF6N6VW
Riq2Q4+vxgl8mqpMnqOBhHBWTtCDYWkhcqEH3c6VvrEQ5AVR5bElNuOZ0qspL01n0WhWgz3A+gyO
xLVBFHPyeuhR4z2A9oy2PsK+rRSauyMako6kJT0KntOpyyVdO62gchrZPmAT+ywR+TtUMWxJxUza
m0XMuATbxaGuu6qhfR3aFJPdTDdrQyRhdK4ns/5eQ3CwJ79LAyE8P+ezddt5HQgyiBQHyFrdFa9c
7X4/Wn+eIFCl2Bgw64XvuO6rwTopTm82Jd59qpJLLe8T9Pv60Uin+36JmrDvS+NvT0neEakXxuS1
G/E6K9eX00BSet7tZRQdDSVCnG6f/QpYmoVwFUnW4++/4c/PdsykrDakSfmrrvTVsqZif6i4N90e
blaDf0yMR0iOxCSZcg5+/1Y/D1MPHJFjgnUgLddyXg3TuLdJH8Mlsvc9BCS11hrHeuzdNy7gL99F
OB7bFEScXMMfJ0NJZlXZjVxAzZE6cZ+g9A4IR73r33+Z114j1gO+DdAjpDhYPXj6/fg+OSJUA32p
2k+TUQdokrOdM5WYZlRVI7ZSLlsKBj7HDwTm3ns0fvta5G9hOI1V9//jAwMXFpoglDo2jUrx6v61
bS2WdHDVXkC8odjkFztUtt1OjF3qUSBZxBHPvB9Kvf5a1KN7m3fZuI9tfbgol4VkiLx+K1na/OVn
Qp0E+548Jfv1jiMWmqZFiaX2VdxXR13aoa/3KCrB7VxG8Fu2ids3HwpkprAxtfmqb1KySzhTB75X
1VQ1iq+FMQ2XuTcFyzJ+BGJhbtu0a+7mqifOryNik5RC+IlzcQkT5y0e7a+/wEvqEVt65v8rS0tk
SB/BwchFTebbmPSTHZKi+B3tYh76rZsFERkzW4QLHU8sWZ4QLX/yUvdeScc/9k0EAhGbcoi21b+p
F7e+9wgGWrAInyyPGhBa0Jk6bQa3MuuKHaLv5o09n7He9p+GxXff4NXoHLuCD0zI9H7WsvgULX51
6uwJFKSmB10qWeR7ggGyTD9aq0hFNVCHfj9BrF+OAk67RCF4poGI48cJ4s2sJbhR1D7Tkm5lOnr2
E9uqa1coEtZ8/UtdDNN71zSSz/iiun6It1ltgtK3yMoeYrUzdXJCJGm2mxE9eLlxzb7ZJrzhngiC
FYoZG1/nyjBYKt07l+qirWe4ITT/PT5VeTAGWz/XUDQd4F1+olR958y8USxefO2+st+45j9v3TyH
0yA5Eg78N05LP35f2/Rcok1ZENqseF9FAAPhNGoLICWqf9Yb+8RfLNsOOxJOnshq2Cu+OiepIneo
/xhqTxf32cdUxlObKrJAz//GO62v9Gok8U6rJVDQF9Vfb+wJyeqJWrUZSTK+zw0rfk8i7JqXN3Oa
sBGLoSRxNO8UOcZbSWC/ePo6ukDUaGHmhNT+6kt2May6KCN9u3fnDzjarie3vdVF9Fy43RNHXif4
/ZB93bxf13TIDiY1PZMDt/N6TUfpqKY0ZchyDK9ue4t9zxxZwVyRz2ENy1eU3PfkuU5BPDdsbgQ1
3kHFxPOyW/n9R/nlYALOx5MFrvxPkeSAxAc7GZi/o1d3gd64xGhgxdloUJ+3dvIW8fsXD02QhbQ+
UQusss/XBwE/I2Cpn7jJRO/u48aItkvvJW+cEX95fQ0qGYwkLi9g/h+nSKbgIhuiUXvOyHLrEUUN
iC7z6faAkEOiyOzEORBoc0uORQRnnGpAgX9HO1sW56018udDuYeUlt0yVmGXgvKr+QoT2AYKk/Nh
BiqxePiQTsvlYh5mFKqloW0bVVb7xEVPWOe9/sa0eh1y9zLW2A1xsdm3Y6l+9faEXuFgqHS5nw2R
PDWu1Gy6OHF3pVLDxgGHvs/Z1j0vQDYSLafN4LSFTYY1lKINCJAkp0s0jxdDYlFwNruuN7Y2etwv
vx+Iv1hoaHI55A3q+FldVMU/nC0SzUtnu3LavTNFctcLrAZCkRjOXj5945L84q1owgsXFDxlOO91
7SfNDNWQsN3uCRcun4U1uzdLlSCz1Rz9P/ha7EFtoTtrSe2nVY0wZZISPNHuoUfKG6Cgzq6e3egs
kx1VxH8WGq+/rZT/qPryukbgrP73f36xiPFOlEXYIuIufV2pMBeQTHXPO6UE8gQRSUB3MEfISNMV
lsipRCdTJ/Mby8cvLyXna2Iyod7b/qu7Fsd6hT/UbvfYZujF2siW06w0A6mb6o23gqj08xOCnYZO
DAbmY1qdr0ayl4u6j0lB3uNG1NudAyUNn3MixiXAE1QVW0cibHbYkxfb1hpGbcfJsZ/CZXKtEnii
zeRKLWqMx0jNxYMJljIJZJV7fYBxA80hntLkEzQx7SInsk/RrS3WcLJqxbRVfCXUhU6NvsofUEbu
RvzY89lLyhn5ke4S4hxGqUlSuXHv9CD5g0IQebfLjHJyQuCWifnoj2QtfnUyiiXxpuEEk5yRf2hF
gUxzmbxTRW3Mx6KiurbHm1aKUNMb41QuuDH2qs8HdWmX9EguRNfP0Y2j8JTt+L02YvyRKqeLLfy8
CiqMUfGF50J4DnrbqrNdb7fF3aDReD9JRMwHQ+ZQAuZYmnLjJ+lDqRxLYCPBXgxdf4zpQfd1ne/m
PJ2RzjZYNM+zgeMk+gi/QZSk1IhEFYPOPAX1gN3xrNTwiVB3KBszaEp73VylaP4/ubhqyLiNuglZ
Jl2Yu8bGYQa5RmXz9Ri5w12VConoX2t991ZHKh+HqLbj/sgmdtq13uSn9OxiDLXE/C7LVqnM31dI
NeqwiNbyn66ZSMdaZXvvsqQtkJWWtbVVIhlIAGoam4Zjf0Odd9cPdvM+aszisdA8/barHMzHUIAO
2pqfaLX+FUTwXdWq3UT//DZyKaKKBIcglr+9KfIxyP0ccVs/nKxhHmmJq0+osGHq9SYUlWyydjj+
vghLG0NkZ3TQhHT3DlzH0Bepsxf+UqMoEMsmI8TqTAH3enI7rDqiR4xfuQPiXocYAWvF5EzzBvns
AySM0AGLeW37pQwNEviuyR5Gekya/JlXFskFvl2QkS52apVGD9Ni2XtbM27SFPQAEsHoGPki305Z
3rOpIGap4CkRKOUuN3kxHdtOdJt0mW1+ya9yqkvTKOQpnyYzWPS8DaeOHIkMMwZwC3ibo5UEpCp5
14ivb/HSTaExesmOziWMRa3rg8iczf3C1vU2IkTiI41n/bxKkPoT8OEEk97JZ0drCcbrcN17FKxJ
FqntoyywHbmEox4tPTWPanZJipqGE7lMu9RuDAA/82OJa++xSqODa4u7tJ8fcU6iJ9R9CnV99FgS
gCiZgaV3HHoXrJzW4gy1kQn7XnRSkZUGTlx7qAuIsSiI6NqIzF+ChHPDbSq14bqNpXererSGo6XO
uzlywQ9i9py16qtqCZn3rC49pKrEGF16w7NQXb+ZUwIPaTAPabfMGNvbCsPAhp2mxJJZp35Hcq6X
LBuTwfO+NAngDNyWcwQPUxYJQjzHD0SM5ZftyCjLZmQcXm4cSZydscl2Nelci3fG/9ThxIQIo28R
qd63wFQSJV3VbmYzEoSpLsqUHzTD2pENiklZw1bY7N01jHVygfAcrLww+6D0pDts5hqR67mmOfSr
c9eT8aaYB1s7UZ7VFUXaFleo5EqBUK2KYPHK4T6hqn9tFhmkorLK0+OYAYyysWNfkp7h7VCOjcsG
Hup0SlKlPzl6xH6S+m4TuotenDU8ZD93yosdmvMxxpTRTi1i4pRzJ4YcMTbFfTJ1K0wEmxft14Ia
/x19pvJZNhIp01wq4yP+WOJZ+8a+IiO0+YBhdwzwp877jh3LvQev9MOgeJ1ZKzCXdqDal5rzdDpV
4ghcQr2nCrfmvSk04xANGAnoFtrHBNv957YR+S6ftPbRbQk1yYj1Lo7gn0k4wJT33q7x72J7H8fA
ieyyC/pFMTkKU7NxKKKCiR0A9BkbriM+VRimlJBDTqW+3OWcm0piQQBWbHCMDA9tNK7OaDs1vI0f
r/3hWhdoUkpag+jKE2TtI+vICbpxckdIerGpXdnj7edyag901/mK7gp+OYtNUlcyJx8eBpO0h4s4
iuKr1MMkQGbuclGjwDoXieBViQzdCz117obOtJcNO5H25DRJcoVNsflI6Y5wgaEmzEQyVcMKk8pu
6ad8N9aTKPcAaOKromgGd9vYMIOZRC2TirtLEb495cSxX7nIl57kEMsbsUjjXqVc7xRp/37BU7r3
Ei4qMbLzmcbQvGls2TzZ6wlzWzlLQ/pqS34TVzY92BMAVkeDm2JI0Z4apHbny6Cap25u5CNhLMQC
uG77uTZiogOXPuGy4gWNTjHViH3vd+qLj4HhSiythpWq9uOriej3hv0ukK8vWMsF+qHGHC2sHNZo
RPO5wWO5CUYfyayGGLElri0BM+f1PaYvWM/GfWPMBAHbdfSucRKiV+2+/ujE6NYgZC8JWuAlIjQL
Ru8Xu0f/EndkGc1Sj4IYH//ZioE8QAKc3nlaxroYR+nhRWqHBSO+6onGWxBB2uzAK+Ior2DJFkeZ
r8bwzqeIEwBei07Eg/APXlIa4ngsuiBbGrQbC/OcMlal3gP1nZ89d1Bf3FjY2yiai6Mhu3WU9zCv
6LmY9l1aJsMDGune3Y41H7Kw9fzW6yQmsyxx7jR/gb3cVGNyNTslQWBKVPKxINLq2nNU/6A3U36b
rrebpADv3F7zhFox8EY5zjBSzFYTugayViiumpcl87Uea/OzvtTpXptW0xxF++gW57k4tnqCLssa
ecV6yW/Zsk/vfJ2OzDLisD8tkpI4cVkEMLgk01bbqIc4tqHeouQGaCoxxY5Wo8EU2VICctec6FYk
HLk2Ta/a+VgOAwavpGckLSQGsfQ6gpHGmpVckcKKKaU0lvpaszKKuMO8Gvx05SXDkVAhr8Ky1T3X
JF/CJNLLbNuWY/sMtt54eIk/GkZlfEXIicGFqdfesFoszzWxJnJLhO3qTczs/ivO3MXmnhGOqTUN
l8XhSa72+pgbEoOWAeLdLLRbv9NZzVyHaOTGa2+6iPyLvjWby26Ymw8TgOIbo/Piq8hZc7J81F4I
Vqwj69jq7PWY3xU0u/ctwZD6jdQ8xRpf5yuhe665eJ7lXnAmjnZNj+sLIL3pUjftcNy1keV9XJTX
XUZlE++HohgOwiG0rOWxeW6h7gPX5sbptSNUswMDpN7JZsBsj46mi2v+SDVNE0RDYz3ZfmzvRAM6
oBEgEUyLGBmkts7eIC5qQ0dTBDkmjWYDW2S+NUo5XbMJwVMI4vDBJF0EXHR91/niAjQw+kBdTznL
SBmMkE0uW+o/Oh6nU1Y2krfNnSt9BA2QYKreOxbRV//H3pk0R8qd2/q/3PHBQd8M7iQh+1RKSnUl
TYiqkgrYsOlhA7/+PpTt48/fuXHO8dwDOxxhlTKVDbx7vWs9a9Iz7W7C+ntPx0z85MZmdQymbKAA
JJMLkGCWjY3h6Ecn60/jPBdUmAzjnZ6o9gKqnkxZSlyAUZ8RMGD9h4T6PQBTd8y9crrloMw/RyB7
TaYbXNKAZC1W12xL18D019vnaRL2G/O2jjl/qn4Eat0zVZARUZaPTVx5bMtSBtJRVPObP6nkppep
2nlTfaDPqYkCBah2k2G09dXyHf1PvueSFk/uObxI9L4nXOg54YTePNtpKPK8O+aabm3GWIPgJW08
cSAQzjKGvW+DiH3kf3iI8rH2PDSay6UuSG5Dx4MMTuw9DCTlNwjThAmg8n0PssB9JfpYHLLMe52E
LvfIpSlzIKPcRq6NmVWm0rvMR7ipDPMY08/6I9VjRUWdRk8JDrrIz6gDVyNfxq6m20rlSIXJPLtn
hgv7TdjOvnSmasfXiQtwJTidJi7VnAHkvl9jPphvlIoZ10AGC64FaT/XQLbDiRl253Dt4k/rilfD
8bzHeeRdckawajuPuXDT9i3wL1j6XwurJjOskz67NoKPASTqhFjcVNLOUNc0J9hSdOGEkw1eC7CZ
hcLUwXMZ6O1EfAdriZeUDE0Pgp5eaFujtZWSg0U333rYLDu+ijsy9DhZ2bExkHnDVdpO/AKdgDHD
HkEEezpGeb/Pbr7eLlEuLf/czTS2xnq6TR2KpXKrde5l7VRVSMzVYGlRLMd5rsY719G47ZCIzfnC
uSU06EnAZLFSvO0CcA7muZJjaUG3PbbESo13QdyLb9K03T0lkiW3nLWQqFlqJI0h06aHILaay4yY
vTqLxwysfUslQkAVwc2hnL0V3nSIxz4c/S6/K3iXz11JDKazK7qzWPDgDe/6C7rvvHE7cTAmLfgW
sDPlnPO9pXgGeo2zhA3wzhWtleJOHnvjG7yQ9liZ3g9jcb/itmo+mFiLj6KDCCWIybx4BWgdaxyS
be8N8nF2mViKuTVYegf9EiYTrCPGoekAomTMTppVKTsaPb3zDl5uwEApbbe611QCT6Scveoe+QZ/
pekLaK1DUXARqgxHfEgpykez8eUjfG0yn9nMBVSkqv8sOlMHOC7SzybWFyzOGr+wwQVwclpRPWHf
89W3lomH9y3jkANrgYK5UXPpwax97igBBY7cLdHOlsIAU4H90iKdmJnPzMecTHOZ2qckn7pPmYOt
64YOEaGbB/krt9cq9W7p4w+9E8aPPF0hD5UNFqVrpvgDnD6HcDvOtCCsl7j7pGVJk7jQx4Au3dwp
n4pm4sLQpZOqdl7Sj9XODhSKxjClfDxSc1gN0iVgpNQdQOMESRV/OIbDvwlqgpeRJ4LciexS52NU
WpSIRWPHswT2gV0qKnFpeRxiJh5UZHbZnbPF6Tk36iVB01DVil50hld+86IBiT/aCvkxSu1g1vba
vI4APRtSSISTDC4i1e0ycluS/mERQw8G78WtLiymIf4Y2zElrDXQfomh1aEnfRh41KGxwP0p2wo+
/vpiOqOWDBuL9SR+5k7HmeYZC3h6zhPV3gqcJLQaAGMhWhAvPQCq8snBP1bui0wg9+AsyDhg5hOE
XQMV6N5snMnY9Q4JiLntqydH4ajgLWTfGqq4WXvfPQc9pKXFS5w7XAzjXs4YP+4wfo+/RhdtdEPt
X53euZqRPufzaFKtAjYJ9qz3mHtBQ8yh9vVnbObdTM7MhjhlD/zRB3PUeY5M5TzrrIx589x5KjX2
f5VTgPfK+O6i/adzhC7DqzhqPT+/kCz9zDi90PCkmIjnbuy+MohcxT4YWkg9Q0BFMfycDBJwofP9
2SjezuVQov+dFOhDOlWqnonOSe1aHHW3RURp2a3go6etq+WrbnPg5ibM/SuUg75yjgnqyNBcgDTe
Ey/WwUcyQhaUffR4p830xRDkiZui0k/spNuDkgNJjcSf8Prm2etC2PZFmRiAf+ud//ag/k8eVBN/
3x+k4f+SRNt/VW3yz8lW46//5h8eVN/GkIjJyPzdWsy+6+8eVOcv1OMgTdC/+9uvyP/1dw8q2m9X
DX36f/+Ppf8Fw4ON1xSLEo4A819JshKC/WddlyMPOVt+mY6EjHrtriLzH2xFgVlBrKr84mD5ybuC
9bDpO65DLAm/ge9+akH6l6vu40vjG6BfYzd48CeQhvpVI2KqN48WVUjHblWQSmh+x2BVlQilAq5e
laZ+DNpfc4wLslp1qGpVpLRVm2KlrN+033rVqlxZBbpa7WfZLtbKaTsk3o1mKf9BLRnF6708lypT
/LZhPTI2zbbTTPovVrUMUStsRnk/dyYQ61VRE0hr7aqxQS5xospTXmjMang2syAPk1WVS1d9zkao
U6ti1/XJm2tL0Mqrmuetul6/Knxi1fr0VfUz3A6xZVUCGeW3NtLggEQ4rFrhvKqGEvmwAhiGI2qk
t3fVFrNVZcxXvdFalce6aBgRVjWyXXVJtSqUykYlob7os1/VS3vVMbNV0WSo+W6OaJzIdCfuFKCl
MoRKsSqhS18mW97VjVpVUolc2iOborLcx6uOOmjNdKgtNLmJ0P8tWPXWflVe8eXsZKAeqb2XtxzX
yyUr/HbYCDbaOQe74q6trURtTX/kKlM2+beBE+Mji3qSXZ3Wh5ZVMgbXydg+NZYWP2GEd852PnNP
0yQIGSqVGq46dXZtq0J9iwMulxhVg9dJWjnVExRdku9A9UrHAI6WIjEGtdR/9JTiOldYDBKFCXOq
t/z63csEdyjhjcVrmZek5Io02OtmAYms/H3HNwoE8kSv2wtikR+BVTJ48QJzMDhvoh90Zl2e2i6G
+0DLZXkCbsmU2vil11A9lANgNypwpkSTq/PMwmNnKk98eCbzRTTFSbllZxS/ipVt6Fux3E4yq55o
0TKuljtVZ3u9AzDuio+6jrkjUKrNLSvLF2MnBQ1aPULjw+yM5MQgrpWbIbEn2GFw7xcl2wNARrbr
DvbPqG18eK66BZMFmetHO3jWUYOjKMKERP0BQyQ/k47UUleDFiJMA74i62c8oxVh8uv5lXgm5iHS
y2R+MBM+ms5ARvDgdCN/fDMn840aN56jrHROUe7AhEl8HHLIzPtAVRq/0MBA3FATkJXw2OQMJETW
7ynfv33msljDAsmJN56yzgXh1xevtVFmV8BT3BBhZ+2Nwaq/nInzZDxU9f3vZyZw5/q7cTD49YVp
eo/JkiIROC1Nu3Qm+o/2tEpjWi9/QZ2xYa1QotgJW4WVC8wqzNY//PdBlR1u/+JNkh8E42EenZGL
SIRNd97qQYddUNni4/cnTTg9j7Zgdxs2xsx5JZtUsKXGp7pXNYTlDcMZGicCyyvjmvmmynWP0Uvb
e6Rcxj5WeTzdDGY6MlicSsxk8OxDPfKmDoNdnsjr8a6Z5K52BYzSz95LM8qgKvfeN2B0NLFh3mJd
+DfVaDQO84mk4SZw4o/ARCdTjkyRl+KJXzT6PKI3Q6MsklR7qhZcj4vL1EtDTrCvij7Y/n63pJLV
U5bMnR92eVz2oYELM6zgDBA0s52L0XR2TDqxSEfEdX79oFhsewWduAuAEPLz4OiR/EKzqbKwE8u1
K2GSNPPDoHXPY8OsPjo0zMPXS6Q7h4F/Z/YD5/rkIR2pfi162pRF+8tRwTmwOJH0TMSl6d2mzuL0
kO57d3lN2s6NHH3yLy4CP+Kxs82JU5n1XIW+WVa3nvvYsDFXX7WRGe6N6eelM4RxhR5rRrnhJ5Hr
1VZoeLgfMzlfM5oiAIpAy69OVunFD5ATp3tjMkGuUYhNEtJ3071b5UQqg9HewuBGVGGvfBhHEoO9
nzd0gILAKxOAOI351ZRjdW7SrD6LZei2pSmNIzbbn63RH0rfeeQ2WYT5OFjMpQm1u0CFOs3/OQ9Y
zekplTvqRkGqzCVGYGnNEQdnjpEw/cawdt3qaQDiFRJpXT7l6DCusX9bfQe7up8oDx7qU+Dle3xg
aeg4C29w5hq7qaHIVqg5J9NhvLgzQztD6zGfZnmEZ2gdFBfhSPfpoJ3KPN7oAa1EyUKbUFW9N/rA
xrCs9At0bu/U8sFne+HqkTPG77ohm5DY5WYw5l/WXN/qzPe+MhMNDDah/uEh2kVGnj/3GBq/0wBl
bfmug2W0GhiTQ8kCAqH7BFbVXluwF64H1lgcEkruGF4hwIcL6lIQPzWy+0znPqb0wZ+vLFMVIY6E
VUxY9ibddeXSDttlNMtLZbjXgmv+Ix8rOiLc2HiwaDfbAvAsQWgMmjjkJc29dkcrY2eY9VfnkLAk
53qcZZXDkKy/D0VFhxsMq0gY4zc9JkKrV9ztA84SGEGHn0Qz3pvU2utzE78oeFAby8rHjYO+SS0B
m+XWposH93Po8jXkZFUm3+CidmHZWVGPXeFCjDvZMiT4n4CixpvHGesln5t1hvCCdavpzifVx9Ae
RjP2J5ws4kV4dNXZnS2/utgTX+hlxYnmC2/NpMesZzUkCddWu7zj3yYS4iW0pqsXi+oRpi02o7Rh
srJWZ0jd+td6rNVHqc/FhzIN6+pSLxg6TFiblpaUCHoUBn7ZZ6jHaek0Ycy+Ldi4k0guI6sS49SZ
sTFt0m4h+B80w85PGqnzlUhee3fS7l2j9cPcQjDlTaTGLW4TDdKTGC54rWw+MSURxqpxavjpi+I2
OA3VtQJZcLLZ829jCKCk6pv4FY5Sf0NfysR26ZqSBG5Qatc+8Z0jk0K+N/Sq2WYTeGLI75W9hc3z
qyS2fG/IpH9RbaYOILSbN7fpWctyLYw4FnK29RTRULum0dJbjrlkCkNF1k56xQWshiV1qPCphXXb
C3Y9c8zey/B5WgU2CLv44XXgOro2Vvc55KA7GnhbgpFVu29M7F2DooaameFuYiuPgXWfmAnnYH95
F21b1ZEoRxbYqmnDxciNTZbS0ChtvQ8h4tn7pVrupiwlw8hKa2MO8cp57caHBeTYJh+rjjvX6N/P
im1/IzrFvjLX3q2eStGy7r6URxla4879LqjdZDcUcb3RLEpXWzDK0dAufMUx1a87jBt30Oq+pD58
UwdUA3e6cl6tetpPakoiKG9Ps2t51ykzyf77vtjjkNzTbkk/odFuq7FKvppppveFWx6NxsV2zATI
FH2aTtlodBT/dPGRzPolS5qbHTtOBO1fHOfFnc6xwL3KakNL6Z1E1r0FOVdX4+wNpKPXnA+1LPU+
l0okj5YrGqrrhk4lrPSUTRFOoGkJt4Sk0TntBnoyIxSoYqb7hvl3uTiMKjDgE5k727kTYzT5dK2z
ws8nQbXhOAxVJN0M91OXjOn8M6W8cLQ3rhVX5oG74Rtn6UdND8adLINV8hnUUwygfWvMS3dNhFPt
xOjYdwgL35rFyrZL7d6yoNKAS/X9LWVrGRWUEN03Xu38oDd+DoVZLj+MzujvlPS0XWaMX20ys4xz
zPHOH0cr8nyEOlrp1Hp07x4QeswLgktzSxhVtibcw2jWvA+ibvGmIbT8XfXJzDaktSE70EEmtczd
JELX6SvrypDupAnEqJ9yq6RsFOk62+s+BAeNbkt6eM+LxaCNLPDpmWrc2I2k6NXIQ9rPf6YQAtDk
s+A0J4tbboWxDv0JEsoPHbHw08sdcVEKjpjpd/bBcjOW+yJ40gnVrP3f46KxK+/z40LBOZ1Oiz1f
bLbvj1BSl7eCCqG7LpU/OYAmULBNKnWB36waTRlXUVamPxspuetrjfz0Rqo2IHX3/W6A0bZrDb19
Z3xxtyabhxs9DEvIDHSzMuHcAxBIOlBwhXXS7YAez3nhmzaU6tUd1HCG4lZelmL0CZzMfXGfl40H
JN230h8YQnSQxSKbdtBruRXowUr94GhYMQcUgf8JBYkLx5g4xo1dg/8GFaR+XywJySdlCYs8b9ka
l3xvpUvrqnyG9AZhb13sx+uKv+PCCCV7OWbr+r9ejQD07ebXbDUHGKtNwP3tGHDKFAAGPTwVMmfF
RyhhKBG/3QXU1/fPiHar6aD/mweB6Xm1JEx/NShYq1kBlWj8la4GBm+1MrSrqWHC3ZCvNoduNTyg
ql/ydpCcszBDuFIfH5LVIEGDJUr2appYVvuEsxop2tVSIVZzBU/shYNfHHlBWu2oSPaPxW83xr9V
n/8Nfgi74hrJ+E9D4H9RfY6f39Pqn3LHf/0Xf9N8DIMIMclesr2UlLgojf+p+cAy+4tpQRIjDuj6
f0gd2wGpY52DHOl1FnOujxj0NwXINuCcYfdjEeY4a4eL9S9JQPafzItEkMg187TWekKbbo8/pUty
I24GyrHcK7qkdkxo123OFGdyCaSIZmb5uJLBc4vDJsy24mnJaif4QUr0K8Xz/mR7uUUfWEU9uGtM
b7mnZWfcsBP6JOWwMZts15dsebqgophsmfsb66EEJHeiVPOil00M2XPMCkueoch2eyZ4Ia4esWeO
TE3h71hBl0cZzxgAxdCEcjaSqJSFTSWD7+xw6oFCEcHwmNdQrzdCV/GlYFy8dAPc/tkdm5MZtOoT
ouCHLXsmu6DT4bhX3l6vs/qjlbkeMtu4LJ2771YrDP5etF9qw01Ky5Y5nQ56Xdk73ijtCn41Zo3t
jbuUsF4bQ0k0UUQwgwyGHHdOV/A1NwGt3Gtpar7RpbOGt+uINFkddlmq32aiQ7d+aOjQ6/W3wskC
aJHTfD+V04oiD96myXe3oz6HsTXKR1tozcEeWvMKLbQ9DogRoS6y7CLHSh0dN83uAq34HvQNRywc
r1sHgNC5kVBBikobf3S5Fx/n2LF2eWkUXxTjtoApfeNrzdw2od+11SEws69hMNstW6npm2P4CnBR
JhLuFz6VC7LwP0xzIHrhiZTXpnqTmXxrNB6aOkH8rakace4D5WDwq7bkn6hyqdeOZ0+VHCvgbDgG
7IVAPnnLRKCAPVx9XD+RL83YuTv2mWxjUKDyA0pGk23oaSWwDTOKklLuv3udHfaMTXSFgrq5kdzs
3Mgf5rlb7mOV6mG6kHROLeqRIctPDo9iVUhknr23RYH9keK17Em5XXFxMFNeUoanO0J5ZLnSWD2o
tml3ZddNP3v6q8sNFACqEXOt/gUyVoDmULaxl55QF0a07DA5ZXfpYx9Jb3JV8pliHwiLmr0yUWWg
dDS8emcDtaHaZL2nA9Gf9Y3bBpQlt6Wpl2DlxmCT+Fg5rGkmMcWmxcShlDfcK4BNRWaSjjsY8bia
NKkBK5JmcB4lLfGbvrYxYTDRtStw80LHgkL+okK9W+buJeG+KDcjBJBfFdrd1veLAOgGHL7W0T7d
xSEQlKYCKkqcsIxuNYp6pgUDvoU3aecJPXhDkMo3Y+ud6xjRk+6OFIHC0X+MQE12Jmf3n3kTL6dl
kmMaumPq7lXLEMAxWn2jvMd60PLYIylB0fAALQZ8a67mc6U0uw99dOaTT/9HHcHTT7czNt0HrITV
FqgqRhKX5BJNN7gPWb/dCuwKe79Qwytupwo/ZYl/WsTAFL0gyaDwsjZ3ZODL0A/4k+jrIcpq0jhE
YkthSmrHeQt5TDBe0aydKX95GacGfpRqDNDCOtsyQFysre34LvXL9sF1m8ig4O85oxjhFljDoS2t
5V4xMYTV5J2cga81yrI5HbNYMtwrt3rAbq1hwTQ6iGq1Pz9R6V7f0ZZpPpsmSH6MCk2kuRzeB9Wq
oz9naXwsIWE9TaIxw4AjgzXV+h1zJ0foSj0mdtNeZlEDvSYRf8VOUIbIfHRxyow6QL0JosRS+nFp
jE+0dvda2015xP5tHmU3uJvM6GTIph0YNG/yviUnHMVZ/ax59Yzj2LT6Jw5Z85fUazBsmjcfZsFA
TVk54ndLR3DECSQNjczJ9/jn6iiLuZDr5tKfwX9PL2Wh27umLpPQ9Uf3TmdrhrDLhSggqRfFWFbe
rUpPDzMu5VCj0QWxm55v9BLHfecmuODBCrQvg5LezaRSKyTXPfwSsVbRMJFVt65xDcwrcsMQpX9P
FplsG3p7I/CvI/n1TmvDGp/4u7kk/aWVxa1DFaX/ETyv1bb1GRNL/7CUnALU5C8PupEF913a5s2m
H+Jlayduu5c2J0kmVD+iD2mMBi+1v5JV2VHe9JNuY6y2XDOLTZyrNGwxBFxSDR2kqh31VmOHDm2j
Xm7k2wPkycp9J0LDdwNkLmZXHxtWlk93ZTpoXLASPCyAkD/yYsSu4MHbMeKy3C96ZXxXMrHRWZcX
jg9xaKrZPDijW0sM1RDQs8yYIurjQdEFxW3RjSPTg74JWstwt7k+8waX4OMjLxsfVZ0nb9rkkKQZ
oHDObpk+iKKby43WJOpVT9zmFFiNd0qA7/lcQePgwHUTi0ivXzpPs27LMjwMSYY7p8Apip8vDx0+
e89iNuVqSd3wlaC6PTAwiy1Jegx87ZajHnNWbitwSFachJjE/UM2ucMu8SmswQQqQ92PL6x1832F
c+24SqNIQpiKVI3BiS9UuhskrrSkB5dnckDEYxvLS+K0XL5VrL6nmV7vNSodztgPvZ+GVxQ/2q7W
rk7XPnaWdJ4wtb/os03IPIgpUlUW8L9eW/b+4A3bxvHGF3ophhNenu9iEf0xFSSAmjxbKQNo5MNS
YJKlbaE7ZZzjWOwk9o0+t+phWS2k2G6dkQDlIwYq8x27m7pg54BEjLQ7vhlZph2KZXQuss7Eycyc
HT2ETUjQC/XBfoV1b290XOLbrLTijQeB6Tnwk3o/4E28x6Bi0NZdYxdu4i+fJUGIgpvu0bc4c6E8
HDpi/JfUttW5plnv2xh0rNC7sYrqBbeS7TrLL4IFz6ksS3B8wnuif9XZ9UbOrgZP5cYV1t3IVXVb
p8ZH3HFsgJWF3bSuLgWpIpxa02WODfulaOB5N7gyt7bWjnu4AsEum/L4ox3micxx1n5wSuEIGwwB
6oI5Hj0lhl3hdh8KjD/rCGnsEo6q+XpqLIb0uzY4bC1mkAmeL5ZTEJBByJPiPPVnuhHhhtuVHK92
Qc6NrCcuHN0rXoTmlk8MVVC8G59bvWNwIMpU7ov7quqNPRCA+opLbSddq977k97e4SAlcDE52j4V
ttzpqZlcPOz929YUwyHh1IhSh1H6AUFrOqZ2gezqD7RlCOGwfVMfoANFiLfXqfcc75f7mi1QmDut
caqWttw5vpq+D37sFxu6nhhS8s6l7ZwWk3Ljsv+InGqZfpZQ/j5cErY6Y+53mQRxxBP5JQfZ7AQ6
Be1xpdbSxKb7oRQ5uLilzYG9NbkUG8POy7t6MtnH5KDI1CgbQN528onzzsQhsihuaS7mACdY1ze5
uGfuDftML3YKW8VOhwxOM0FM6wvXAXROps3U9/VDbGn6L59Q3KaHOAlmn7VG5fbJlhRMu2H0oKCs
yB8dvOkWCtOM9BN36+rPxJvAW/1B8jQ5mFMcb71yqOmUn7ucldrQhewsuqhRBRp048XetybVV/Tj
4K05Bv3Rq7khbdhECKzpvfFzqr3inhgNF4TRLNj+5OYuLheiNk/+FA8CEMXop9XPbJAj209ZFoF8
9qY0z+1TTLNsfu4nP6ie1TzyqmHlmTRtpp+XSXkjWhz68IMLwxvDEsNFhCU+p8iFusJIo/63J2Y8
T181VutPFfAMmRGcb/yb6oPOyJhW47E+IiROlGWPZNExoGanYfSbu6bmpyvKJd4tvnlWPrc7HpF8
UoCAMSAR7TMIGdUmqafys411467KJv8IfHHhG8xh7uoN7vOCKXvTsPX6tIu6i6kcWuozjAy1Mv7b
W7vSEYUrW7ZLtXzUVZriOqlmRNhUDQe76MEPY7CPmPrMqLIZYUzVyU2SZPnBbQt7i5PLPOtlh5dM
bxkBcBRuWQhNkePOoCs9jcfT87oCEDLabxA4oWh21A1jXzI0qhr1gvIjXrmbIncVZkU/vysnvk8E
EJONXgTTE0u0JBpFQu1wD+7wbq4TMxQ9iNTWopp8Q/bHHXAP1f69z114LQimu090eHs3XV3K0ySF
eE78gjZWRk/OTN14ncsleZLO0u389cWOZSr28Jw5fTmmhMMRj6rFQjXRhz3UtNyIrnmKY6n31Dnw
owOLtWPeteWtTwJiJ43RvLZpa3wz8O9+K6vkNZaefrEBZ9IaWMJotMwaC3YZoAgNo372Alk/4WXv
yiiO69K7w7plP5Zp891bWpY79TIBv9ZSSPk+GZcszJbExkWLg+o+L+biTQD+f/GFivc+fO4Erq5h
7jkK9S8IOOpzJAkS1ngaMS8ldcQzKneiRTyKprZcUPN7B02/wQ3cN0SgI4gu6sfC1MfErwGAbKtp
fmi8teanDIrs1ia4Z/VmYZOI59ncdr5mbE2PQB2b9OyYLou4kCbOjtKCtIq7jwPs5PJh0rUfhV8t
L+AJY2fjGi5/HEuhaqs7+fyWc6kw+eQrPVyEt9xrc8WWAbwBftKxuFH5CKpv4XPVLqxajEYHNGDm
SPFMvmGGsnooRWxghiX1y/lzHWQNp704FsM1XujV47bgV5gb5eG4I5/YfKt65ct7IxedRRTF5TDW
GNwFCArQahQOqYvcjfHTXT41djXqwQjYDrkpq7isHLX5rS+nenpelMbid6P1HHj7h0HvLA+E7uCZ
Xg3Ns53UmZek9QnGJDDNQ6szKvY0/yFtmrlt1olXWin3seY1z5QYTK9/kH/+P3nQ3/j1PwTqdR9A
vE53MtIwZAnnz1nrupmUKCyDshutcyItMFPETzpyJ0n5Jav05MOU1n4U5snKnZ1mtzsnNba+B6l9
WLZdBeR51PbBIohlZPv//sn9KTf61+fmAvIi6g+l5c8kIWmMTanHprrWdXv1ambF+JCN13/9QXAU
EbpGz9W9P78AjugnDr2jumYm3CT+42rFrvSq3e+H+bcR7X8yonGcRRH8byTJoshKEoX/rEr+/kd/
d6J5f2GtbQLVc3CnoD7+w4kWGH9xVqLHCncJQN+soMR/ANHxigWEYCCp8yRWNfFvuqRFa4NLbRWR
ZBfIgO7+S9Y0OGR/sqYBaKBZme8RZjkUw2DVLf9gTcvcDPnG6NLT1OCuYTtKObXDkvtcNx5SDzXV
NtlNlht13hCZWcPqaGOj77BT7ThAHlpDQmnxq8I9LYtnx9tirBa16XV9emRjL+29IWiOfswD0b41
GJqdkBgFjVNzXBB4Hc2Ogj0l/WZTxJxWNoPUF8xZ5PUvgaC5dNOpdjkuxtLb9DJVwZbThNXCPwa/
F1qqIvXYxTUbHF9rfgRi9n7+Nmr0foBVftGtckM5Xd+Fs++YTmQgNJmXwOzTqAuke6dsjDdyHG4d
Ebed10Hl2DDIAQh2XCN7qoWYH6dU769tYsrb6joqt95UaSQT/ClxNqWjJ5z2RH0rnBqPTkItIXfk
+ZDACDuZdUsJZurvWSK25JOqrKIZFW+O2aXYtHsF4DuaHMz2du+Zb0XASi6z2uLJMAlUB6n9kZCM
uXeqOYiIXFoPgykoqqpmO0oN8yF1ly4iTOhttZnl1wRw/MHytOJqlerm6My0TlEQG6snL/1JUKTe
2/ARQxSs/GxISTLEnZrb2HJRh7meJXeMnfZVpaXFcxuW4aKrbWNW1TWuW/lLjG5Az66NM9EBiIQQ
1t1MN/jpxGytjJi8BCWyDf55/gu3/FuA82/TolDSX+mcRlWxpCTK+CTazrpZUzCdrdpTD1mnk5PL
0x8CDuF3p3JVxE3jjDQ1R85adEZplc2dvNYex2qSTxTqSBQvWshNK6fwllcEBnL+2Baiv2oT1Re0
pXYvbHuo2OjM6ToTZo1qcupbw+GZamRSIn2Mk+fF9zBhF36DrV2UFSdtykDxTdS1cbbALZ9mffgs
+Pn7ZLCLR28s8Z7jawxuHnHdRx/HLxJYLJDfCW1fbQ1JU9TcUXKSMftFG8qbbvKJ9tyhv5i5bZ/n
wtzUrUVRKx/7uwpS5js6IPgHre/Tky1SIyKeWTQc9kc7aqjs2jO4U2zcDGcXOulJT927kfZI3Phu
SR6w8gWlsxNzV0kZDzMiwa9JJ8E5xJgJ3aV/1bgj4FO4AZ/Qd7F3tseV5d6UuCEG8ZBa7b2G1cyY
2yAKCvvG7FFsS7/+2dWed5Siep1XiBAL0Q/ptcUO33U/hzIzQeqjPmH9ORfzp5awZq8M2ETLoL/Z
Q4AhaA7iQ61G7U75QbCNhzqJhG6/czHs7s1aTjsNVRz+auJQrtjZrzZJNyLcVC3JuMU9z5LeFdrJ
Y2TbEDd4Jy3VbAdPtvsCMyKD72nps0sP83oDgH0z45UrY44QmHqpQbElPD5BJ6Wqs12uxBTajEI3
emOLx9p3kiNIITLFnMqOwNymx//H3rl0x22k2fa/9BxaCEQAAQx6ku9MJskkKVEkJ1gUJeH9fuPX
3420tcp2364uzz2RvcpFUsxEAvGd75x9sjGd93mbEOzngb2fk9G5VXVP0kQOFFZBi98gQA4Pg2qf
MfwYB6OawLZTgkkZLvOLGkw8SIZKvU0lmIsvkz/I7IzX/S6r3W9FVdhbx5lpP+NUuIPpmZCEjPzL
JN3onn33e65K1BoK0VZzJN7pf7OBcdZm+9bU/MqkY8tNXabWTZDSPQPPiEvaDNJ1n6mU812YXiZu
u6tw5H4HwZfMjc6nt7nzoJ343J/Z+bfnaBqnN28ayUZRnkOtVo1xyqS5FbZ7dl9gEIQG4HEuvQS2
j3erZCZiW6I47KU2DajNHBfHMulJJ0Z5CwGxzL3HNtY/ywL9NrDIGgyhmyIquNT4AhthrCqdPCuo
NIuyjr7CorMR+8vIMXZiJp3sWm22m0LiINzckTPH7jlMp0aow9Tn7YmqibDj2WJUH4lBoIyK2RjE
xRgylN8ntVvgrC1G95B0CCDnUdXOw8gD+0nW1GdR0cWlh1LV2y+NiOpTOGdTs4IfaX9rufqjtYBm
hw5r+FqRmi31YwU0gSGBHfupsKBlVpNvUNoT58HBr9rjBFvjPky79Il8q9QrfNt6T1c6F643D+Er
GJRm21sqO4goCN9dTv3eiig6iK1gatU5kDXt6lqVyGHzAKmzL5l0B9n3/QqTM/4Abu0/80RxNIfj
NNy2fdNcptGiAUSTnqhXoOdLXCCEb8cVhKruq0nw6b2qzeiVZzIWWKIJt1hXsnuaJb2f5hh2hP9T
Xz4aZDu+GrS43mUmnQoMKD+yTDrf7dyzaakPZdURmOuxOcBxONpFf8y4264bzg/TZkrrZb3o8yoi
1IXuc9dP9hlpKv1uxGaM+aKzwKE4ZTQ80OTnPPMc8bYle49dx4rTQPzRpQ9MVITBsaZ59SNhqlHc
jAI8TkneLzwqDAjZFBqXKHYoJrJkVr+CCkjuZFoGAVdxq/Ta8rIZ73uVfFdtlTxiI3gCPg8sHyq4
f2RhlWG5C/mwltQj3c8V/QzrZqATcWVBjsi2k+WZt2UaDq/2MA0/fDes3lxFni03YgZcI/ACuJrV
ZJxqEfcX6CKoOLKpjQ9lTtBjyaXBByN5esChX9YHbQzlmxeMubueZr87lqKVWMijuEI60Vn8tXIj
pVZuIdtHSkuw1RujrPCblemRzxxJls4yy2k9KSZ8/ubeVurafPW91lfbPDITMPm9Qel9qqJH3yvN
PYssTclCl+M6dhWmJBki+NqiZ8OUWPo8DW11EhSZb5xSmZuppzoitbjgdFpSR4dPdVuZWNqIglOX
EpKyX4mmfBBd024aNuHn1OhxRmhMG5tRx+Wx0Yp66SzN69ekjlvEwqBrxBrEVfFCQUqZb1sSURWx
62r+Aa9F3vom2ydpOd9UEHpfdJhTbBc0xY6yiZ5qxFj72YraZ+xCAFa4I7KYNY+RNvWtNyv91tt1
imutxGNrBTY9DpOc5Dc9sCdufSGfPQxXFAxnckQYq1l95gVlC6Rx+Ndk7hL3QJJwenQTv+rXoxWK
996jnKXM7fKN6bx9sD1cdOt4tMzXbuYAuQ3MoeNaMptuhXVdfPcq9kpbP3MC44QHxX/BeJJ/wVHo
NDuZh+NN13QTc6VhEBytqdTOYF0c4yC5mFQmv1S5vgumnihG1pM4NLYYHlkuTa1H55Zn0t+wVFp5
GWtIm+jAPYk7Y+WKQO8puqGIwa579Q12qwWpjG7W51xNmrVcNiAuC0NS4iqayCROGgR3TWvN2wE0
0tGKU+zNym43cynTXWea3VmwAXS6OvsRxlYHSahzNGgepOdVj0V5kzht/SXAlfDNUYW/6wuKRVa8
mxQjlLXqbkNrTI4Bxyy8qr6NpBPVQaygj6j4e4k9LKddjD9KI0y5tcjhltbC8Gvqj+lnBLJwby7V
ILXwu3PNTgcVFmDxTVJn3jowOSNmQ3ByibQ3dLhX3cGNPApjAOUmL42rCY6zN2YLEEY23teytJwt
W9H5JjFEeRqwf5z5DdOzRWfnhz9HLemNtgU/UfW7wJP5sUoDubGS+Ws5sdJeC0vU7wELmousKpZj
ZlT/hib/Z0r+v6dk8lH/bkrOv0fvObAv2j2jdjp+/+//EspdvubXkKw+aY+KLw2eDwOPRkv5ldZy
P2HK4wRGq/J12OU//ZqRxSdtexq8vbYRWa4IvF8zsv5E/BiMFmfi30brv+PdQU75HzMyXYd8N4Bd
FgTOv1L7O6a1aA5HYwmDjxuoFem7HYMgIXtsUgIYYr4GNtNMgJs6ox/WSUA1kEPc9XZ2fErSBSRy
qoei/rvGwHI/k05488yYrHlAzTimNMKgm7HwuYbzOX/LbF8SXBTWPf5dh6AVE9otzhp3phgmY/nT
eKlDZsR90gQbH+ux6+/N/j0raj4zDJbPLfbvVxpre2M992k+M5CU4zuumWyErm1MM6frgBjU6KE8
rmQL93lbOlXyLeRTHGBayIjXTpAvMCdOEWb5auQOkHrd7RLrktxb/JmtTG25QJULVzNS0g0LicqN
5b7yFlIIqPzwLGPdu1seWBHppTylLzAxkuJjgSm8Fq0533XNZK47mTY3gdcMH2wC81cFk5ZzrQsv
m7VU9TCVcfBuhRaTcWwVqwy3NQ8oCp94cuL7c4e7mbD9BS20IK7ljhWx0mzQdBFEyZ0rs/EB+DU9
XFO7mZriqPUAKgEu/LrPO+AUatoPVqQvhDw8iw7J7GOkzYbjWOZeHFuwtWjj9klOGKapK2u2kFjl
wZ9LkQIAYaNntxTax/RT3QA7iPzjDL381M8pwVkzgBXBqqDSZ9fMrHxdG1P6LLOye4J7zkmqE8CE
YJ6Jlwjg6UtrsD4rBxvaQu4Z52HGs9vmDPYFJv71MPrzeQ5E9zVNprJaL7Cs8+DX1Q2LqP6nh/kF
NNvUGsmmSdlA9ipPtyWmj3iTDx6rNMHy5pZxtl6qG7vkvbqaWmEL2PsgyhB+LRg5b3FMrHwJB1fl
is6m4JK7Xi4OyLLRY1gm8qsVZNGDN9v8NGnq+klgLd51VahuhBUzJIRdER4YhXGiTri9rbavDsMk
+scgzADYwUR4NXK6dKWZeT8wbOh655is6VdCDm60JXXoPSL8zAOb86AwXuJAOpdQRUxMsNHp1/Oa
OflQNIh7S1FcwtObTiPPZtFbZSL/zPuYkEtowose4+a2EVN40mRIvK0oBhxMfq5wi0xBtuFyhScs
K3OhAdHXZVT8d1EE6rbqVVdsEcPLuxg5NYK6nvEpfxlzESvABAF1obw8I4sEUid9ZPKPIhdB265G
r59iB8uEN5rpOUcFy1sOn0ZLhdaAEcnvQU08TkMvp1MIfvRQDc5FuDFHVqXntZQMZ2AFvKcx5dOz
bSgZfPV9Vrsi9Tk96Q5n3ToprQK3SmM/gcLAPTxFol23aqqIK0TmnWK8PrfY1vYKOMSqKRpyN5SO
UZVKdykEKi5FPi+PfoMXahVhBvwyXsdVhAozvuiI4I23USXD/JOaG7J0KSJGbt9ZojIOQ1c/K47Q
D0biLoC8ZUKWjMp9kDu3xTI9Z8scnS4Tddll0wMqhXXslnm7WCZvd2rSh6GW2I9+n8tJo0ov3dIt
l20oglkBwIjYgoR31OuhBzLhm4z6fXxizcR3kka17xY1wEMWcBZ9wEYoiGNELCBGK0HPFN9mURMW
XSHEMQoOEa1BLKqDXvSHCCHCWxQJgqks2xeVIp6Fzy6bu/WEhJEvWgb1U7zJ0/e66W/amdfQb82b
+CqACC8xd2YTfhmv6ggyiasn9BKEE7IcgFYj69FcNBV4Oc+MfffOEMeXFtmF9RDLxemGniZzl5nF
Ux/JbJWNul0Pi3ADM6ffWFc1B2uQe9AhpnTcJin7tGbRfVCAKhxIp1o2N+0iDk1A4PfWIhiJhrop
iAaacdFLwlMdaBXx69GNzgquufXGQe0cDPYWl9GNs8hSZlBbmGEWqQqq2d6wc2OvOOmuW1ZUd9NV
3WoK0a/cRfKqpsl7ZFHFugwjS/pAzeMA66f+rovQPCVRIG7mzKu2RsPyCYTWCCC6z8npwXubgs8a
6/YGQAPVB4scNy/CXOAE0x0EOoxTvai/zAm9sIaN18TyogebOi4+Esh8NaoXSgrSH4ak7KlPff/B
XoRBXJskGwpz2kjeJo/ZY5MsQmI6+u/hIi1ai8hoLXJjtAiPziJBwiDI1q10Ts0iT44dlw4476/2
Il2Cu+RsGo/UMDj8Ta1EfwyMFo+u4WlQvuO0k9PsgTHQ6U+n8fO7edg2i1g6tArdtF4kVO4xxjlu
I3TVKsyqR4K16aZaZFe5CLD2IsV6YxN+qKs+69HOvdZJ98hFmN55hZleYLqwRlyk3WgReYUwF9q3
2ixy5zFbpODUld7G6BZ5eBBvdl9zPhZG8pQtIrK9yMkti+xdc9WYuR0uejMmnzU+7Hw3XfVoapf3
YpGoDaTdk90MEzm9aDw6LY/IMZmdo0GJmdj8s036zwzulEP823NyMfzlkHz9gt8PyZ75ScD84eT8
pxOy53zCysNC2aJ4QlsAk/51QpYsmBxBboYV03JABqrw+wlZwTdwljM3oJOlxJuv+htV3QBJ/nxC
BtgHAVg6nN49k33SlWD/hy3SlLVtn+sIdlWVjTdG3ICZS6zkcZR28j3L+/lIhAX9BhsFWk5ylXWu
As9V6/F1Y1yYf1GAGPv7i5Kt/5zMfLxvqkUsClt80sfiqub4Off/NWAYpCXhIyxT1vA82e3w0BGt
Z6NPsSUQudhNv/eLSNVXnfscEkVDPLuqWO1V0coXcQut5hguchcGtHQbXzUw56qHUSvpfCdvnP7I
UcsCQDt3sTf2wJEq9Yjgh6rW9aX/s12ktsDobxMMWSgVeRS/zoskp/yg/zoGFViRqQl/kjVHt4Mc
Rmi+HvUFkJDHkX+SDZ/0YLyddU0/l0eI+KfODOOhyOn3WOk+C+56w6LS56oZBqhxrOgKqc5WGCcU
0XDDQK8aMIPN4OsPqeM3W8Kp4StdsqRypZu5+2bZ+61YdqVPk4CEyIkBfY9+oEM0pMGeQKB7ooO9
35vFWMrNnGXOUxYGoMZgRqd6NU3oAKj7Voe+jL+dYIAqvO8TGLuSrVqt8YanPQsKr27Xlp9Up85P
6JRsBLg/tkdk/6rRu6khiF43iznhotK9A54G9RZmXPfY66w6BFNYHCB9NUwhvtuuvShLi7WCVv5U
pUN7EtpFR4TW81B4KTlho8zTe4ExygSPM8f3kTMVZNVwI76kHbFYp1Oty/KtwBIRztO4kHe0x7HT
8VuoW0NMPXBe32MiRRgZqeJd4S7F8TeMmMrNqGlPbZzJcOWEY3Bx2/InNM2pO5jtXEXUasriJ1im
VK2gV6TDisrU9iOvOXYcfIxsz0DJ4mMv82o7e1O84C6d/r0UHkPFUCMNoUbtPEPWmpGjkjtReAxe
I+UM93PbBPFzZZKS7x8AD0UkC8XMgmivRR89DnSfXjCrTyL9zrtrDYoW4jritR1VjmPsbNLdVMBc
cHTm3wUNZuZMFJhPVNtjORoczl/C+hK4/AwiphsqCJ5UMwbbIcdisW6F6PODn4slAY1Ox0bModvZ
0icE7GQHPinj4w1efipwCQfJsNI5Uo3ycJg3Zpmtq1b4uzhMlgpXqokJmZPICmS2SRNxY7Ue/i1T
aFqn1SOehkM6mPZ5LpW/nswaZd/MpwNLSV73DswZRns1+ZvcrbkCVV6Zdwa7UGfTNJ3Ei+zjoCRx
eLKyOttGrH4BmXrDuQOTtxlIZ+wrm7UH3v65unGaqjvhV8weJ5ErymELx947cU5Sxmse5pAPZlLE
P0nDfREGCYjUTb67daE20OjonYji5rPRWeldOox63eQoVdFoiyfQgdy1XNx0zCWsT0yHVRPWu5DQ
eeDCTMTP03fJBQvls6fqdB0AfVwZhTzEbfDo4CKGQSDitU+4dx1HZm+vmD/dQz07GH8TZ3m1i+Ez
mdVwY7JTO2paaujEcnBqW7H16MCA3HB7otBX1fYRp38Gq9TjjBmopru1OaduqzHGg4oL7KtMlXrR
mR1vwoQz/QgY9aS7Vn9GY+luysFJR25SDfcUjiko/pHtGx8mBCpEjiSY701Ipqx+gvgy99wbE8xo
h2JW6tAZHolIYXjjNmiCcedbMyVVuZmtQZRSAhAl1V3WQbrQdbZIgNa76TDTYIfud6MPttD2qnaL
px8cguRFeQDzhWQys9bEsJvyalsy5oPKIcz7iAB285rLnh1TNLbjOmQsPEds0e7jxsUUZtqkrfNk
ZhCxzK3plrS1KN3t6sbNXphG3EvYBqjuAW//S0y+ybI77M7JmN+LnvKsKQ3Mz2RX0p/NpNpXLQL1
pKsxf6DROthO7Eh3KSGR235u6SKH5AnDAWVjC0co5aYbRt1TpCQ5jLCR77LhkpayGs7scfJbV5QN
cURb3DeNDbO6Rc9osmF6CkTmuKRoRAQO0+NkzrB2bmxsQ2Zox+s+bhKciS63zDS4Fx6UuggmClmQ
TrsEo13NjkkGSw8OUonfhvPJTMtwlyEZYQ9K/S8hLtdwBZCveeP4ByNvNvrobPVJcyDOXpFTFeO3
jH7F9SzL+bPsJaK5H+ualGzUBitdNV+wulvnGWH2jHBOEDl1zJjrrQofbacTT6S0LCg5cQkzqGJP
TA47/FpWZQOHwBkvYVMs1b3L3Z4n+vgeQh/8LMOle7wj1sayVuKStNQMk6ZrT8C6HtqOADPzuRRt
+2JWznK4nRhhEvNlAnCUH0iN1NFXxSwAuKMtnI4nUWLiZp6LEH9sjkN+2wliJzRRj5BYzHH+7ra9
s/WTiTG4jrgFh2QKexLig78KwqnbD2b2eRhHigaSAVI7lswjb2W6AXyWPshFSbJzfeoCo9xU8MX+
wX79Jvz+HzqyZXN+/Hfn48uPPKe2oH/P/8z++v0Lfz8na/WJNkSXmiSXWd7l3/6lJpufbBDPgrJE
jCm2XFpVfqnJ1if+J4fKI0tSZCptTri/1GTvkxY23TkIB3TGLkLz3zgrW9d6yz+4FikxVgo5W3Ah
ayEoLPmz4yrNZDNnpTkdbAbCadMJ4AobOx3kneWP+JvIzGFqzbKoznZDCzgU+aiuj8othLmbq3qI
OW+ZIGIqMKY2CSvbMVYNc/Om9j7KvvXvBwdQDhFOc6OiboS8STOE4NaCfEmUXW1mJ0W2NnBrGmDL
pxKBKgSrs63jcN4bwiqe62aqT1OMBCMArW2xNxOhsUj4rRR0wG2Nvzde9LHqKUjqMT+QmQJtKZCT
3gFPExRKBP7hVQGCDTdviUzE+p/+gDA/0EcY/TAEXXwDuMLbka95saci7jae4akzIiFAJaEbs1th
XGvQPezA2hbGYF/IdaQ3PVLzPe7k9hY2sbEXfjzDrvSBXBdtT8R88JMd+ZOYYnZelPXI6Rg/iLMk
JDOsL17pY4JNbfnFrXmZBdXu/AgL+SJ3gm6ba0cdiJUFW7ge3kpFSpyG2csurSGdHSAe3ONzSiat
c+v7kIIAUBLmIgNrq8QSNvtrAk16x8MDoAVL81v2iYG5nbTDvbdOyjleYxn7KghfnrtCvfB0bJ9E
0+Tu3uU8QwiLlrFylXVuQgFEJ5/HFB9/3El3D7mYs0U/+/6tQtznhmZCgizy+da20Se0gxkIj4lv
n4Cqmz8bgh5blYlH3V+IN+Ub0BHVXgXmRXVdVKybwpJ3wmg6ZoUy+AK4crzvGxIbTAoIOJzA7WwJ
AoZttpf5CG4lrf2zV0Iatc1W3SbK+hoNytkkhZlsJqdbaiUC/wmQVLUFWpAduI3CjkGZJE8RP/od
QmtnNBrE1VKNCNEyiaW7zdQw0JxuFht/Bha28vrCP8Seb+86J6Pofhg+mPOMXaEUvhO4WOKRizxY
Ndygj80sYAelntwSU0b5oaNog1D5UHC1rfFj3hQgIrFgUMtghM3LnBFVoSzF2IWM1HRuufwtm9Be
Bx17fQFG65T2ofGi4MAfsQksyk1Z3k7K9k7aXU7LRjhtaxr11ilVKHeyxyWWc9kOxFQnaw94lxQi
oIDF6rR0EDudDfTAHhF8W0IyQaSKYO+obArEF9dnRbFrPDFIdr5iVk63iYcwCN3HwRnxRsL399zu
ybISe3iyG4der5VdUb7yDOU6iLGWx9GNU5v6oXVZt3wd1UzlLHy8VO7IwwAjo/Jl4ucDSPPcyfrq
SYw6qzQWdb+GaxDWWyWwwb+M7Evj40BlHEafYo75bWJMmPnCYKl7FMpIDU9tEnUsp4OA4/9dIs0+
fk2Stp7zDYNdTm1XaDfWeiodGAo9vjvubF0UBK8ZXph0jbUt4v0xiozLcygmjvrTLAIM29HIr+8y
1gSbNM5dd1tlEprbYWpd9doV+dB+6MRjdfzKa+R1/YqKzeIUtbnkkJv7ScsKK3d89u9mYbMeCM2u
9T/nSQdpy6xY6K0tMj4+HyxOGP8oWf+RksXukafq/+6LvnnPm/c/u6J/+5JfWhaV7i7ZcBLASx2s
JXja/r7x5bH4iQvZQpha6qGVzZHg1zMa7/KvZzIuaOzRgtiEdNBhgD38jWcy6+L/oV95LKtccp22
dC3nr5XUFZV4aRyMzk1mla5YL4cBOIoCj1C17hqjbCtABRh8BnjHsvDvinxiWK5t00Djn1vOj08p
YVojw4zskIvYGvNYK//g+pw92XD2ZE10lc5UGIRgKPQuq3HuDXctIFtooJOlmePBcpEc27VNmjnn
XlXNRxIMD4BrNPcyy9BrFTp6lxLuxYJbBZvSmqcnw51ncZ5bsGvriuwoxgoePvG8x++w1NKMIqWv
ozGxmOgaNuIhrdyuukBYSJ7qyvdem3SW6OuMx4LjcB+XN7RVhKx+J++FZ54q+BGTM29HL7WiPa5Q
Go7llGdbGFnufVLlzmvFUnVjeMXwRviJ2RD1eVd0EzknwkLL/toi31xIGtCIHBtwjeYsPcakgN+c
xq5erEay2OUY5H0UnvuRjtOda9aU/fQJzFP+8G/7zpH0UkTmge4ssW1j6a1HNoj8f2g2eehiGPNr
c5qo5BxAo62Qy7xshcjF8KJ8+jkHYfeH3JizS4fV6XkMMxwz9TTs8axPD15jTSdG2GV3HCExYXcx
okOYxtF3rgf7IU4gJGz7wjLuCYJi57ad+tAUo2AB2+afw1kjllEndWEY1uueTBPKldtat8rura9G
kTbQlSpL3heKY5pXImxlGn9tH4n5JiWj1G+iTnVbYeUdbSpLrg8Cxk4Ocj6kKh7JNvrV/GZMWblz
o9TYE2aajyq05g8Wy/oYkrB8ms3JvwNQU5wLKNLZXs0Uwo7d7PSCQGavWstBJPr9n2zoVB/eGvaS
11pHJmYkuFm9Rw3GKS6bYMhPbOGGlA5ZOsNib4d/nRUI1ApOTwOQuXlrcmY0P/65o/5nd1RSHv/2
jsoI1X0k059MNMwifNEvEw3AGu0J8uiLnG/9wUPjfbJZG3Cb1bTKsV7714ZAep+EIjcHBEc6RCYX
cPG/7rAK8wzREEEIhTjZ39oQiGWo+dPQQxKKvAoFy4xQwGKWGMofFgTS4bTB6Tg49QJtgp2e0A8D
jHKu8ZxO8Apltje/xcaAA6IijY2v1/UgtPXtgQhBv5cVrXhsgcF7/eFl/P+EyGyL3/EvfzV+OZ5E
JlOh4vFDQuePf7WxsSc7oc70qCH4Fvcektm9Ozvc67lJ2gnHQuigQhlqG9U01QT4DoyyJy+MtOl/
d/NcPDQgpKt6W04601/n0gju8DQPLTfsRrxmlG9RIpX2JV1DPQWvm9SOSa+zvncbg4h5a7gHmHnz
RjFJEEwR9Kdh/CyA/tRfQnriEDmMLMZkbKcVFvYmnTZoJqyNMaB4J/jCYjHqxNux9j5zdw/hQXqD
Ky9g3rsvXkElBPiVrF9xB08xLQ1x9S2bMhMoHUUeSKykSWkZZIfKmpad7Y4+zTA9wV1IaYWiMYZy
NJI8D0DCoGMFA3Y9Stj8wNjX0VyfqiAW+66TzUdkhvW9lxENcuLmhqziqYRJ8FnnESVHHqw83XQt
AWjqTUajNzaMgtxxU9wedxUlldSThDuDLiXURqbiR0N5r6aMG6paIVBs5iQNXyxipHpldvZwa+AO
ecDvSdhAh1OzHaJ+PAd6fqJXLL2vJ/qt6fDNSeAOjgh2bmIouAaEwekpbFajDSiDJzNdUY+mm5SP
PfwAwPpudrH7WQOowKyd3CJANvJLHGCZHIUR3c9ztUWStnbUgw+fJ+wdqzzEbTg6pb0n45jvSt1S
KCpqp1s3LBu2MxPgYZR03BMjNVZyNiEwwDo6sjEY1qIKnAde9eoGaEvN4JqapwAZ4uShHJxCYaY0
XeZm+lK2ovlcaCTqahBg25LOYDHSRDNhH2s8y97U3wMdOjscrtUWlxSoEYvGCxrP6q0VFS1EoLBX
CAgDVuMyKcP3hMt+Ja16XLdcaauZu/6jqUkTkmbsb+yh6bapijxMJGG6hfeQE4oGkEL5uHxkKqTD
1JytVVBHIZc0LE5/NyAmTusZB/iLzTdZAyfhWep63damF/LdCuKQbP40/WDA9m8rAgcbdxzrA9kH
bHMtu4ZXnsQzgR5sD0erd+J6UwxyCtdzS55hzxMYT5S2m8ZdWVWmLVxQYPlXpvSmTRqkwUz8iCIY
e2wwtigjbanGqcWNRwuJDeDVTI89weNmlYk0PAeo2ZRTwviRCnDJWvXL1qqHxgPVmLJC11cfmG4H
4t7pUH+ehzI/Lx0uvHxzlTB1x/5OFh5cETdaPl2hW2GO5bzR71HHJbN8CwpcU3Vg73VSOEfGpS9e
OMzfdD9TqjI06ujBI16xumIbWAoALdwJh1eYjG69Kl1wtassmHOxSaI6wTULG2MibFLrt5zmxm5j
k+BAZYFV0N/hK1PHUaDLriD2aDSUvg2z81Swhll5U98fC2Zu6i24iQAxYUlFrqxwKPuIAusey9jw
4NRwK8lxA8Jmldmk94oPBvY4FykHubcwUNAFCaOS7cSdw+3gJgtJTRM2SrNnDkIVaEDZUuIHQPXW
X9xUBtzRZqMXj1W0uK00R6h0I7pIbczFjeVwjcKRWDxa/WzXt4MVhpfIGpIv5eLlchdXV0CZyCYr
B/T1q+kLWSf5iIOWWS+62sJYozmXJppS44VgIcaxcfGQWVc7mb5aywK69eqdWhxn9UyR25SJ4RVQ
Cz7DxZkG77k6sOTYzIZjEHNfHGzm1czWLr620IPqroe+fqJoFNubL5zwAcXQ+lr0WfSopzETh6Zu
ggtR3ZJII00j6drSYfPGoAstSpHasKH1A5H0F+ddiFqG+oCMcNviecQGCmYoxOfuokUlaOb3xrj4
+JB1+HHQdvqf3N+xxRk0KVUaIgjV7PyIwDPnM4kYuYsnSYtHYo3bakB+4d4wHuPFU0jqQ/AHFx33
eT7kCW4amptoTVl1CyocqgjGxNjGoyiudkU9WYt1scHFiF0I5btnQ3HTuo5zfdsOhhveZEwTLOgk
v2Qv9LYJnY9YYrwZXFVC3xzlM3608hgzLFw8GQp+avZhYczjQrQTeT8a5ZmGIW45dnoOJtfHc0mJ
lSZ34NgGwF+RGRvXhLNWliq+m2wwcorBgS+YR+s+54NOYGexfhIYNddg06xNFk74v2r+iFzTeIsX
62htyfFG2ZVK1xQ1YS21vf6jX+ym0PT0pibhsl/OJd/SxZbKVWrLNV573Krq6lxFzQnPDVSkEGOp
rG+kuxhhbRnieBXNrBUtrgZ6KgY5T+6mGs75hlCO+ezEbZtvq8VSS7ATd+10ddoGanHdxlcHbnt1
47qhHpil3cUqd/XrAk2oX4HxJc8MxbxdUF5U3N8bVC8+TqbzlIy+vY+vLmBJw8EMVTmUt83VJ4xV
x7r3E0ogOWIVb9NiKG4XazFeW94vyEA4jqmBy9+kXWV8TwzJ1mJNZiWO700vhmW3asS54XbGp2gx
NAdXbzPnLgTj1AUssdLaSt6xorw2hoBIPgmJNzX2ylOMO1OzDncNluL4hMM19F3gxkZRZY8Q5Nq7
YknTUrQcYW5cIrZLWgQy75K87ZrmMfAGHtbk/W+BkYUYovmInSOEOnuDWQqL1KAi4m12pnAyLjB2
f0n74iGsvrleRQS4ng10OtWAlELhB7VHftFjX7dEh+slRexeA8Xeki1urzHjMkoJaI7GrBnw47g/
V2JG5BquAeX6GlbmeFJ/teIlwtzLJc5MsoK84DXkbHIN+FtvyT73cc2TgDBCXh3At6lxMw5+CMuD
uBfSdCrdp3HJUhfXWLVaEtZunXCjDVHl9m7hpPFtHU7JuObWnmE7dcfnGg36EVusfqt8N94XDj7V
VQI67UMJf4mm6CrfV02NlcUIMjrSQjHzyKDRvNtHWSkuFjG07OSWALqCTsPay00VUZsTmMfSjVNz
nUPOXjWSbvTNiIdXtjcOQiGWjX/Guv9orGMRhX71vwtl56KjjuKv4YjfvurXXOd+QuCycBTL35xa
LK1+18o8BfEU9gPsAEdINl3/2mdJ+YlJxoIV6uIM86wl1//7ZGfxDT0mR9xipN04Gv0t7Uz+ZbIT
gg84vi+8aUyKGqPQn8cnisGHjg1WfbS5cN1NHBvi0QyrGapzVO6KKnahKpXa/NYY2v+sqXIENp/7
J6OOiO7z/McUpsW5MJ18D+O7X54pNMO6nNc/u2XG6SEsSUgXZuutBb7Me5Eb3Y+4JmJBDVj6rCyc
A2XmRgCTUIqomIXK8//YO5PduJWtS79KoeYE2EWQLKAm2TdKNVZj2RNCsiX2XTDYPn191D1V8NG5
ZeP+439o2E4mmWQw9t5rfYv0hJ7QD3QqTF/UsNeFMR9Yh+R9V3bjHygcn5qHXAHXpXQUXIYF9bDU
178WkCmbNQrVuj6y1RxvkWAFe/YsAX1nvZwX3/uXW+Tflax/L1g/jke7krQDmqTMET8VrDSyzTHK
svo4GMpZjVH+uohK1knINfj9kT4ZX5YjeY6NsorpCa0F59OZzUzlZ97uOeo9aj+b5ZudJBww+KjJ
PZQpdz/Fafjl9welU/FrPf5xUJgZ9Au4mRjILn//S6sgNW0U5+w+j51kPVwZi8C3RXUoyH0TgEb/
86MJOhygNnxQLQuf49ejRYE/JGWRghQ0B5FdSkUiMFAVhFhdHjz8/ljW0uX4pQuynBrwKw7iOfA2
kHL+/WAjdLYYEm5ybOIxR8EUU8tvmqaoNgwjmaCAwb3pKOevhjbrD4AuSB4mDqb9j88Z3ocPmtWk
I+Qh//z71wD34U1EmKXHpiO+b8OLviXYJAwfArkMiH5/0v+8h4RpLbthn7gj0q8+dX4UhbKjlUzx
xs7zXeWrdqMNnmAcnlkMri1BjeSVpEH84bj/vI2E6UmG/ZaUtMTMT+tSFqXk90ki4Mqh6dmU82sO
TjcQxJoAQvz9OX46lsuIHbHa0kfj57XMRWj7603kJsZg9XGQHBPqecTtkwfaylTTOSJz4vH3x1o+
65d76ONYAmywi5DAdIX16cdLC02Nwt7tOE/zYG0qdgunPHH6v2TaP8b/Fb3RiF7ix8v/UXbFbYVX
v/3f//NzW2w5JwTgKIdZZLhd7b+fUyfzVslqTCBKkmrFboZ6YuVOJeKi3hH3cZIwbBwxzkD+ooFE
PEkRxZffn+une2c5VySRLHRgcBBSfL53KM6ypBGa79C3zDssUmZW0WxEl9CZilMV+ZSz0pn+sJ5/
XMJPl9j2XE7cAc6Dz//Tz9lHkt1d6MH7ghfxVQGOO0nHna6Zfcd75dRkt2ijGnHbT2PkrcOhm/rj
IMvxJ4rhRiHCCIoTSUIYSpaRUIjz/BTOqXH3+6vz776n4Idh5MHuABTQp0crE044zJ5hHEzHk6/T
1Llq3Tc5ZRZonUEy76AEW02p4UGIqYbsAhkQYphDXMKxyyr3jBE6POKhc64DQ7beDthwleJbDrx+
//vv+s+71je5mozsIB7JfwzYzIA4AIz6CaRVk2yKDLt2Ru3S6u3vj/PPJxFaEj8ZVQgYJu/zuzEx
bC6K0SbHaqjmuyBZEjHLrBJnRjDi/vfH+rycc3v6Jigmm7ejoFf+mek++a1o3TFlOSe6ZBP5Yb9B
c0f+J48KEsg6WtcjZGarG71vRlFGe0oa/YcLa5lieRL/frv6DtNLE0UTPzSKp78/qbmqDZsnIzx4
3aCmo5fbLKY6YK5+jLp6vmOKZ76KmLDpBPjjkroZkwCfJAA0VoQfiDMpIOEp6LrpFuWh3a3aJiXf
u4GyDsM3K+ZLHrdo6gHofZlzJ3zvsTg9+VM+X5DUk6IRNEouAskMJa4vzr0yWXARNdpfiByR9zKu
zYNGXXUVY2UnQ61ODGDJw3w3RaHTrXIaTjcFrJOXPCScbSZT9cLMFZtqMJbhOznBoj6VRYNMtER0
f8Bi6ba0Sol7XzmeWvYIFcyMVdnY7ksMpeIHy57zOKC5b1Zj+JHTDGDkPe+1O2wK8NcxYL80vuAs
LEjcYWmxVJ+8djGLd9VG4p3Osm9jsGPbSDlmwmcfkiDqQJ9Kdz+4JpshcmPan74HI7BMG++b3wzK
/4KSl/uNpz/KdlkVcHjscAakoJa1E7yA923G/7UZsyC6eMv/bSl0MdUKqLBNMrSoqZnuPQSVM114
z+RPTTMNNx+XN5SD3tplbN7VThNnkFO9PD6GViSdkw0e5pJBFIDGO8cpneaP1QpOzVnpmRXKJ9D4
e1ll3JGVOVrmOs+t+dAlNddugv3ZrpVpxg9AaN2vnTJhrduRWd4uQIlFOsvnDGQ5XsBWEIzTeMmr
MgPw9aFSUwQ/L8jnFYN8cY9XE11V2St7Zdhc28Kxk9c8KuydhZT6hTYTmT48NEQMh0kx34mBRtda
IyG7NftmvEkmhpIbz7WS77nULE34oWATmTBunOU+LBbcl98hrV5PMdnTm3m02MBYRTXvSBXiXvIK
PV+igZR7WPdJO6102893hTAYHC34FyRoLcrflBOgC5wOCLZabrAtXr76JR4ik1mLz91LQsx4q0KM
I4cOJvc1VjDjQSJrX2y97nSJjDw9ZX6+DWYadcz6xxvyipodNBwL9hdg+IZUTBQ8lbqLGM4fTV+V
Z4YnS/Zanmyk3ZoXyynnE7IoeXA8ET5E2ttW7uLMlWV2mTjaGuyCd1PM3j5LCG9uCNQCqpA633zM
xisQ3ng2JqwQGeE4pjHONB1te20xwN8FIxY3yB1wR7mq9lOQ9DdJVE6n1Ap2cYznANdIBbIa9U1s
dBgdiyFYEUOQnvLMV2u4sDn0kCVoYUm/08L9ppg5XXD/3qgRsA8T8XHTTz559oFNSFOTPMpQglhp
a/ucY+E2yWRe17oc9llAOBapjYsRw5TMv4lySoL4SxtPrwAwXmpkYduUzDdkZEjzbXpOR8P0n5vF
X8eEv87X0+jzVutq+3vhuKcZ3h7kuOQ6louqyJUPfR+eq9KLnjWqiG1MyPQpzgsWYHfZIxX2dC0T
x7lg42zurCRvT0YPenqe5VXmNZNPTGkBeioA+N3YUfuG/aI+TBaqRCRGfQgpKnLSk1W5lbUKjci7
6kTOF6pyokjo99rzo5hdZzcOOXxr3ZMlgJGiuWGj5MabQS6DM8/MHxVQk0dalsP9VAn2D1VL9sOK
vKDpknmzsyBHvJ2bkZ+RIv8kzUnCU26CgoOyi76oyPyCzG344g3TtHXmrtsu7x8sA1VNVEBSN8Vt
q2kKejxp+ZGRJVsBOwO/pCb2IpnPsCorZbuWppewFJUDLoGQN4IXBd6hTil9UCGg1WSbtyPzm14X
uVD1WtV2cdOa+snLZ/j9DNqu3WYGPRbh/k83WgIEWaLrMSvUbbYr00zcmgBidtLroq86jYaz040b
nYTDKR06E70pYPfvTjqC6hUkPicgAZVxLAMVn1DKY4G2Bxg7c19wY6bsHSgRcuOO6HRvW0wK8iyi
fbPA0UJipP+u3RG/iSwt+8EuhPd1RLE5702RGJh5B4w/Vcd+jMSVQz3PwfVoNBJcHJMqp6rqtaEb
70AFHRyC0bL1qrY69VbbKNHqIZ1OjXYuXuGaZNAriGduYF3RR0bhGpUeNuQ8uMvDBpFh6IQOxX8a
u7QplPVgEE21tnQenPhRsXMLPGO8hHEukbfh/hhns73zsPwfx6YkaLOCTutLbgE8KRi6SQnfD6D8
dhKxOgCZxH3MwBfcRrp18Edb6TFMG/vCFUw2DpiZpg+tfS8EN3ZQXiTtg3VYBPZt1OTiQHffuQoi
HPmqJkwmFI21Kfyh2ucmSYf53Pov3YLEYaFp1n3LkG/t60pBpAcMvY/70gZ2MDAaImsPHI05Oted
6Vc3JlrULd7ASq7q1kiJNUXg58Jp6PN9jibwmyAf7oFTi844HnwUnsh0j6gapzdNOX6lnaFD32RA
mHbqgJE682ze6aSGqqUzKa6p2JcUNJQyYW9Vp9yaNE+Xri9DWuS3tRT6xkcHenCaNg7WSeAfinFW
x8EnMQGhgX+uIItd0g7Jjhv1xeuSeAXZvw6ary5evJ2UKQpTUYC0rD1Gsvig6SURZ/LktfX3go/e
qqZifBCIGaZ2Sxrii8lIAhu/0ZLiU3fsZX0LqW9DTuDGJffyDBSeWL2Kabzokm1W2D8GIyDjAdov
/rfAIRgziqYL47vq1bPK/kSEKNOOgHcgDdh5PwkcTwze9K1l9u1rqjLW7CbnrcEioLJIr3sXqLl4
1IRIeu0P3KE+BHy3HOP32AABoJM2J2ze1SVlkjbeGxmXl5GswetkEN0jrL7+1VWJ/y3qAshOC2sC
KhMpCDS+Be5JryCvvSgPhnSnE/NWOJqF7L9OGmeKmRVkbfg9hIy0WSaXQ2at2UUheLAnb6Pzhq6G
3YQYDPPR4Vvp8eCWqXlxhyTHAjbwzmCURV5d3nXkz7I4xaTIpsQpW+Fi8lPQMTbatSuWswl2te+k
NpEtwsazGIy8Riy6Q9yXdOWJ7p2NhyQPzF1A5Pu25qWwd8xan+o56X7U1EbLdCQn36bgKig/+R7a
y61MR8m8xF5tk53D9PsgTSd8moTtvBh2bbzbSD+uQh+/uiiRa1vkMu5HdwweiePtSSQU6ntYuwnb
SXPR4CePbIwJJAsl7Ius+SIdgvkWatXM8hrmITdV8WSK0lyZBDp4/ZitUq8k8drzd0i0YD6XOGWw
kRWrkc3JxvPIE7RKhcOJGhsDC9GUwZi8Zrkdl2uDOhnsha54VUYHpGo2MunhDahdsKeWd9cNQ4Nd
hil4nRXyZLcFsVHEEa4KsaRUEhaDSckgiZDb2UxH6zyJAsy3hX+UD46rzt/bU5OtimLK96BYxvtG
klVid350Ibjx3agZMzQzsUOy7+1TQmN329LNOiVqyg+BSXvAHnu8lLXq9nWszddMYyejxuetw0bo
BFjDBWCTNLti0LgV9ZheZda4z8hlWBFZPK4pqiUyvhEbg2lB/BvlQShw/WbRkzrZ1ICzSfWz2Qre
jlZrrnSeoorTLaGgRrWtjWreWzJZSDHBdzUZxU4hSj7rmt7BzOADyAlcWuMlke6uCmNEwl1wDUuD
AMHm21DMN10WnjASPdYqvLDk0jDC/oTOen5Pm+jJCoIvnl3ua3bT8EIJhTITVISg0VaeJrFLmO16
VovKz7DEY7UkQZmV/ToGFhsrIm83fmyTG6f0BosAwv4aBYI34ISTP4qeUAq7oKsNhICKIBq67uvs
zD9GgOMy7RCdeDnx7FMwRV9NRHoAzpWfndDvgB+aJjyNibO35m3fJM9jPwKp0/GVaB5Nv+8QBjXB
Nm6Te8+J4oM3ENKumr57Nmzlb0eI6oeeGuaq6xTMLpJzeMwn8yScxHuWLVrwpGgkaS7xoI5JI2mP
DulSThCGN+4rrH9biFqZi4mMAEqQi4baxcX4BV9N8BMvKkQ9o85p6JBX2frm3u7twTkz/Sb9CUZC
P97mtlo+z24y0nJpOg80LtCKHSNMfAHj94zxL11Nl6wBE2LxjtwEjLoZ+6GD53QeqagYGZNNa1Qp
6MmApqlsB0pO8s7WitD3b36Uhe9tKHkAOSojBoEGQrEVoZDa2Iu7Zh1x23cbAqrhtEbLTGOquvAb
cYfGNjQaaoyKuOs0mcfrhnfck9+E08UgU2cNQcjYakLqzevUECR46mCi7Og8lqWhTZ01sWBUJ4jd
+7d0toebVE4AzKxs3lmRyk5xNoTfosKgyR3hGvpitUJvJSA4BPczwjjSf6S46LhfSt5AE6gZi7oF
p9yzdcgNae5ry1FH9vZ8NMYPA3MOBTrjWSR2nuVRX0GS+i7zwt4kiu3fyo3rW6EgSuH3PQKVTJHY
VOpoZy0v0tYJT04saAqgDr74nUePYJnUfByvr11jO6EcOYbSYWZD7s7e9Nzi+eOfEBYF+kRS9lde
Guw9IeYDBLn6pS1AQq9HZdMl8J3hZiDyeWNQbDLrmUt5H2RcTATDgqgz3ew+GsWkkTFGGSt/02X0
jfMiqeGcJ6TUGwFfsYiH7CRnXe5lIdqvVaI5gSTlE1lHZlR53Xgrktx6LjqTX73MTL7zMKqjEuV4
m43sd2eyBw5z1hE6W0+TJhyM83IhWj/UgrKv6eOaZGCcUHu2atT2XZd7atNn4ZCRwkFXhOYliwGp
BMzX0YJXbi+Ilw7NouD+N2fjKqiiGlOUkezNLKWj6M/nQKkWR3YeaFoyaM9jUoznaqcBlrpXeUNw
sUAQcq7SmQnZLGhehXN2+rjvjKScd33KL+DMoGWgO893sW6x5fbkdfD9YqgEBsNjmiKUWXeYJbgm
eceUzeKP/FbjdeX1XDaalOslZOlil1a5r5ZWXNthJvIg195gafc3hAHPO+lyB2h3ibYP+uUD81Te
R3ZggKfufeKX0Pdor/Y3Y+mZz4XJf0GBoI5eufxtpblalhy5YS3Hmy49H0Q0swoEySaG+RwTVwV9
XxOkl7Tc97HB9toiXIYncin4yc4I32fLpamUcjc5Mx8K7rh6oZVYgvcr7f5R2+iwcdGEpz4Oq5cw
NkfouzGPjhHzCLtOx2ySPOlTWFvVS+a1iMKa0XAgtvW5iWogD60vFAecYYlEdMnYiDJ2wGgX9kGZ
2FfULeqrJnM3WRXkeJwwpcyXHv8Uycwa5tbywNptFv8s8PW9QPzk0GPX9qdcT+FR03KFx+wb7csM
0jIy6cjphv8XKDJXWHxfO9H2a/wxlB66/lGafgD8IATc0KvwZGp+Ha1DHvaRJzDspoCORRnster1
NiIb9+LQAr/UBZnkakDLup7lbJ3zyLZuSkeGJ5E7fHNN5SM2Jcvh3nQEzQ/Gov5GLHfBgOXhStSC
lgJuDZK5fMR9qyHouEu82XyNzLTGr+0bQIXjmme6UoLMbapTFICsj9ifyj0cH+OBvNvw3SNvF1is
Xu5BZRLY44k6PCEyK0L2AdN8MLzO35DpQNlHwnz/5kvqZGJlrPG5Jdzl+9j7TKFaNuSKVmodbWO2
FbwZIYxeWW1fXseD7h4Sc/B/1r0bvifViHpYAA4mRpA3k5sMzW4S3gRxAzjBsQ+a8FsqhSgJrYYa
sPEqGtybvE6q6V/t5/9mQP7Bu8uUxmX68P8XOlxekvLtb+L1f/2Pv0QOEj+PI4kbcewlEUEEzA/+
Ejl4FghI3h8I0S0suAsc8v/6gchWED6Nfg/ojE/wL1KLvzQOLvIHsfiLGCMHDASQP/wH/qDPQwWm
CRTMfA6zKNTr8tM8aAqAVhKwh4IgRMm1FdMFf/kvV+PfTNv+eQhEHgIuNsMcxPYf+vlfht6MkJbN
YTAfyFGGYuuvSGVZ+ZJL+v+u+X/hKMu3+OUoGEzHUcQcxSu/t8b3anzT4g+SgT+dyKfxpJdULqU7
h+jmO8+8m5JNM7/+/iwszAmfRh6+j6YVFyZGArrB1mfRSZsbUCH7Rh1w/KkfFePfYcuCYG/Z184H
EYLFxB3E6pl3vKJbs9uNrTNugXNY+2nsh31SK/Vkx7NjgY5u043S3h1Q9R4/dT8OV4GSCdWBMjeO
Hntw/WF4jwaO3ZdH9PjDtLTSvNRLz63saa9XNAt8ku19vwWIafWHjlACpMkxHHvm0/gevfiCk3QC
qdhVK5moioKiYztg5t7ZxG3AfAiQCh7KKb6YjSFZv3OU1CaN0dgQ8OciDNQQB6GuI3nvrjpA2I8A
b/NNXMfkRHnND2kXHrPGgmAqo+k3rTfjAbLbKzez9eNYTu7dgBttb9Cz2lZE8LLNgbaRd5a7I6MR
/dtYWxefCn9LSN1IHPHYf3E83L8uL4Qrb06nbTX79kS/s7UuISzUQ0VzYB1VXXwXpv3wI9DQ/vrZ
IbxMhiO0px5ngJHMbwMGzee4RsmxwYo8PzKcFA7wPetNqdHI14zR9LvRuCR6kFCvn8jKJRR1lNq9
6xG2E0fGBUbFcako0/WKuQz8z0lIZMGhhkNOnwMtMGTUEDADvlnyt2jZaA8FYmpcp5H7pltUicOk
u5/pPD66s/0WAHr6NtrQSdzOSJ51BrDHnGj8rlTcWPtycN+WHXGwiodmPqQNSv+U4R7h8SGxCp3J
5xUj3yMdvexUBKJ9SgzQ3ER1eefC72LeyEO4dYTCHIEiEaIJkW9R6fSbQNVqh6ra3CNnn2kKSRmt
A9LRtj4kbDbiuR+dBE37A8UUB7BnuW6aVO9JSckOqUj7+6yau3sNnYNaMyAXNQPPd5dH6DuJzspO
jLUh4xlVt+2ZHN/4AZeTCFwr3BT0cjc2a+e1Hoh0PaaMaXZ1jp8M7HlChken2A0hh48YziXmfVp2
2biCuyhu7NxK93EUmXvLVeFrCFYK9pRthNf2ENBjzmJGWovWGSg/jb6bKSZab4omuQbW5Z6mWjVX
jbEUN8XcH2VQy9vQcIw90lzn1rOK6GpwBYFiDfsjtNMIUEVvMn2hAXFslEaw3I3gVTBMhq+aCSQ+
jqHSK8fojH3FOOjdTTP/nfaWXrcACM8KYNprHJjWNuoaF+gpOH6M7TqgHxws1yMEZ7Ox5vFnzqwm
Xbf9mG/jiFml1VrToYAsfAVi232gdpi34YSPmoMJa+97pdoLjAHPvh32SPFFfGcWjXno4azIjduN
bOu9pKdRS5fzh5XBkmrIKbyG2j+8KPKbL2UXBTeI9Z0HigBmShgajO3YWOI82NF06/QUhojW/Vtg
3eXLFIvhTk3TeDumsb4e20ZeWSPb6bYJxDmrqcKsRvRryCTyvkZGvtGIQyCL0qlbC9PmAA34rpgY
D/Dnaja9cgWFNPMwTkuxYf5f4fmBGeAmUherOK9isiH69KeYZXsAQN9uSUlu99waDC8ha+zqqW73
uhqgqLZ10pJhEyOGNt3mnA8SzXpcNfHDzI4vWhHIyWeKMJabNMDJykhxPvFtowfbqubTlE3NmdnB
tM5FmDTrVJaEs4kiDY4+O4YdmmHJRDAKjoJwcwgMIz0ec/EexVkCn0oSjremS0iZG5h6C3RTHf9V
VcaNP+2Q4MK4CLsQEwwxe2tiBLgOYzUD4aRKui1z1bzCqtEsY312l0PYIeWSXHDNKvCdkIKZLE7P
O8Bd7N+wvs47G9XJ+aNmGqok91dEQVDcZpX1ikWFgWPO3v29DZiQTy10TERDFLxLiWWXUgBWozZC
NVLQjBLeUgWjaGx9+tq9n7Ed5R7+YBX7G9eKlsnMckhmf3RW6ML0626y2bs7+dJYy3T7lQj4dsPe
l3/qKsfYJnhJLh/lvN1G9he6wmx93bh66pOi2OugK/dU5OE2mS0Tf9sCaGpoY5rjstmvuhccgfro
w1bJsEGQ8+iHmXlATJ+xeKr+OqDpTLUaA1hSVpBcZIaHwTJIB1wxLRsPFb19m5RmyzkivgcQROup
OIGCoxbwyMXslh75fNBlzRc2RzkfyJGU9xZ+neePSW3iLp2ZDzmnqP1y7w2S4mWuOw4LjSc8jbPf
rixFQYv62XggSgRJlzHy0/sORujKow3S5U7886MizJZqtVBSnEMQaxQpxCniPULQ34SGv2c3qo5O
bWRPQ4DRqSwb+hCNNLbCVQEzEDoL0Uf/aHnZQWrAipbSSxkk3R7HonSqAsYxMT2lW4eQmBeraEjP
qbnBUdRnp5k7eo2IC7KVa5ZvKe/wI3Pf9qHN5PzEjRTdytiIbnTaBaTHMMaRLuLRRNUlNBBHPms2
pBAdSM0lIquMpn9VfnZojLdaZ/PdbJj9W1+GxmOx5GvMWqfWxjfkX79TpsfwfTL5sqPrDDvTra1r
+iHGQwT86BYnCJOF3MZxLMbkW9m1/l1Q9QTzYK/76nST+7VXhvs1FfV0zZtK7uImNjYTgbwbegv0
EAl+usyRob6QdFBubYUpHID4eP1x1bVgMl+1vn9jL6zcsqx48bXpmdxhi+AiHNJlh1en4kbcjQBc
zx4zlG0ZkB9cTNrZ1tCcaReZ5E3hdZpOHXX0Tehb0ZGRP2OXj3t59i1UPobrs6/w3fMMvfTaa8tw
yxgjAnWKsWdF3ZfdmE1aHIlQkc9BiD9Lh0jrYNryMgR0wc8/I1jO2oqOAzYVjFaBA7tkoqYXs7W0
JZA8ZNN4zaIwHW1y2288Nc+EZApIqUy8pycinwRxYDNcwRlmFU23jCwN2H8Avr30BoYtJgeH5pfb
FfQQhxlLpDfQV1T1eNN4La9ukjKA/DUVrYlxLrxsg4U/JOnCIhaEd1N/DBRjylXotgzANMGu69Ir
q4cOJdquY8FhD8RA6IzjV980tA1pe8oeVTQNnGkgNKFBQ7JD7kusK1nExkNrmlTYGJDYMbugM/Oe
LqAZtTyaWhAwOn9oM/2+oeNf93QhrDJ/Mmm1bouazpQTJNbrhxjCLRhwg3ExX2ER00AZk8pZGe6i
GWJqvE1QhzLlQu+jMs87ycEFSqInBYmQWFi8Ij1CmSKQmCF0j5JnVZJgc2dKxiHYVXJ6RyF/eHAJ
2taE0MT9VacNkHn809vUwcACIL0JDy1s7n1iOvMRJ4rcD0Q6Lmd048Wjvab5ActoTux23SXFvT1m
asvsutzOdWzstag0OS9isr9P5eSTk1029wDQEMtliXFmYnbbYe5dAdSNMbsYb34D4sByy2enYxSW
k1NzxWlkm9ysWDlF1Kqd76thW9GG2YchcyOCY/QZ8Y9CHtaY3pYdYsygijxxHU+3Nr2IddbK4odX
Gj/o+d2MUBF29jgUy76tOWIUIkhsTh6GKp7XyjeiA6vVngvRrxGklpuIOT5zMP/ZKFG9A0iomM61
Tbjxh4W46jBwMH3NjF3UQPu9mvPFlAY1qbNJAwaRRwOUXMwyjtYZJO+tTHKUnZXTdyAS0vh71PXi
kEGTIGqrIy+W5PfqvkYXP2NQQxC1Kuz4HKeyvi3LrH42oqxc8VYvsAnVDON6D4WYhUxmk/t1duz6
aSbLO8j2kMS7gxHjO96QIereur6ab9NIqvsaauAWBYDH/G9UxUbOUm6hvYXrUBHhncO73/VNRklu
5skJE/JEg12TAajm4kycqUNfNxeB2gxV5AyMiLoxy85t+cr23vo2ytK/WEGnzbWyRXXXNymIDLvq
httwnqqjnugyg/tpd9pHEmEXBfknGQ48DEuKX3GDEevVjd1mWPeAQW9cS6d3pdDVrsMS8U0q9ldY
hmP7evID/Q3vsnciQrb8Gk6eGa4aMLZP5vKGlFZR0/L248NYlt05Tnz3Ehet/orNVhzgAw6nXET9
mTDx7Id2U6QGscWPW4G5ue29uvhZtCBYe2m5LwxTKjx2WKRPFoCHK6Vpp0v8AjQ7+9Kl1m2hTEyG
dh+d0iu2zPct+tgY3K4rY3rLes9/tiuvZKg/k/AX5fMOsVa6TvtiwjEdz4xSYqLeV50xwkeZFCtZ
mqcHUu9IGZSeyc/L2/Y0UVUgI3VmuBs+OZH1vMFT9mDkzKVKTd4Yq/yKxo1P6i5zq8yqvyondQik
oa/L1Nhr8LayM95XgSweqqyorvSc20elmOCyny/QR2DVy2q/I/quHYziQLkkjbdJ5yhGBkiYVif9
J22Qe0Dd6e+pYoaVbSThI91QfcVLMb9lq5i+jJZTPaZN1jzXHTmJ+9rA0rZKwibJsBsvFG7I+USp
G7q8cx1rKAFn0aPMlCTzowPGdurt7i0afGZ4tHeuxsAvzw472x9lbUq4HQTaSSO7nqseo3LrGPle
IzlaMxWqrrKeiDXkk7W+ZoofXadshlapm6ft1vdFg+BHok9TcD55/n/C08R1yTstWHWY8JiWalLf
q7a7zTBTbFzMBU+jah1eXDBSrLII79raqV4do/7upu3wHVXU/Uyaibvz6LtuDFqu+7SZWdlrwyFK
bgk2Czy4BejD1Bdh5m2xDsk8kuC5dnPfE+zGHY8FtHL3MSwaQg0JUliRxAyCBO74AQZ/9EoLmkwm
VsKVcAx899HoPVDq8D5Bofh9CYze1FHw1YUCdjZr4pz5FBvRfKPvwa399HJf3fSVnnC1hD2Bk4hf
uG5TegkIWdv3yuOKwfDcwx0YiewKuChO6H31+th9SPoKE32X8MCqANdmyZ5qismtFIRoaSe2b6lB
nliQs5uxnuWpQWK20lD2tnVehi9VkM3rnMY48X5Oei2J3MBvaFDF2IrdLaiIZh31Q/mlxCzPDte4
K4pCH7U/FXdhYshbrzEj4AfSvrbi3nm3IqiuVTrUWwUL6xQCG74pxRhf5SIT926NtAkl4wxP+lta
4pSPs3ZfsNxu+5qA+VmP5l0YdhJKLqriSmfVfsK+eq9ZcVfdiD82CHpzr/LuIeog6I+eKU9OVE17
PajvcVB6hzSKeWOxESSizTMOxFb3V2zlvNPgItpooyZj/1uV751O+2ST6/rVQfz7rfV1hwqAUOfs
tTLT1DxbdReegeulG7olAzdbaz90tjFOa3KXRXCd5CSkrquyITvdUVUtdk05zpRmsWK8Pqn8oSwC
csTEFOzjZFHz08J6QAb5No6IDE0wNcyjHXUy5+GHJ6gaRG4XazZVFEkNioKZLOtjkQTWQpY+GAhT
Tjz/ApytfCpQ1KzBw0UHdoX5hnbHj9ZOmOSaE2G1Ke/XaRgO3ShfPEqQkaxAocw79lCSzhltIqPz
rR9ukA9ntxLOVjYOjZQMOnQUWoc+MML3WDriFtyTfdeOwXszusZTxKP3aNueijeirRrmYwrEYetb
S9iNqPZmMHaQF5pyA9WJAAVEyX8wKvyzC4qBzxMSN19g+fZnH4/EZ0+Ata8Og0v/rjdoxiV1xT3Z
7KnHiz8ozf/R2fWXowUWIn4AM/KzycUbxcg+yVOHqSL41kQnvUoKb9zmUZ1vft/h/XeHwm4Gv1PY
cDg+K9rNVta0Hy1OLPajhzF1eWWkvXUxNZzr3x/qs8UEQijONmx7AHICjvipX21lwpzIEFeHUpXd
VZbr7CBVypaTm3fVRGOxh3M7/adNcg5qW47l0IcDSPP5oEQow/MiVuYwEX+6Ir6et7SiZUdN6v7h
/D7beJbz44FmhOFhF3TlJ3NAxuI/17WhDmQrOiEZy8S8G43/f9g7k+XIlaPNvkpb7yEDEBgXvck5
ORZZHIrcwFgDMQOBGYGn7wNKaiOTacyuu/4XkkzSrYoEEIOHu3/nS/apSUYT+4nqm1QGGcRsii67
bBxPjH8o/HgbX2DthRJ1rtEc1k5CS0Z6GjY7L9dIwBc8oFMN919/xPkh3isg5kGEycScdW1IMsyP
dY3R4LhofbPetS2pW3eIiCJCVwRXmalPu0lBD+872NRlTZD89dDH5o8wkSrqPsUbY66CvS+p+LY1
GqEp6jlJouhBs0FTJnMi2NX02cg3JAJTEQ52Xw97bOkLSyc258sigaf09X5Y0fhO6cYM61ZJdmbk
/T087WkXOsxa32X+fj3csQWJUBhtDfhbMLgHLzisK92gH4jhmta+q8xqy+Uf2AT0/RO7zCdRzdu3
9JF+cgNno9EPX+g0/edbOlM3/Gre5qYKut+AvseFhjcXegn6XRxv0l8iDAF37UAq/uvHPTZpsY5z
gL0KNKifFo0r2gktQE1ffmjd2PBALmXIFvv1KMdeKp9wLl/pFD4P1bUWmpQOQCsb6rwL9Hj50F2s
RlD9iTzx/Y49kEXjgGcJsvKIFD9Ol3TsCjhOAxvqUMGlGcpnxyufv36cU2Mc7KTYNJoOB3W9o4ka
47t6a3n5KcXb/PEPFzrzDwASU9F2P00OP/GGGp7nThK7Xoadbp6ZsBixuRviH5HGDkOLkj7zwqHU
CLr9EPCd2tE+Lz2BKJkSCuvPJ3VxsKNZtqR9sPRxrDBg6LeQlZaDkVYYpyZ0/ki/WP3te2U83A99
4ii02Idrr+Ja5SlEP7u8GAlQHHUDHMk9EUp8nouCGjpwOFK7Jo2yBwvcD40WW6es2kF6B1wly3iJ
puDCTahlfP04R0biITzbBfSBrsk9mCZ+E8eTUl65Y2uja0lrzjEIvJN18vD1OEc+k+Fapo5gbo6O
3kwd39W6HZmnwq/dcjfF+rrOXjQPCm1azA1XZ1+P9Jkg54GrezfUwRlLjsqZlRtIhXqfxH1h4WQ8
uP82g0OS1RfTvbKJx0D3BfWqslpvpcPefIJSTtfghBFvQvV3azak0fJakADPLRq+bC+RUNjwnQyH
aLoMMu6BVlUImkWpFnGvateZiTvhmdtn49VQdmSwFbrdJWk2gE1OPJ14UKiqh8uPE5y6ns4CMNCu
HOzN+Exowi863mkTtY8+9txXRu/dKseJX/Kpc8+6LKN+mtGJhNZ942JUSM3a2TvogmKbyqxRyZRm
4vs84GLUOrjilvmtHLzLKSCxlJdptW5oEl9UMZY1QZ0I+jCHkh6tHgcSLdG65WiV1o7a9rBqWzR6
jJOsSOG5F6lFL0OSAmEZ2a9XfjgsJzccVzgFZj5vywSB40+N/tOdG7u+ngFH5pqJnp8ODs4sQv45
SHg314K8r4g+FO8lwYGlBzC/56uPuzCpaZLHMnPYfT3g54BHCCTKlo2CB4LHYcCDJqHvB5mXO99r
oX7FZb6ugMNcOEK228AL24uI1Osd9Lbw/OuRjyxfojl9pkV6aE0Pl2+NsbEWdU6BelCpH72D91hF
vecOoXry5+uhjjwkDR7sRuQ6+Ndh6EhdlPum6opd3tdURRB01KRr8TtBalLvnSaNvWVDgR26q0nS
/uvBjzwncRWWVsCIecmH0nMXnj5pp6LYNUEZb6uhuAtnrbeXqPqvwwBr3qQMBLxcr+xDfAg5oCZE
OJrtkBw9KlUMK9MbMc3JhPjraUq4QcMUjVHcPj7pxSUUxS7su4y+gm7ABYDEq0iuh8F2NiSefv/t
C7R0wYOZhgWBAefcj2sijDNZWFnFY9m52CHnLUpqiNR0mmw2lP56sM8LkMEIbQgNbArah8dXRW9I
5HQ5T6ZZd5HQHpGn/U5GcUdD4IkYZF7LH0MQhuJa6vBo7Plvaux3ax1LqFgVGo0YyBLXglypX9rY
Y2b9BDkPNU9mnopGj48I/4c2tnnRHR4vlnQ9BMnprjL6s9SXL6Uy7kSdVnT7OhmsTPPi67f5ee5b
OoH3TMQGakG19+Ons6GtoL51053WdWcYcuwsK8VfSz8xzOeAcR6Gq6GYARPmYUKh9/QRsryV7rA4
mwXhgMvkyIn49cN83kUYxdAJNkA5OJ9E+ihkRkysjHRXCzJaZHroKe1e3cK5SaqWgjquykKVJ3bJ
GYf+aZbMGwf97TZkhkM0A5ZGKAAikgm+jY59yHzScIVMaTP3qdJPBUXsRsFjXSCYw94SNKik7KW7
23aswn1GHXkDEv9uUnZ1SyMudAEpCQ7msKCaRQi0xTn3vgnkAUWgfeLXH/0ws2UgxUA0Q4cfhpaE
KKOyke3IThfrRPnJmTaS5/z6wxydZfRVklICTfwp5MytimMkLLNd0boQ0sp+p6fGnee2p6KWY58C
r066KgFPcIc9mM1uJgpZFWxEoxQ0sgTRfnT0cfP10xzbgRxCAPALXMp5dx9HmcAWjWGnpTQPoWjp
XY4pBID01DfZT/r1/z6K5s5ImyhHxsxIOryhon13oDqyRFUa/J7fXR07N3kdPH79VMcWzwxGdmnJ
5WJwOI3HBr+/qWTxZLHtfUuVQYktsH9TbCk3dWh7v4YMwg7ZwubEUXVsz3vj+pM4OnLpIXWqR8Lq
010InLQtNBQU4UYmDzKZvrMQT4x2bMJz7TGZ7NwsPyXJgCHQQop0eSdDmW5zx3ZvBhNV5tcv8xOv
Bf6Rzkt0TY4jQZvzwb7qd+aImU2V7rxu0B/iSC83GAnSj5aIPqM25w73ieGVyw4nm+tKFemVnbli
G3n0dGLT41BYxlrLqNCYo8+gH6PrklO3W+Pom3e5YbMyYZkdBj510Oj2kOecNqNFmaCtXozWB0Av
vGYfu94jxoZy6eIcd5EVIn5Ih77ZB375HNHRMTmz+nLIrT1ZJH/hKE2CxeU5vn6RR9YaNW1CUBcH
oDk+/LjWMpffEI+E20Mx/ZaT0W50STNlkNG/ol6+HuvI6zDeeoztOVFL1P1xLBP6hA7Kn9A+MH7r
JBxWua2/NArrMRdvdURaTnsiwjiy6AyDih0RDSfWpxC7rzM11mHJ4yX2jygOoXHQtUMdo54WAnXm
fVUP1YpujH73988KowyHLCIbQxzulBYOCHHtNeWOu9oVGr+arHR2QzYeX9Y0fFC4d/993MaAcxrA
NLj9HgLRWCuIQK2q3Gl6WC1h8dKVUIj2ZgB6sMsdLtJfP+GRM4fxiKEEBxvB4sEKzIPaiuKSVzv2
IZULqx5WelVWK0FH7D8Zykf97jkEjOC6Pk4c6Vpxmxdc0Qy/LL4BXUat6bbOedwZxont69gcFSyo
WYcwZ/oP5mhPS1wxkRnYNXl3B9Xjj21Xd3g01Is4rG48RO1/fTliA0N0YQIio3xyuACNkVqb2UzF
bjInevzc4bbu6pUkD3BioCMbMyl1OGSCzDMyjvl7vgu25YRaTw+4Amah/RiO49abqrsTU0LwdxwE
9B/GOJgTvoaTrmUxBg39Bo5fsTwDUWPfmp0DRCYbGt6ijjRqqCW0sSS8L4cazq1NrRYTsJTkX0c3
ZBFT6bVwGNSEYQBsQA0di7Y+wx0zujF9zHgLhUIrkHqxzRuas7jdqiVtsME+sj2KFPqIWNGYaUZQ
bY1bPMdotioMeBpl3tRbvces5Q04dg24leiwnMXhcMGvo9GNtpi9qH2GYPSqF1F+2ePbtPNS/y4u
02bJG043ObmiehHRKLijORFzlGGS66CLbJqF0+GitEQM5SjpNl+/3mNz0zJc12CeiJlS+vELgj6p
WuUwN2kTfqnG9sWL5LUltI3IS0S10Mq/Hu/YCifmJtgjfU9B6GA8O1JFJUJV7EB3zzmnq8FM90Nb
nAheP5fVZuKpKUj8kSPAcPDjYwEciUQ9+ljl6umNlHFNz6D3q0rvKUJf0pCy7GzzOayLE1emQ6Nt
ixCCccnS8ka5XB8GZL4EgyUHm5xIqaYfEX65C6+2tBuELnq2pmeGO05l5/AI0r5aZZhTUNwu2Mgr
s9/bdPnbyaDthd5pG6O1imVAYygTTm6pd1LB9pOftgGQfBhpBQRJE6781nDIvbjTKjSC72aKjt+b
7GqB8tFKURUiz0v4PaAf5B80H8Y3nLeBWY9I8FB08b/nk72MmjZZu7ALHiphn/oUx764A4AWyi1p
BjF7Sb3fI2K9sfMixbUYgJiiurRQg75NjbY/MbOO7UXvxjkMjHrZY0gN9mrn2TM5mXzDEmuP9dfT
91ho40Dro65AvQ0q6ceH0StTlhXYph1FJ2+pZsmiDmc+hcAfNeqE6OzoYOQrubPgpvUp7HVqNqMi
Y61okYOZCOAEaD8bOkDppW7jE6/v2EbgkPbntECy9yn4zZQSTkIX1a5O6huAaM4SUspjmdV/2pie
hcg58SaNY/NirnlzgaWFwD2s00yNzHi/xGnJmEETmUzjzJvqYW+Si1+VQot2lqxQfEtf3MbYBO5U
iKghBJd56YVeuvFLS927SIKQZwQhyKqvv/TRn8eGSBqJ/C3l649fehiDRksjwpyhkn+EHz5EZv89
E/SR/INxXI+bItffWTL3cZym11Qk6cfbcROVZHPal0Jpw6rs6hMH6bGwdUbbkmKZ/809WIdi8FFw
0Hu5a9GMRA0trkNxU5c2YHjjGne0uzzzTyQqjk3gd0MeBqzJZGX06On5Dt+gLbYNf3wro7ndOavL
/sSdQxybvzOIm1w0uG1ySR/fYzubG0yjm7PNmOq5jeQrTEC80TPDW5K+DZczHwBTIL1Yx9WsNdCM
uTOzpukPtNEjLl7RY1BBtepMFAuo2tAZRW39PZx88L9FlmE+03ib0R28B89m1wRo1dAwpTUj1jdz
arM0X/XBRM4CD2GU+nNSdle04sg1tP8/sdcPi1yJeN3lyvwuabrmsDftE7Pp2FvwZ6UuKQ7m7WEB
NsskXqXoE3aTnPZTOxmLVrceEY+fkzN9bGM1nBjw2CeelVk0yrgkWw9fu0yMUFUEQ7u4gjnQy66W
mzc6gQiB6yyauSf96wXz1jtxEBDSMWPygCwXrpkHXzrUVEaVNMt3Tj75y2jonO9WZPTLQij7PCqz
7AEeGhwCi87JN7mAhyvpQ95NwKlo6dtqA2i9E6/hyHsn2Jgl0MDhuU4cXHl9B6vS1hTZDnSktY5q
5VwWEWGjSsrmMQEejU1W9PPEiziSxKQrgazPvGu7n+6+4WhPMuhZ0c0U0MoqQmtDQ6rYNEHdbGEu
iwUzhc5JGwwiDklLRU0G5YV1CkUsjuyVsy6cdgyY2RTazI9rT6c1wsnbOEe3nIBRedM1xAL0Bb3V
hX3Om3H3bUI3MhIrKGUZSWRDy6mjwhPpvw1i0DdKBeAm3vjy7aT/ICwuttHAlEIxlW5o6rO3tOT/
UTRjs2X3a8tJojW9wtaq1op2FzmVux6jzl154blZpuJ7iinuNcsWEZpiITxGXuefZbr7pAMFO3Ex
P/b8VMDQoLtzhf4wcUS6LcmaVvD8WTp+B1NKL6ozxo+xoUWbrz/6saFovKbXADU6x8ZBAELRCR75
fCwBIY1WsvJmNd8o0zM/ysLHr8d6+26HK23O/gpurxyDh9f/QnOybshjLgc9MJ4FNlQKsddkGdtA
lj2M1cw4N7Dw/daO5nBlmlp4Y7Y4X1sik1tZgHN5+0H/g284gW+gLc9jx/l/KIHVS/vyv/68OVxc
veR//s//vnwB3/VS/H5PcPjPH/oPwcG1Zy+KuTCsc50kOcBG/l+Cg/8vog/6jijNzXl+ptx/CA74
D1LhZWb71hy6vyc4CPdfxBJcr0i2Wi6nofgbgsPhKYLPhUOaHNMLnTaaT72rhY4gP49SwAehYU8Q
zK3ignquus9nL+cwtE9hEOZl8n5mM6ALi5kTi1/+OaMM9jHCMc1Ru3Ek3NW1Hm2fM8Tbdx/h27//
vi8Z7TzSbDlBhMvW+OlwbKnU9ZUdjZglo3YazLG6ScsaKwjXkmtdG7KF0ZDisqpEu20Gd7z/eng8
ID49JmlKExWi5Zl848NrMMhoaDfKbXdY4GQj/NNo2mAQjxSaRomL0Yzqs5Eu/WaLDgKKqQSSOUMo
YyKlhirrdzieRrgooe1xacbCFicsJEneNKQbZab8s6i/8nwpMm3qF6NEHIySuIFxQ8u9eiWzkN6K
xAPkihxpF1looAPXqSBu2tUP1MRqO9Of44UMDUXGo2JvW5BwnfCrH407evLkVQ3B8A7UAYpKASti
cBr54uV5rKPz6NVr1PBEfZH1D1mHAV2TjMVFYIAsQJmHUfBQmsVFFOikv2MlnzAb4Q8OY+xfNOB6
1kTkwa3fAyXGElvq5Z5XVeT4W+n8WczjLbE1YW8D43Eb2BXI0+5UqYDjjGV0baPMIC3j02SGigx9
jRvXN2XWY5nUzyKNpHXh4Tl0Bk1ijElE5MMKX476LO3M6gbcVnBGS864dSoj21e0Ga0N0fYPCRy9
hyqZnO98HXNNRwwIaxNeb+eM1S9V4iQSukQ78VCoexpXyyds/vgyFfvtzpnxGu4Al0i0hX/hYIm4
q6pIvQ7o4+71mj+i9Lp5xIveuwjG0Nqj2TPuOhijj0k7FBdjWfoXeU4ws8Ju10oWVo56Z+F0k04L
cibXjQyy5VD05hoianornQi1C5RrMAhl/csK+K9hSoPgMoSLEO5ghyI2sboKCzGWs6e1auvEXbYv
PT6ucuWAsVEC4K0RNHjjdIWviESUSuYC/q8Le3SrGUF6G9LCB2s1qq4wzbBBGof9n1THTKlAaEvu
TNfZNIzyOR6r/oFyx3TpVz1/lYjUVuIauTBGntgfNHkVpPNi1yr7Wgv1npZOnsWxEn/R+lG+7JET
5Ys+Kvo/mBuoLX7D1nVo8SUCmscWViHVKof+l8Mn6nivKfQwN/PtJXZSCazdEQIY0qoguHX0oPpF
8Xm6LIZI3ZscpFvAuIgQ6yrdgFJtf+uJY9xhkjescMoBNafxbpuQ74j5Mq96nqJZAZJOYXW5mdA5
hbAd+RKWg4bEMpj/WFTJpyx0g7OsSZ8GrengwNf5dei9wk2EnhVruRNxQc5NXIjtZ2AD1WzS2T2E
JnMTyVUab01UkSvLyp6twO1Bv7oSKwWbSTkTrcaID4Wgut0ElSWvJXzna78d7OtOBcZdETfyqbOd
8hnRGrPVRR6Pm3v5LFCSnCfwGL6P3sxv1hKwWV4xlC8hZCna/ITSUGT46ert4byIRdCUjXY7Klm0
qzFOpkuytM2j5Bp+q8rWAGnNlQJkr4HKPEvypTPo8a4tTRcdcjDGW1TSeDtkjs5nytPOnRnk1Q8j
RugLMcBFN2KK6qp1EHabjyRfZ8/6/s3APq476ylGkYWvfS+mwqLNctKKNY12Q3epqiGwz4ZQdNYt
mmzUudao7g2gAMvS6aJiYdgjbYPV5GyYhzbES5LywKPHlq2pK666EswzykD/zNLSb63eaDelnt1q
dndl5TLfoB2zbyaYdwvbBd1b2yEI4OAK3iXUcHJ8u9Ccon1upvcNhcs1rm3durPUz9gDKG/13e80
MvO9VoS/cJiI9tFEPagwOnlRYhO3zux+hIwbtr8N9KbrMG7Ox7YKNnQbG6j1U39lqBouimuHNDGE
8ZU1wU8HidurZY2M2Em8My2V1SrOqmJaSD+o9vTd0KWsjeBMdVqj8zglJ5ln2WsoJ9Dj5BBBLzeW
WuJXfasKN16bueafJ9A7LknRDyjWWLBIvo3zWNGn3vleiF8KH9I0en2vQ2De5S7CYtkKb10OmrmE
HsuyLGbEiU6joqnl+vlgx/6uC43vIg/8DcmV5sIofJGtTd79r0YOg7O0uZbSuYitasDFo+13SHkx
0jAGePsBOM0G0Gph6h09nL5BltTHhNsOnGqlguaXKIduG9ohZx4HuLdBSdovItzS10nhVLeUZw0k
rWmzoWsrwiou1cDGeeOzhyPLYhDpeF6Ms7QoS9MnVEqlu3RGR21hvYMJpaLtrbCwoLuktwQRoqAW
ZJhQZztbuHvyjKa+UmwiwBBSaTYLybq6tLJGnoPFh3th6uaenolmJaKIVdWs4eJVi4KEywIYsH0m
nXq8nwaRLOuZXUARajdkK9FrJRxfZ3qRmW6TbcunO5nIEjl+4+/Gyfb3eReob3EqplUfdNVZmktr
6ZgZai8n7RfZgGFiYwnrxm1IMZfB3HUQ1iihdeltKq2nxjI7Dgy2wAfZF8kP1wmRyetqwPxWocr0
e22DZ21Jo2x+kxkaZzlwqH0cC5jEdE6uQi30H6DsGNssZsY7ooz2Xj9i5TcE1mVJ5g/29aDd4hXh
XRnVpM5mj68MkwMfzknl1PkfK6yukB+4F/5I3/vSGgaIvRl9YzTpROmlbCZjL6m2VDgrO/V5NgXi
qUtcZS1ce6A918RE/TxSQNmXiZHofyRKwgxb58IZV3qi9/upqvylzLV62xmZ/TRkXYzfQRonF1Yb
Nr9ykTg4CDRWTwXOKDDvfEILqKOYShsktGVBF4o2FunGjez+Z5kY5bLNhjkukNUNkrtsRbN+Ua7h
c8Tn+PTSt4syOXGZfnm0p3++vvCrprTosCVxiP2rHSNQxnx6mcSlfa3MIN5NUSF/mhK0IYh4lc7f
Bm7fHCIlieAcmk0mErspLnwTLwSvkO1vDwa8pFbCFXqjpw0HDt2/6pV7NLRIpQW3kqoDawD3jAs3
0GWwCu2ZFhjFOYxtaV9P4CdutVJKHjcW0abDDxGJMZWgZU6QF+GnPcqfo+yobkU0WyD653SmLRrX
17fgq4pN4w6xePNbAvDyVqYd8XxGPmeTRqXMNWGo833Ew7FBel9VgC16K10lkZntSdwXFxnkh52l
N1iJlAObcZ2EySKXUK9Xkd1wuPt5qd0Wod89xKYIr8OcSKOwHXkVTm+/wq9+CIxm40VQVfOmjC/F
aws7DE8El/DEryrjG9tg8VtIh1uwhh0RpzYWLU7IRrTIa37OzJzYRobWPUQxTMqFUWleASK5Vtsw
d9S53mMDEnX9sApnPWhJsPVEn2m+bNQc/qIeenLbMQNHwiOQ2KHxKh/VK0KDeDtOQYmrSezDqx0g
2ig70PE6kCJDNOZXJ7odjGN3iNnfifsSdflPfWC1Cb07DLV2F2pmdRaQwp3DYbdYVklVQ+SZw3tR
eaueD/PcqBrR+FDwsrvWPnWhMQ5z2HOSfP4l+G3AI/2kBuxKUeZgJtudFRP5L5Eg2deu05rrsIU9
oywCwsjnzbahPn5zQ9quk8YGNNCWz2FQMDEL3IUb0avzYpDVj66zrGuoUOP9QMR9IlPzKU85/9hZ
i0XNn+6sTypCsjep22ui2Wnx7ELRANFVkoWmGwkOwh2zjqOICWb0zHhgQagOOKdmI4TyJZHEzS4w
nhOOXW/52I8XX6xz0UzNP4oG9cPGtBDZsOnH6P3yXACDp2dh1sR21cU0aP22rrtoxdY8rRWJJkwT
OiKoRHJ5daN5mdLxdZsMVnWGpAKEYGCXv7FodW88J0Ts3AJiC7S6rBZVa5/qziKX+ukyi7jGm/te
oRzNxeOPWUa702jpVYikRsTfS3yAZbKucl9tStxHeJd0ZvuRcF8x0ep3QLPCjWaYL4g0HmHzCIrN
hEuaPYSrjs78y742radeAtaIJ5Ge63ounk16PUekZLLoz2FYeBCUjXSFJyuMJ/jD25ytZBf6wNZ0
I0I0PubEq1nuXxBAQp8ehTqnf2XA2ZL+7XLeYUzgdbd9WDvfNYCneCWFOoLSwrJwmm/YY1GEEvcO
JW6KHRsYgFxidi7L3EvClH9owtKzWNTwqNC4z7H6WEzVTUHfNnsKMvuVBZ/rhw9eeWHpMYlwUM5r
cwzkVUqLzUXSQcXucU9CFh/1DyHebKgsbDN7rgXWT2dtNrmY6gZDyEuK8fXQxqYd13aYRvqykyLI
4DeIpANZAthPa6wVD1SYD2UAsK2pBKgQ15mycI85crwKpvl/CAjog5XeUKxZBjENnz19cZ55ToWz
gR4gRslpTExf61FSYDkR8cRh4WNLziYMA20klHdH8FeaIsjnOq2jauQi0nhW86iDHlnCmLCXjY13
zzL3ISSPNRc3L7LkT5V06aaO23jb9URXejowIwFQt6uocLqHNs6e3Zr7I75E8skbMhGvajXbpczv
zp9RBmfTxMvn0NFu4TqIvcHBcZOKPt4G9HMWSyzPs32LWcbLiHnQi6UMYkMzM80FyzbdiNarv3ET
9S5UpQNvGbj0O1nRPBaYGz3iMCz2+shu1M53uyLys2WETcqwtKZsBBKfDd3GmMJ8D4mJW0vhigWx
k3uTi7p70A0cqUAqly92U4OrtrhhSYPb86ouJk6AtjSaRzMhoVRVmbyCtg6KIbDYTdqg8FbCa7kZ
BZaFoL60J9ZIg0OFAQSF/7PVp+pXWYy8lXzCA4rb4cKOrWlHHb06q2RFVs6koLYY/fkIjXK2S1u5
JIBys/pBK7R3YQykWYAF+hehIeuzWLnFhRPy4qg5qm2hm/ay9Ir+gVIo1/tBxVtvzgBRqZRXeUp+
yI25JlOUnF49Vum0jr1JPqVO/q0fXfkTfDzXbd0OMZi1wNkMERVqi7+00ObAef7VozVb8Xg0kNXL
krrfhRIDxqHzUh3n/V1P02GF+YR8tqsR5GidJ+A8qNmtuz4mMzJfXuNR5wIfjVZ1oxc1X6ZMCEXe
zmJZhAUK7dBU+JNDRp6DXvI6AkQFiVWeLnPV+RQCeBt7smtv0xCVPIFEWEAfHDtNXVohGQ/RqOrm
LeNTCKYPWrRs6UCRwt6JWzDgqHiXWQRUGXXOiy5waNCY0wNaqPEaaMt2lyQcefVzIm+KoeilkoTQ
EEWvtYdV0cRyK5ajCglGhhnf6YVkr3Q5preVpAUKtnzqz7hFm05WcGlVB2EKthWfOBz0DFcvnoi6
vUkSZ2IJ0lRBCi7AJo7Ujo5nVIePA67bpDNI3A3rAl7kEiU+CMoUhB4Bj16T+KKoSs2HjCAAr+rH
JCwSZXY7VL9ABeCsprfqvgB9swjMOttrc3IFRRvbGjd6wPZzpmZ2OFh4hBrYzUwxf1NukuypJrY4
YTD8W/7m7ZAcU3K3RRlZ+FJpf3R9msNlV+PzZTnBUtXQYPXvqYkjykZapIaK0ghudSMrLmRppisk
Kt6F1zbVj9Igh4Z7ATk12neLiwFJyXVvcdMCDt6yuWtm8xvNWvk8hgQ7tV75F4PLPlsOEa8wsnGY
1OGIgvVIOwO9XE4qxyE8b0GkX8zzuarnbRjhUoPtYUZG0o9dYt605o9ziKrzmHaau2jOehOXzKcA
F7Rnw2NKWFPX/O4qOOqREYTXLv6BG6Oe5w/wImhE5CEzh8cJ5uzXW3jr+WRIoT2lt/nQk0XCVWrl
0A5293Y2GC0p4M4Lo2uXLZ+8E0nUXrOtazfUbI6KwfcuKp8wpFKpeTfU4ML9HM6hg1vk3uI6vIyc
xLiTDnyyuONDIsHHQijTiws4s8WFbRLE5vM3iAgPnxqaHuWmnkqC88FgN8P250ENhMkyJT+nl5l5
hxMjmy372A/odPIJCQ2UfQqMy7eUYN+StPRAvJ2FRTQAmyf8bNhN5JJrTrqZfSs3VTkSnLRcdnIW
NlwZQRa0zFgUSu/LZ/zsSVAP5IxFHHBVaAmcBdCDlUlyec1hz+R522ZHl7dB5gibvtIKH7nVK6yf
zHy+TzQjWahajN9qkjb30iVq16aBlEXf9LxMne0t6llHKY5Cj7rTS+54grmm6cHtOJAvM7Mxj/eF
ZVdng8xIIs5bJYItc12nIr2G5Av814kRnofwPUXlcz5EpExYkzXZaUQZs0mRgdKocrs/7mw91/LT
MUhLWbixzyUE+L/8CS6OkKNqpmyfFCyyWMbRNZDP5763eWv4k4q96UUslT7lHbSZzm2oH6ofRCWJ
tehGWP0LaEE+cUtnx1fYArDJDniCPJRlQASperXqOz648tDPpCYp9bf/+rYwVZ5wxGhYdv2yB85U
yaGyL6Z2/AaZVm3yKIlxJylZ0DFRZejabDLUGsNrRFW0WEx2PF1KZ+JGNrgKSHT62llT6WCUwgX2
LVHs4gRlQbm9HeYoQI0VVzI85rotiQSeeMBvM4Et41lP2L5EQHsIZlsSKuvOhpa/SLHUOWuD9j99
jv9TqjxZqoRF+K5MdaRU2TQvv6IOv5+2+VivfPuT/yXO+/+ikwJ/aBRagl7K98R58S8bIAMN/x5l
NYwruSj8FzlvvlUlQRDAlqcZcybT/Bc5b/zLFHMfHZdYZwaBOH9TsPxchp/1oAgwDM4Fft1Bx4Mv
FNAwqcmdF2evEaH+FupWsIg9OpHfvZ0jNcRjI5loGJB7UPD61KCbFejV53B155nAJaHcPcuiHBdD
EHUnmrmPjcQYCEto9wckMv//75q5w1YLplpirNgOaYeThX7d9HlCa+r08NePRCIBqsbcK6Ez1seB
etoG/LKecHBkPadZ+hpo8WvCf/6TYWw6cukB/lz8RL6ODN4eJXfSwV/7HsVFfIuyZTrG/+DVMVdp
kEAgTAn9ULcQSj23AD9K7AHy+mLEWhOItUkMWCQnHso5uARD1vcc6ge0nwqcDg4bUN0eN9TWH+Qu
GrC4cTp1q8LxAWbog+wxX/n6DR6mW94GE6jyUJKTwDiUPuOQVbI2S7kj1UiSj6Nkl2CqtCi1+EX3
yFbFQI0XhgLp/fXAR6YisoyZhfLW4XW4vJy65DZM9nJH6qH83gEeW9g+GGAQHuLE+jrsBHh7RlIi
7Aq0y7GqP07GqUs6hT5fIqbFrwBDS7VOTD34/g8e6N0oc27j3dqaOyx6jaLeTvNH8NT1+NDnQ3FW
1P/s1b0b6WBnGtI8KimIM0GyTq2cMXmZcL5d/n8sL/3zV0KM53nMDNe3wCrMc/XdQ5VBbnt5KXPa
g8xyJfVew65YcrZPVq7WPmX3leHXxgYKur3T67FcJZnwiWWs4oy+CNQoA/cPqPogTWoKcb/e0shu
Eoj97MKx6dz0VYHM2YeT0V9KFzdSDDIbZ2H65JhKyT+ioiBfc803KY+D43THKr9RtW8+pq5Z7u0g
CZ77nABlyEd7F7jQ/EuFOc+QMJ9TdwTs36iOAjdJNzKYFbFl26Kp7dKsWNO1VnyHZGudgdscflUB
u7zROvx2mKA3KrHKc1xQ+2QZuV5UrpWV6T8TOMIoBfk9Gv1UL3nAQ6c4Ym5KP5TXFPLKVQukgr5U
EQTJwugyH4yZaHEHhDS8qXSqYUlFRl3DNXyZ6zzdlLNx4X7bLsmPmzRQsLlEYQwCFu4jiOHR2NDt
WuI7icLjzMoJI1GileeGjguhlxPueD4+2W5Go3oY9fb5GBrJc+iV2YMzkFGqGiGfKic3HwOeXS7c
gdyIzK1u4jf1AQJ2V/rtUgjFWh8di/usxl3uoRkArRN05zc4L7XPAa8GwGwlr50uedUNvmkHaPEx
9+LXsRmC760zlfth3hqjpinPVTbXGGrCTez0fD+LYOk74y1AG2vPjt4uaQ2Jt/+XvfPYjRzZ1vUT
sUFPBnBxB2QaZaaU8ipJE0IqQzLogwy6pz9ftrm3uwvoPntwZmeysQutKmXSrFjrX78Z09KJaAPy
izm+rokpwvcncjV7ytRpBTltaf3DJ8TjTBgwF1GXaB1sYwKt//WxL3uiDfDSD6+JIq63Rc5FQFRD
LoNLtGDVtelTuOI7ih1ZXrwLXJDJJZxIQvUyyYofv+MVC2zll/ucLWF7Y4EriY2fJeNrlrSG2LKw
7ENsUgiAjnwQg2t849YvIQ6DT2x3qh92QIoz33HZYqyaRBCGuiuXHLiXBtewJ4csFhljdkhGnYIe
UyDHzEY8amdARYUeGsmHzS0YkrkgRthu0ybCutdAbOiLl75TvHYuKWbx6HLErdg7M+20FyNQLCmz
F4S56bjXYS0/BMzknah5jzDCgdOTi7EkwSqZ6ZvF+LqqtdjjnDSgXDKUne9k63jrdoW800WqTycd
EcxnfaKD77/ZK++Wa7D425ST1z+PwdC+pZIUsGApqaEAYR4kUMM5QkbLWQJOJP1aBXfCy9LivUvt
+jgnmBizu7Jjohl/MIAIeDtkpfNByA7EQXZjLD3zSAZ94YzJO0vitLw4/nKHtMPRh8kT4FnIBE5i
TvIoR4UNcNbO2fe6Fd5VXfjgaX5G2qFr6de2X8Y9kia8s4XmQVinsMZjMydwENFNZ2Az3FvlHgfv
74NWwSbr50eipqEXjJ86W/JjVfvARAlJlRyFwX2meSlZNs9bIITxZhyU2KYF7zla1CSy26D4EhLe
dsJkckdsb8nUNrdDXE1FX+BZLfPIGUoeaqrifJeVkEpqLcWtQ1PJmo63vtAlY9XYJuDEJLusiupG
Iue4ty7nbuvyve1KfuS9Ed6GCFE/yhl/eGccLDjnE2iCmzjHWfNEYTaUvGsBdcIsl2YzooTbev3K
a1QROYl4W2PjZiiiFjECNuKMOJl7y1cdgHL54XkUSqWoHzjhB/drTlCArdSySQLSznGQ1eE9Rt8K
9A8DPwwSeQyJre2ILq70Ri6SImbrZuNP/GoFMHeV413Kmt+avmZIjdq6rLEb7jFIxhtlq/Ly1mkx
ac4mJ+QmVO1t31366sZuTqXV8jAxeWqC3iwX/RNXJ08EWIIP0PJr1YWk9jYUofXdnKhW4+UZ8czV
OhfJkJ+lN6e7cUGrg7P7JYXSGDzSZ7xdz6IlxprWjj1npSIOzRyPq988QycSt2uQ1JvZDFTskluC
I8VA5S5NpfB28OunsU0TgtLq+pisurrvNbXHSKkek+ClL8aKay4avXMksqy0HvOzk9jmp7D0cAJq
oR9t9G1Y9OVV75vjXmaIEyqRGjeDym+d3BlfDSn722XOhptErl+wUJ+gr0BDCxesb9zV8q5Wka/A
yV11i5VkclcWb0GHJTcL2B9NevGtG/Jn3ucXNZqk0uJWQpBKRRSx6SD2W+BAcCyme4r7p+E1RMoH
HHoXJvvByLPyBTPs+qhqKo5ZhRCWTIvQxZVb2v5WZElFgPTPPdgxe5H+65MtxLldx3jazfoKlYOr
9oDdkQ0UO0VDLyT5u2VJMZMMeR2PiBRVDDuvONRTZ5JHC5kO9SR2kGTcd6uKytbJKxah3WBCz5i6
SwaF/dxXdnWcOqc6NsFgtuDL0BWcstcbbaGyKIHBZpwDTstkEybJ4VMq6l8VTMlDB5qNuLiQ2Mu7
+Vhlx0kKB4t7QlHG8AitpqmjxNdO4MT04lDaoxW7sh/9IjNCRcai+t56EG2sPA0OMxg2ZMNFqAtS
45kAjjN1fQkvhGmiSobhrvYDnMmlSxAAm4xUIkXIlMvmVFsjW1+rfw8Ls4BRNJePk3Rm+ISWD9BE
cw3ZoQ2W8ViXstiQsPnphpo0eAmBYHFAcz1I5rbP+0XhGO89Txo3llMbkNGCCktG1172vKe2EzWS
bbEuw+HK7rC+mLvko8i8glAuuyB+hW0SmR2kcQ72fNac0ewGUiK2atfWRkzA/XrmdU2/pmUA46Ow
egMIeha0loZxyGfPDHdBWlHfXJ/y7aZ0J0xL7hRNWPd6m5YvfFWwEWFXs3jjv1Btf+aqQ+mFkWya
wmPliqnRX5vRfiXESPdmeQUyRb2xp/EGqzySVENFn0BiUX5eEJVBeVvpKwpBxBcvvHeCtg87xRL/
NqjBz27/vGgNL58HhADnOXyPfnLPCVKCgvCbKK9UZb1oEwyxoKZOQf5Rl/ohWTjm/nnE+GkyFBfB
qc1vsujH0Qj87QK4o1elQInkBNOE1WTqcEBxHNd11pwMF8/8f/59Pwv4Lr8w8C7qH4wXfrIjqBUN
jusXGLeERBldLPObTd7XI0FrqvoY8GDcFj1qYt8Lp7tfj52JNBF/n9mTtYPvZ8TkwHkfhEOM+5ks
nn8Z7H5WpfD5EMDDwrrw3n8aylts1/Dr1cVVVlXuUY999aNxcCWPpmHqifNOXZrtksBUFBTSGs6j
T69pFXzi1qLRhkb5QStTH0MbdsNiM3n2eQs9uFy0d3JJR7iulVQg+r0g9b5jXzCwEb9KL4ZkDmld
zdYNquQRm0r3w/GRtkSC/9mHhhXcw53kAE6WGRF5nsv3X0/FusbENp7Wwv43eZJ1mWL/9jQiWcUT
CwGAB6nsbw9HqmGncnoVVwMKeSzT+yYi2TuNJ8d97QhHxmmshagGi2bnkf4aY1b3n9r8CLIZQxvC
K7eEx/RvnwCR+eSjesuvBPP23jPS5tS607+VgZ8QC34LQAXOcBg+osH+20iqcz0mft3kV75L8+zj
+IOtkz/EHSwWshwKgk8WyfDABmx8/ef3wf75GtOiwK4ILw4dPztnLlbhjqqc0K32U5qwwoMjZSSJ
eK80rTFJ5d5yKwxPvNTu8lKIpfthtN60HZaRkLuhqbP8Um/VEHUkqDtQWlraSbdQV/TfLIOhjH3r
kkvktpFg+fEb4vK/ePW/4dWXEvGnG/0zXp1z0mmV/wWq/u0v/Q5Vh+IXDh0BaIqZjA1I8ruuRni/
QFFCpxj+ORTV/IVSdFFl0AshqLn88t8Rasf/BZzXBue1EBg4YCv/EULt/O1dAJ7GtQWQlbedLoXj
968HgsLxsdNdmpFzZc4dXuIQ1YaIhBIyIlvfHd/MtArOhuc1Dzn2f+cVuV3UhZXJdkloubWCnIBB
cqyWrSKQ5zYLBwnkaNSQXAO1n0XuHJkerAjIAX6wF86UtAaCGKyDYgrAZrzsNJZTc22mAtf9xi6v
6QGKu6Bxwn1limyfBElAfmXpku9WGTCRIKXs1zxThwIrlRvdL8lmBcU1YvKusMeoJogkIAf+l1zb
jY4DOsd4DuhwHch0TIf2cAVrMnlApE/jkaM7PuhLFNvafARFiY9p4RDgquZw2PID6XYa/XlXJLN/
OyVzmKIIEZgHXGg4h0vndVUQIvF1alT3I2hz5jNZhwdwL/U9ne2kg7zRWnc5CSaXJaN6cHt3OsoC
yVG0FHJBGCPt79JszJhUSLjTdLFMHUvqn1OzTk/krhhfa59aG9FR22dj7erDknevo5g7eFa2vy+y
cHzO2mF4FGJgdY/QRn1C009flVEUAhsLd4nIp5Qad0OxRsz6ByAVumfbzBXWJaIIYpugqo9umScd
2+70BUWpzZWuy8+ShNIrsebDzsJX5etq6vI6N9WtsabesVBDe1Q4eJ+QfKCu9QJSs5Bz2BvCVxdG
10XbipuaFq+Es0EW4ypp/jUU0Tu7d8rTYhEnqJrK54vOQqIFTvS1lXsGpFMz29N+lk9N7WZfiiHP
8GmpW+xkFxQoW/RBBKUZiUemT0Y6PbtlHkBSJl19o11cYiEumA5gI8Gvu2wFviFb0+wJbSGYvFwd
8A1PzNOPXNpaxe3s1EwTZY/vhczqu9z35sjtluA6Vc26gQrDxKPC6qYF7Lu2MYhZ4qKa2LvjMBAs
kde06QvYoe2DHaTuZzdPLotD2v99UBJKBBBZXfTWabAZSULcwHKxzmvlifs0WUj3wAwYpjGb8mXc
+MojikOMX6H2FAekON0lr8rINmOvkXTU2XzCYJ1MFymG+lk0MnlFwJEaxwRTd7kVdWB96yaz11GG
NOFhZOWcbMelsN4GUSZ1DNNE31u67t7VYtqxaCfro1AOBLBxGZYHRGZleAVJDNccFQqcpOylhxDr
zIQbDKzoI51YzoszmtmpMzP3E14uFiaWy0MbE6mG5WBah+8SQeANkVCLeZgFLjbrWDRGvMgguZBL
yrEkQaZvEDbU1YeXZuJZ5UyW5tRu/FY5gGj+8t1r1cJCxrKaepuESf0qU91bpLugm+Jm1eptCDDa
iCA9t9iENwOym1FX0YCh4/WFg79pB3Vv9SDr2BHzPgOiYVEVKncblu3KTBkwso0Xnz+3zTduJjSo
zwC/srGCo2f2Qbw6mQy5Dq7cN1pT1hRW1+SlYFY2QsB5sBnP901uFvPGEEPi0s8p883GFWK7ulTU
EUQQjUNd5XIPBFYe0gWBSeEml/DTxhkeVJi7XNigkl/AfDqUI9bg4Oy6JvqQpNC1IS1M7fsYEL56
5RqYDzD8psAq5tLfur0yvjZeAGRFdNp4t3SLQXFZmaMbQwqALNcdMagjB5NRfPreldn0tri1deP0
OQgSTW64RISmkcglEqe7zRaRFBu4E2R1ZRO+RuCkdmyZ7WNa9O0GRcx0Ur7CJKEsuo1fB0eXxFIA
oxrjNkjYmzHNk4MsKJuN5Xb72aye0trTezSMADFwVsYIYpoiX6VY6lgMo7/tzHn9tjJXV9vRQlXR
OBq8vslGGwSFlO75Ap/pE0a0Pi5Yrpra/AskRVxBlsCtC/M1XAq/sKNMOdYwQNhdenmbzAlRYEL6
t5ackt1qlerBRwP24FtBekdZnPdwb9fDmE4vnlvXDx0zzIO2+sSOzFwmLxO0JDjeKtQREX3T8cLz
fwlB+ChSmAM8hPT5dyYg7B17iG4HLxvCSF64Z8F8GzcjWj3pKdLuUJU58Vwt+VnbQu+6kLgH6F1V
dZaknb5qv8DHpy8zLgyR2LzqAvdZvKD8687i468Qdm7IP0zwHluH5NENlX8gZGoiL8gIuygbk+y7
sxrLLUCuJh/U6BqysZbkLGDYP64844eUL/61zTvgDfK+9mh7YLYl3fpeYGkBTNORi55a5bKTLjlZ
szXgeD6gICoGj3qkc2s92cNKQFSOQWA1yTu6TxV5ne3cJk3ZuxTZAnLFmhwaX9o3bHFSoiHhpfKu
6eYuXQOUrVzPJ9XM1jVUIQIGXCMguEoZtwVaO2dr2xPpx2LNviUDLKV8NhgXVTe3/B5oYMdlDZZ7
u1DTXixCHEZL9y8qaSD+Wd54xfvkLxHDJQmAbSAqbhFUmQiTenMzSEhAsXZEdz85ZkUQlXSQmSHT
R1yQw2fqSvcWo+jkZg3EfOg5GAFT0KrDhPlqNrn4avWOTRJWjyAVWWL2bk5JgRDNaPe1kxnQZUZK
DY9fxiHtlo4XX8IAdvkoiztkhtM7zJ9pU2DC9GY3OVmaCyGbQ3Ypmvit2Pl+xb553Spl281jvYjX
3CZpcDuSJ9eCJHfais06tLOYdaB4y42kePQs0Xd3vurJnyEQp4P+5fsF8glpdea17cPy2bfCqs0O
mQ+kqpiDnyvf2OvyqLp0g4MtlEAn84NdK/wgzmrSvWOZTverZTfyNChyw6BHGdmrB8iff9g+r3iM
ntf0tmqCJeNfIDzkbDeWNc8jKW8pexN95JG1VXEMxto38ApL1jd63/lLURj1VznO9osYdPBkdWl7
7Lr8qauDZQvJvDoEXY8lpQbnCpr5wS/XNwogYcbZhxz8t0BP+tNpejoIF+1b1Hv6LcD17YqtdHmH
OHZLFpZxzc0huRZ+wqEuhu6Hs3pjHQ1td4m+7RwyyHKdA7Y0y3DveFOxxJD7sy5qlUjZ8fhabSvc
8O6zlX4HjuHkVcZvgMP/jlD/OkL96vjxD+4EeV1/75vh468z1K9/6//PUGgSkHXgmH/hNfzJnkAE
vxJ3MAjAcRO+jc/E9AfdR/yCeJ+Rm5QmnEYZvf/fMOU6mBoIbHEveVgeyVHefzJM4bDJb/kzgmIy
oeCBEWCOxQfEwvxvPAEHxKDCkc081abRZJ2GfOwbG8jTCWJRa263TCywyBZnJD1+polEb4p8kfi0
Epp0teZ1hGC4v4FP54qGnS9Q/ryWrvtiAa0Wm6m3PqHJp8/VDME3T33vywhX+waF5XB3Gc2SXd5I
3o+GRcxNOvEfY4YX0e4NmeGeTSk8BRLiI5vu+1INzqcxIbc7mX03I4j17eF6lOgxn50i0cF1T6Iu
FP/Sn+ip3MrR3+SKdX5t9zOZgo0ZIaPZrQsqqrXol42jTIc9t6Pf2DVNaB15m42bwsmhrLJpCNpd
wb19RKBb+bFjsw/FdybJn62MJi/NIHXHKpejf8BoAjq1arpH39X2oQ+GbG/Pkox3tiWksl+MB7oc
h+bRtvfSzp8W2JB3Pq2lvOJHnBv6waRCZw2nc8CKVEXsTZ3tYBkfc+HOyAxlNUGfD4xLXXS2BD8I
ljkQHDdrFnQenZvRP1hm6d2Mwpu3nIeBddBCdM1pWEXyslZh8NgGXvKkhsUODzA0HGMj+9YrYeu6
NOxEnMrXEbrh1iAEIi6AH7kGwGcdmX9HXzTlaWgDrqWuJuYwv0/Qzi/LdILCnoaxkbbZNsj99aGr
Uzc39wlB4leFhfB0UPgz2cOEbdC01psgXMaM3LxO7sIlSa7cprJf29WBgL/2xvokyqB0oyEFVKZ7
NMPyJaelqZ9TPEgDc6sB7mdjS4ye6Pu9rSUj0gFWcU1+iSy93PpIe6o9d46MXA9vwm3Vu7ENR/xM
Mva0nc0EkgE740M+riRcJv4WeSX7qqKZZJzTAEVu01Ux+Y0D614ETNElgIRD2LPRHZMOiTgxxDfd
CJ6KGeGlZx9SrW68S4LvOq1RkDdnt1s7pliCZucqOQZFvav9on9mJLqfwdYjxa/ZpTRKoAzLm2VO
BMkHebJLxuXRJIiToRCTP4R78rqrDPPQem6xG5iWjgJfoKhgs7LtDVZ+lTvnR1eXzW4KGySV5bIe
zI5X0/ZL+5lY9Pd6CBE0W2kQyWww2JnJcdfUwTAc8UaRhz6fPlWjyiPDTHrq/EDTyFdk1yAMIlc9
7t1W79y15foYqKUrg2msM4BUWvRexDxn3z14rNA1gE+SpoVXZ0L3dhUKU6iMaJf0kl6TPomlIF4V
ewQLj0NuEKbe5BajhpfQHkvrjk8vT9JbDBUl89AeCLHT30EWlk1IoCsbmGy66toRdgsAaJ2ueH90
HWs177FzyocizK9XK2HRrQEl7PUp9znfzV4cg3R66AWMZLrKDWLdbYrYlF4gi8PRfe67bh8u841E
9Y2ASM871ZbDdkxW/JwS98Vnb3qJ8+w3VlV+L10UAHY9+RB+Mv2YG1j2dZbFSAAjGm0YRTAPb9yW
0UZWxIaxSLEibBDde+Lr6201qzoOxDjxbLU4iHE//L3d03obTHFXoSq/0jHmUUfo25EYanJtFNl5
5LjIcyYGCdsXbyTeCus+zbr7kbhWI+RLrU19npn2PspLNSt0ErRA3r1xalvbfcjtzj827ZDF3DC1
azEeZIuavZpGj+jZnn9kQ2VdpUHPAi/vyghlEwaxRiKOANrOtqes3zPdIZJYfXEoZPCQ+Op+Ggdz
R5kIT400piAmWn74Ql3RG3sMkjFqnUGegSnGuBuKYW9yo3Zm0+mzl3rZgzPPgpbbfFiVMWxcSVxz
atuxFJp9cLUjzTOL8PsOAH/6h570Pq4Q6Js25Q6Fr8PHa9yPzM1Rg2WcDh3hO4VFVoscnkoYEju7
WpPHqZhuWqNTMcOBfA4M+eyhcQNqGj/6Vbz6KTJzLB54jnWL1UaJ0N2edjD5LxPBXtgy4Sp27tm2
0m4/heprTcTs1lNrf4UX31NLUgUPcMF6sQIbOHngF+fMch60aK/LPnthvkNchObQBG+JqLRbCD3v
rpj62HG9uLjU0tYI78Le2fe5nB9mbh0L4BFLaspo+F4kqfVakla3UU7Aq2a4UDCC8Yal6ZYE6iPs
xmHnjZ3NeMvA342MSzHdexYXSxnu2VGvh6wZroaWtOA8KfaQ4PM4Fbij50jVOczKeE0Eq0Q2mfjU
uNr9Str5cNGqGOF5WU33PqsuOo1AdTcIwcFCprHZYqKRfRKZ4caTra/nvONMmMpnyx2vaqT8Ylw5
WKWARKSGx3Hpz2xiqq/jXBMbtLxKAMvtyPeBeNMUMf57+WlcUKSxUNy5yDHtOPW89TyjmkFil3Tt
Rq+ZdfJyL90thrNEvU6dt6TR7QO6AvK+DTWQSRvSrzNuOPVdaoxsaxuFkmrgXGuxlCE81JMbAOx2
V+tWX9tInuLctqGAahNFtGM8Z8Z0OZ7RUTa+iIzQO09wfF8MMJtbM23HeeMupctOdVmlfqilER5E
X6zHeXSe3dlsP/E+Jh49qWq0el4wOX3klBZm2K7bIErjnLW34yC+AvfcWVnA/tydhofeq++m2jDi
riDVd8n0LTTeLz3QFmQpvzkyrnwJe+wl57w42oY1bC2+3sZGKvlOeXWvJvDcD7laajthg3kgtosh
vhmzvY/KIgpJPY8rRk3Ie+MbI0O/rc3QuCFNuHiB/jZFmESGP3zyATbaa+3Iy5zyowmD5REuCQOT
Dt+cwmtjrHOCF9QgOfClb8bQv+QTujEzmkHtMOXD9M5xIAXO7uUl4obJCNcDNCshOiAp+Hip6qtt
Jb+1qvhcTCN4EKIevzj9SOq3zs6gux6kCI5sgDGLXXqu3CxeW+VGranKE4vwBh2PdukR6vTGssur
oUiKGP0pmgctmoewsjvUpGGm77EYCa/WwO++GKu4IqVzfhphzO0sEN08FtgZXGOw860rwq9U5xIm
py82WiX6OZfWya8dwSgKG8ibjHwLOYoDAtPNDU6IwJ2ebdax0Uj7XKPAiYlF6a6l1RNIP/TLdQVj
7WpqrBnzgO5rmZI8pOcyR1rfjtYjBbKft452yjDyhykrwUbTfudWbsHh1Rv1WxcI55T6i7cr6QVf
LnyfBQJIGV4oD4vzWGWO9VmXnv9JqjsWGuuQkuTARGhYJQ2D5prbkO2QmMDXgTV5DPRqMETCd3Ds
24RBxeG9rRWmU8g0NxWdB3SzfEyzuEos5IcnpVlyFNWYPhJmPyjrhkYrrlA4KrEeICB8axLf33cI
WTbV0EJgQ8R0SOrGjtbZExGH5J67dvSkO0QiZ21eNo1ExKjfx4GFiL22wFNYchG1DgVKJR3nX9Fg
o1WjQkraIWpDq7xyBiClTEn4Iea0TZRzlpl0nnOXhMey9cNTnlXNSQ6IY4pAPC5rtitH4sNxXnT3
pvXJXE3DJFFoySp5tlLFkqGzN4nhOsCELZ7qnoLvIpOj8pd6G3Q4ndY8dxXkvQifQitujLqFCT5u
whJQtFFolsjsBPLq2CivRfY+CZLPaPB3ZsglRrL7zFq92SKwaBGZVqeJfcJGWmG1YVSBWjUYeAyk
QcuZWDaHpnEfBJkVe+wVvpa1fm7aBe8mf70fKuYUGxwLY7MaJ4wWTNhlM+G0nrox1DyiNDPsF5xu
CBEvq+p5HkhMJ5mao24hlFRaoPdOAzk686Au27Ih8r1an6GFzju8iEScN0n+rVDWxpqDFfYbT/lc
+tFiYtDuz2HyHFjlNYQ096xcOLK6q3/Q/KL6yvqtJdcmzgzAy9kdb2f8CjBG1dWzciVJ3lBYd/Cg
BWsomh0YBsTQGrK8wU/q4pBdVDsBnn32w+TT7FW6EeT07bOpmO9ZXMDk7H0rXsqArseC3mK28lzP
iz7D4omrpiNbr1cQbV1zOcOtOhrE7sDYahy8ZsYxCkQwXbM0/NYwb2DA8maH60fass+wen3NmLtw
MYrdVK6HJCzG7WoY+zL7ASRJvozfm9dWL9urrlB3BAGe6jmjPGZdGKO2M3dty3g72srZY2e2txvP
ihwpTzglcIBKEzJs+Iz0CnPSfP2YA/010eln0xQ8P41zr4eboEmewVgHtGd1+m4YaL81okJwrzVO
neB6FeFr2EInFKLZFxyOEY5O+HqhGSTZ27SuXbe9lxPdmdFLMx70iuNKgfIeFmAz0Z4Zd6w1xjAq
qnnlSJAJX5eToItMo812S0iSiuIJfl8U6GsBVukk0xJljt0ruEyQghF5Vm9lI7HIz3OrIgbGxn96
bpySBq+BPmpnqr6fhss20pi7C1u32MvcSFlG2eje4waq6Bs0mBzbsBGurNd2z5MOy8OITP9AV13A
gM/qvStqd9cua3qCOO3viMB+WhSGMhgY34pQy7s6N6wfXt7r05rl/hGXJHVll0tx1Pjy7LzJVU9u
DTUsVPYHM7y8KWqXAT81b+FLsRTqm/TameG4aXwhb+AXYZ+zzvPeaeDDy5FpiZWWsRtEAA0Uf4DE
qev9WDvuJp0xO6oudJq8Hy5x8fh51Q7Zri4RXn4rgX2zMrn1oYVji7p8YlYlIgDrjyAtuWI0tTe1
BucnzPvgKdLZ1DSeraqhreizgLNYvMOwyjdg6s5GVkDosCVq2iC1bqaCf74XIL+8O6k/0+4x9e+w
YcXQfibmHlfHXYbJ1oG+8RBUtYzLshp3F1vVLdV84dZ79baE/S6h+zBMsR6QhrtnFAZxcWb5NhZC
0Em7ZnHDUc0pNDEtnJdenHB9DqOWTIqNnQReBLocG7D5o8ayOwjQvQntpMyv+sK1YqVaiRV/b56G
ohuOfeP86FYcxQRs28tsYa/52aK6b2dE/3dScRubAk26KHADLMspBim3Ir/Jh03RhcZpcuVdblc2
ssXqJvWDlyYU/Z7+usMn/bK9mOddbZl7AklH2OseswyJCxcTHv6pUNtRng/f16a995vhZmkXVl6X
DTvuGKAMzFm2U8cVAlwoUhlfD4kvwt7YzGaqsmcmVxl+8Fv01x5Ny3KceFNjfTHmMfVAjfQshYXY
+DkG8hNnk0PodneYHcyHvF/YOHfdiRL9gmVxjcfVvGXU4km2WLkNYw9L0MrNM8mH9j6cJ2CUlUPX
HZyDaq0HeMSHULLAG/0i7jqI1ww6a/2lcw1gk2mawp1dWk/Uzgd7SRe+0ThsC39i8gonyEyMg4Nh
Yl2LphtEYGMlOVsfvG4i9kOf9dCIe5ka3MjQ23cwjNHNOOtzaLl3JL/hRtdaNmsdczf05NC4Skns
lhssTnwk/7hmBvKpYlMTWt25X+1TEfofED92bfkxWNVeD+EPdZEOm2EOI9haZdxXYtPJOrZkKzfw
336wyyzi0ijes87Ith2My/hCxi7spgFUCcFKVinSTV2DBWTWStsCqVs28k5lFOi418qf4xZh3y2S
Z/to0NO3sIkIsJtGhvKxWxQ/xEnewlyNhNl227qfa7XJ2LZOnX9q8WJjgxr7cq5oxIpS70BxUvIS
tRcVqxV0nNBLp9E3rGrvQhkWEX7Q6pCXXXIXUtWGqOkt5VW0xh0U2csCYXgy4IL2uyrsEfvCWJhU
7FgZUJvPjLBQPmyN1MAVVod/BtfIS1owB4wSzGuN+fFnX8xBMaAMED2Ixf8MXr//3lxMdvv/c1kE
fKW5oM5lw//96x/73/6cfm8uBKK//AFhRz4s9/q7Wh6+97rkr/IP/f6T/93/+Lvb778i8Z4Jbv1P
SHzP2giaYvt3PtPl7/2BxYe/EN8FgxYy2x+A+x+UJuuX3xS3F5rTHybB/N8/GEzmLxigBxaiFGLh
/MAL/xPQHYD/r5i7iy6MgEuYkL7jCJhMF0z+TwIz4ODOK8h9O1QSR88gxZ8D8wXejbXC3cUbcCwY
uotDrW0NF640JgVuNF48XxtmyWe2TKg0GtwvQM0LH/8JYS14gxSJjW4/RyEfLEb7traFWm1Wh7le
T0keLJp3o7XxmBiwEQ3wn+FTUuSWjFiZ86/WoBiTOTruiMreqcwRfSShKz10BrVMSZT44TShgrv4
ifzqQBqMbnJsPLxBI7/GUoKPiasPOcftB3nN6w6CLaJ7BDOHRS+Sgp+59NRX5dKClz5a6AqMY0iX
ZdEjEu7wbUyd1N9NIqC7NcckzbeVTmfFUZMZ3ltmCoQBF++GITs1g1NAy5roaae7zg5wvg/ScErP
qzCycNeQGZg+TKnp77ApqzqXMKUKIrfdg1ttjMx0vAPrXH4yxaAkeJ1V0dZ7oEs/SrEjIgRhgdEV
J1YfpBtrClcnROnjW8TLRpWfwHWDF5x+VuuS3kJzaLYN3hwgxMHStRF4Ufi66nkwqIrTvJ3qDt9I
f90M/CnCCQnTANmN54C2sf8v9s5kSXLkSra/8n4AJQYYxq3D5yHmMTeQyMhIzIAZZuDr+3iyyK4q
dpOv96QIVyURHukOB67pVT0a5iKW+8KVJnM4ccMxIoPV4Ezwg2JXNuUVtucXZN22qhn8jOIHl+cN
U4G2tbrTSW5xwSgPIFyf1qGBF+J+cOfpmYdZ/iYSep28okpCSbHLddfvfBnVlD344JBWsBf0ugqM
YJvAZjl04Kne4ebx4KFUb516TXVIg6o72hFeaNMsHhKc+vfD1FXVyjNoJSbUAMZ2dBkAKhwz8xNI
E6rUjCBovztXDkkJW2g9cUo+5DFd3GLsypMninbTKhsRdEkLJmIAKNowk1081cGnC+ux4FDYZHeD
4eqPmF05HFQ1i5tg9nlAdJlpHKH38FOzqMR9cyXSjVBKX6RVPGWGst7xjakYS1j+mVqu+eL6fKls
HMFbHun2IeZoi0g9ASOS41dE+cXHgnq4CVQtZgi5cfeBxLfJlpSNfzLaOKLG02Anzm1BmGUrh4Vw
gosbet/Edn6oA9O9gMA03yer929MfBeMbWN3CLIcGos9Y2az6/ap7ev4Vo5Ovc9lKU+gc6ebgs6i
fRkrhyqnxLwhg5e96SrJ3vlEi9009fLU15iT+qoCfEXryKcimhOFURN7x7SRy512uoGDDUbuMlX4
VCLle0wVXVmQAkI2N0A0X/y5kffBIlws4nwl9sXUYDRRfpoecenJ2x5R4jw0Mn2dWgGOQ86juKh8
SC9dkuunnnDDI3UF6ihzwm0GmOl3FM2M1I3bnTqnps0AsTo7igUz2dYsk/LOEUF0oLdk3HWLiNci
C/xtowfnpzMQorI9d36dMnguiJHsvVUJeiq6QOMAnNUnAo/BdYVVxQcrUKcZ2xCypmQ4tfsffTVa
K5nTqypiJPbK4cRkmi2Mt7TytlYiqC2ZXP0dIl1/EnpMt4VNWMWt7PE+qzl6JhSg7euml/fRPM5v
PbnGTycyh3vekOh2qlX/igpvXqOH5ZrvSbeuyykDMYqdStmZS2i1r/NnureKHR873xbjWjrl5eoH
eMVut/glCsIUCbmhLAETV9l0d5Ctsd4P5XwFSg8J9B/H+rlYCWsU4UY9lzKHGUSHJ2hGw4Xw751C
K7yxsCG+AbIvdosT6C0gNmPAoJiKi5vm4hJ0eXBjsD27n6eh50FBt++5rq+Bv2K6LXSvIEzyRT32
+PvWCyJvGUZjx+Cam/FR1RwrYt8lotnL6tJr5BpPcqtB8TwZWBWPlrbNR3dmwRUKKAphq935M8nG
ifOi4Te46tos27cEGr+zLWSxluVHniXBJtK19S3j2HwoWqfYaVyYT2aTtQ+x13k3Fnocjcgaqgud
Ffq5rfoAuddbLgPD4Yeqe9a0JOkeirRG0ePb452rcZx/QCbL8DDGmhxk5YxHIy6HXdSatM91jTyC
K6u2fqr1y0i+725yOAOA9lt2Mp2Se55s6t0N+vq731XezznNO5YdXRuTRY1/oEBkV0YOWhppx5HE
1WmeWmftETdG7OPvDAOjZVo382xcibYYPhShsSIcrFGCKVqM7HgtL36hNbDb1J6qD7TppFHouFn+
s7JN7FbBoF/9uHLdjV3H5XcZx/6u0lN06c3IPw1+RfBoWnC3Bj6ydE56bbZ4vqGodcVNZwtiwX7Z
XnJz7jY9fZlUMhtk5zqDfZSdo1cXHqfJoepfabUhTa7QdlnfwSpftXLs7zEv+ufFCOYvIfuivyZG
eVyTOY9PxdgZT0niuO/kO7j15CxYmHtpvL/etKmAxdtHuZvwa4BKlbyhuKritkQCPfeL2VxlkePv
vA6RjGtiTMmWBQb5NxPvFUk1/yMXCw1fqfwgy1RfDOx1jz5i9MoUkzyPXWBzG5wtvIAs7yFaXq4f
4FEX0twtXY/Hs0qv3HbrQkgxO8QWcYcmqeq7Orbks+d3w2byDGRcXTs7w80QEgNXbnw2MGsOw+3a
qKU6sM9o78FB25/AoQpMbp1a1v04BI+mgymg0q21FUljPhGvT2zOi8q+yyMNJsgapuC+iKE/k8Os
w1HIsx81Ix97aQucDEiktjsdg87yN2Zq6C+inFaHIxopOOq0t2f5pMK2aOewiub2Ti2FotVY6T3B
FGs/AZYOQQIZ4Thi49lFZuO9MgtYT5MMMqJtkGR++qXRv5cUF2yjXL05uvA2uCXvpQVSj3+f6Jg7
iO0TgRvRM7IuI/mnGuPgYn1IQ/qGmoiHtl4+U9WUGFQB4h6tflrjAh5PlELGXJo2R5osd+4iZtOt
SY/oCaefnbFZbjz8f5Tb40rnJnwj415z8G1e6EIpbwdMGyqMWBfteN5V24FwEqd0jkZGanp7C0TV
rWd6E08FL31nQHNRfDMEbT1H+15lEVvkHJa4Z8KDPzhFbIZc2cUd/CR8Ao09Zc7KEzXj69DONGnn
44PbNMlqXOR4cMVc3aJCsKAspNtwcQQe0uaSoEDm1i4X3FYwvzBMT0yqWKssMT4OooifRV4Xz7bF
DGhjGLBDVk36VuVdcFpyl2kldqKD8BQ+klhkEq8DRnCU3yE6kMZBrZlimR2zDosF6zQz7RkxcR5z
9ovbLwnYoA0IKXeziVUAjuw5GiCjTp3fHJ2C7S1eM3lBJJ1vAo0QG+QpYZlYT8ekGpdNzOD/tqBy
Z7b7FLtEOnsrvalSRMdC2scy98xvtG1Y6Bw0eOkIO8PKK903cxmsw0yn/WoYE7nWPYwtJZePJoGr
7hn3vkLQCyB4YSc3YbVptjN1V407QeVQmJPanTginNLCLDcFnaN8LHJL24YdclLt17JguDGKFG5c
Ki+tY7+bLUtJzHSgsvO8WOe5jxZYFrwxGP+gKCIP4I9Sqxrb65GttWT/5m+TuJqPLB3w7trWi2yq
Ig/9qS5D4VbN1qS8JVyMaSFI18v1gveN5WSJ+ZUw3ZJm8n02rAnhEVNCCRogiBzvdnLx2iu3yi/U
MuQfBkVw1tXtUnatu1eE+o8I2OKSlEWK4Xe0w8VveMy1SXpIledv57ZbQtXCsZ3tflypuotvKqPg
yU7i4dYR/OOomNykS1dyTlBNhxiIy+IPp9b/AYr0l2gLB0PXwnTB3g6kM/GWv8S8kgj5IO399JDR
vcoIRwTk2Cw+d2mHBMmjLSr9SdUXxDd8Dvm/oeL8FXtyfXHyO4R3fIfK1OAvL46Ti03IotKDOVF5
sWS0iALBTchwB/nDv/53/hVOw0uBaeX/19MvMaK/vFSKE8qdEjhxVwxpteE7MkN4m+P661+/zj+l
Z68vZHt2wKFfAGb9KxY4r+cZJ4oXH3qFbgxWwT64/a/6ibSDV4in+jwECVvx2S4/1DXcyl0FaqAR
JdfDNXu1avOv/6R//oivTjv7Wk1Lu9w/9SL2ovOTjlPGQYO8vYgrOVtmrBlx4QaAJ0ScNJ/wDfic
TepOfr32f5yc/1Y/8vzgDx/TP4fh6or+yb/4OH/9zO/aEcLRb4QgXZT0K02JLPY/4nCE3qigQrOX
7jU3bF8dlv/t4xRC8J8sqNQOUOo/+Djt38jG0j1OWM4BCUSu++/62e/3CaS3v+lp/8N9w76y4f5k
43RcosB8aynr8y3oRddv3B8kJYW+Tv3JDKKRPRVxE6NkjTEmcGQd7ebz3qM7rkIwjyETkmlQF6p9
jLBAEvzRRjiIUE9KC9ikSPRE1YZGK2fsdj+XxsI/V6W+zTJZzeea7Vjxmi62PtftIn5kMp4Atvf5
1K+EY3rXFhm88bvUADOBx8zDC6mDYTiyzG7GS8MdepN0OQ9iOAbsK2aX0gJuE6HZR92KjcVZ9MDg
ASL5NDdk1WKt0Xi/Db3V4LdPUO6HiePgTLnnl+sIRNxf/YCBzxd2g/LEasB2k/RCQed4YMj19kbT
N4ehLjMk2LSa7gdt7Kyst9a1FUDQnuQuMYqOxW9cX/8q3B2vk4OxmyU9zpN5OieBiRRwtViYJisa
kqrrvi4yDnmebBzmyIpbBUNO0/LQitCUV3zyvMti6QnRWalzBMPR3tHbkbmnEcLfJ+8IrF1wEVHz
tLg0WnaN3Rr2yWviKd9kDY1V9kifwK7xVULtx2SNF6CVlEYU150TMctqi0GoHIAz2EnSyX3GCafW
FKLkaui9E+JTxbY+NMkhWQhQSd5nbJpoS6T65mCWmKUGZv4ANFHHptUN/PwQ+4bnqbWCavE+SMt8
aNt5umO9bUw/yGep7GeAy+EnfYaceG6sivpj85EguLnFuu/V9HgQenxTFEZcz7zBcKZPIz+62G14
o5o8oqex6LNDyu5Pbpoivyci1WxEilkuSvLxtp2x+1xD41yWLD/Xs8opN0V3OvpZXlMCIpYtLQz5
LqekykzV9NC5vQ2d2yisdRpwHggL3cVH3+88O7Ql73ZoZX60RyVia1LI2TlQk9psGbHbj9pSxafV
aVPygAdju2r0VVzyI58VPXxfPIZtYB5biUXGlnHBPIM1ZG9X/bcks4cuXGrbuTN4Bx1mExVTum2L
E7CgcotR2dgN0sboystdkPbUzlzM6b6i7ee66yYfZJuRx5rAhz+UWyI/XT1mrIqQJ8krudVhGAWB
OoAsbNm7wj67frYcydOw66HzZ533ZAwaiX9WYJrqi/jGTciYrnvbPQvPa9+SKY++ke4ItjUUY/KB
0t7kOq+Ovemp56xdbuiyce6vV/YtIqdYe0JiitXmZclY/RC/6EJfKofjNJtd3gElftbmLG5rJ4/f
YpUup0bb1LcPcBLagqXMnLrxLsuGfBelAM2wbQFUAgu0U24TPMa2gaYKT+JMecDLYonbSmZYjjET
nfNlcJg0NPnJrB1fHQ1weJXl04i1TFrvFC6h8/TzUvNsLoR8cC27Rxxq5U8DQFkZdrwb23zJugOY
p08XDjeebGS9tdHPOljlg2s/KjlOCa6lof60/Tl+wpwSC8TzxvmO2wLGMlZifocyDmhyVsjESmS4
hzU8CkxYOfi10IdMQllWNm1lFfv7yXHBUEPU91c0mGXbzolNLvS+S09mkPRPnDHZfPH+PLWTvuey
xqBkzVR1Efp18ijYG2BaIa6AuT36jQGCnAYK/8fkVsldUPgpyMW6+kFUOVgXghDLSpVAEDZzbVOD
I0wQ/tlDVzb+AWf+tM65uh9N+klKToGzhXwgo3Ds2PUJEqfz5OD+9TwNK6ggXoLAIr/VRQwULOkx
+4+mna0n4TrvIC2CtYTw9FCTgw5trxlfMX0wf8qsvliFIrM6eNMnFS94EC3Z/YwxEnBw0BT3FEm7
m2xLvlmYbW8Xk2DxAPP/bq6cemsW+P0tFscnYErikbPekiMoNbne1nUbb9paiw+fnt21PfX1A1QH
0G8zh5gwyXpjZXMg+sk2WeyrofLeJdkuY71waW0WbjlhAm3AXcF7HtdVzZ3fH7HAeP7gXiy9xCHf
SMkpz7SeY42i6I9OcqyDRt1pk4VypwWRvjlI5q90brpHBwdmFmoror5NzAV5NRN/TTRpd2WanK+W
Zp770Lb0F4V9csO4HJBHtOoLltUsNKRuzktVj/eFZ2wQjoKLxuacrrD2JhFEZiO/JMLUa/bq2bei
HUBWU5F98ZSP9Xs0W7Qx2ucebBp+9oOPWldPUYoaE9mwjKGQ3zaDyl9LdJvX2K+aO+wG0YvKo/TU
TxoTK9uKZ7Ox500i6mw3s37cRHOnERqrNlnb/GsRZTgGd4eqWAZ8vV7/bFOuOa9Su63WBqJQ6Do2
eHGRiDvNBkRuPJKqx2o08G+V+TifHFLgOSgRsM5+bUvex258syd8A86AqRkTLyd3fLnL0UxN99Pi
9xthHVXpXdyRbHMzEbzOi4OT1l540Ps0ZV7p/G26Rdh0z3RgqCdK2xqaG5yGVXgcETld++N07nXd
bFkf9NV/SBFfv1a0/2Y4vjKFCP3878vVx7rvkv8XfjR1kf55Rv79R3+fkT3/N4df5cFVBVDDQfYf
I7Ivf5MO09j1LPY7S+IfS9bfmH9NZlbJUPSnpJO0GKtpMvUYj2G8UDb6f5mQneC6VP0jKiYAnQw8
2eN3cvAkzvjnCRlFLodrk9b7afCg+wdJLscQ40GwSyqttuhkNtjJOPPvAUAAtbHSCiq4i6d1KBIf
m5Dswc9FqXx122S+q12rehxaN/rG4XNC0sMiT0Xl4uyJgtNQEPAenVIDZhOCKdy1cQKRj1tjylos
V5g8z35hJDe5WWPRK8j6HPtFF5pgTxpjGiJXY2LldxPWGUOG/a7sAfF4wWxvc/pKbhMzm+5yBAPE
6WkwNkKDJWwiYprYF5wKSVAmVnIYkHPYHM/cBwGoqbCzgJD2pZTHEVLeIZhSeuOnQgPNKPmj1rqM
ui9ehVVSg4uPttCeBy3cMg3Uz3ML8KezIw9TVLnsm92OPBQwCmefXplRG7mI8mfKB753Ime6c9Ho
QU8safRjcR1W1rk5tq/AISjEi/jLXm3l0CAyivwhyCk2ouwwuR37qHqCgF7fdi23rhO3tNhZk6kS
2JYSj/qgoizMKOQOikty4Rl6j6tj3mhX8UZmZoSFXgDAB4WQTVey30LFQOz7d1EBkH2Fvi7MNaZ3
xrMAhsfWQ1KnCwvYmYLKh+MouHMQhZIz9g1n3/L+bYeaKgTc1Hq3JMl4TvrA2k7JwDKFW2X9aJra
vzdsrhYoqSXgeB+kIahH/LSIyVAE7UOKb/2IbmYfWJTVtzlCovG4XGmyrpeZR8A6I57QvLfXKVVu
7X4xKCq1e4ZTEA/6+wgr9b3pa+tVidmGTb9AmQ1JUrQ/TKP0N02XdDz9xjm4nxQVDIgewaOF34Os
0TLFm2BqMH06A01A0dRiby0Mx1p3ON4/MLL6IWmi4KyU9GK0PhGzw8kqGkA8ujzo75mteZdGvXG2
omvzxGh5JQ2Sk4/7uEWf7qBx5A7+w1H1D3gonPycyCm4UwCh4E41rvtcmbN9SVpDjABNCiJdGCZx
PuDKYQqQLH5n1oVUaWajmlcGb0Szn5209t/1ULPRgAsNkkS5MuLzMcZhRday1+PG93z295TQW/0+
qhujO3au6sWh0HpOXy3VBkSc+N81smaJN3AqxiM9S21Ixe/FK8vhlA5d+wpe8Ib1YnzGxUpyOnMM
ijxWFlRN2zjiGvAY5K1CPDtSpNt0uSJCKF7Hkkz1nMAnsOokjjzGjPEl7SwM8kFSX9os0ZtWdQ9Z
byZ0TCooG15m0faZcw29UNAbu3u+3gYuehnt6qaBBojQX6oQIUutQXzAKsgBOxqd1cY/GNdxvM8i
5ZzNYbhfz900nQzGuwPTHM75oHqoF//cZS0sg8Fsw8Cvp+OY4i7zprTY2GAw8FdOOx7ixg8iWxtd
RA3S8bKbfOonKYTFhqFYz3Hse+yWNl4Tndqxb3FezKYhwNL3wFjmvr4dffGAEGGtUMH52NogWcc2
i7qhwObkKzfeRhWLp8ypTqJS7Vc2ezdisaJ3pr1xP426eKzcwb/NhroN8YwsaF8toYg+knRcGLT+
0Zizs93lJtX+vMNQ3oUJoIYtkX3YfQY/ZeYs5NKmqRULqOW9xrF4tQ3fLqq5gHmP8KMmQ5jLutnp
CEk5cw1xaZpovKWJl/R7W38PuNvu8J35mzSao21N0pTtjAMHgcFsv9R1GhbDAJqiTE3YPNeCRy/+
VqdWu8YzkuI6n0Hysk/E2F03r2Omx70o4+4565uOC2M0dhy3f+JgK3awOedN18AvHUwr+kaiAjbz
FNHr4nJixN7rW+LQu/WY72VpO6cK6to2CDgW0CHN8UT1uX30OemGkwGutKeNaJcuPJrQial9cOyS
q8JdPIycGnPGkKOSb3yddg9k7qOXQDt8ZZ0yYsomaoHRWH8n/VPnOPbT/E2R3tia7DRWUUpPZ9mC
ba6ZDN/VGIlX2LEGHDjmrZq46w2pfiDHmrqyUpb+veQ/0H06GbfQH1+8WJciNANYDaxU3Bsqc03O
blOXm0cHLts5yEufJuUKpEnRpQSCc0vi6dFuumDRKIHSdHbNTtWU0ETZvC1lwrLZUFSnYMpkxQiB
FhdgTDcUHiJ8I73x0inRvnLFVaQT+1GdhASbEWX1/bR04kZmebX2u6vuW3AZ2ONWTFZLJiyx95bF
UmxgQ0oa1su+ZGuXXz2eGwICsoSc2kUjwoDtzscKIpYMs1k7a5eE6XMNlukhCXIObH4fb1TAgkdH
1jcj6H+maRW/IbUzx88V/F3beaYOBe7p0uYwN6kaHUzuc8uso2dUg90ks28QOUmiaGeHrNCtqEEd
QpnOb3SQBFSX1Nba80AdATBZDVIcaHPLN8ze6itmSF7lmVGvLV9m+wGWdE3CYraJjkbmXdG6DbDC
Mb+vTPemirvqXC5NvwGFybhPB3ja0a/UjDT5mOVyE89dtFElTTxZ8oQhgVGK+YIeOYpR5ID2hPd/
fW1l1CvWQd2RY991mMEh39lkEQgfyE1SRaAX8vzJsNx6LcGefkssgrxQJLyvxmwe+sH8GbGBxD+g
2al771VhijVGFkrg2NYdgzlazkqgInlSv9cxi+Ml6I9jlUfcO5XaDFTBrP14QPWa5vJAMP3gAAVa
Za75nI5zTvgOInVFRdsWJEmA2HfNPopsR5WqOtbd9GgvSUsfWVKtioGyqCRbfnTMn2En+/ox8ida
yOmVoeugpOq1mDnqOhiLV3PVllsOp+WqMfzPKLbegEJE70I78hbif0FIyrnnJMR15XyCcCVgvPTs
31BTTggF9anX1pdXjvh3zB8tBOpkjcSgQrSMce8r6Ltkbe1NqglPDRRx7ZhYvAc6EOJ1UozZFg/G
dGtVXnQHReTY8KEjOu7ShNjhTMKZIBSXKBzl9ZxM0KzMzLyRKnuecuU+RFPS79SYOv3KI8b+0Cf4
wciIrjyOvgBfa7DIk382dOuuW3d56SiwuQ6beJJvgdCC2h2Dk6VqTPnxXlv4ixJD3EZje3v1vRVJ
RxdrS8JYld+agmXk0k5PY9vfKbO77cjJMq0RgXeXme99NIUcoHHXDX2MksvX3PFhyawdmTosE6Ei
nCt6Sc9uqStS2ERuZ49eMIMMCwpClZ/+sxX5/zn4wap0/+VW5Obre/PR5n9ei/zth34/8oEC5AxI
V811cynYcPD7frfU/tqYOCxLXB9axZVT8Y+tiIQHCMvWd7lper5zhVn+brS1xf/ljEdy+s9nPIGv
hdOkzZeNbYzDH/bnM14hewOKUDKcuX0HQwIWD0AN8oG0dTZX58FL7RmzWXrlD6F8+RxJrlQi58on
aq+koqL0gRZV/PkXvj/uLe4K9zz9wht1V9KR9Qt6ZMmG+OyS9m/2lYnU+B54pOFKSgo6P72xrvSk
/BdISQ0wlZSZtCHZYXnTXYlLkQd7SQx+CdJJVHfdlcwU/II0pVdeE6yE8Wj/gjhNV54THrYI0G5i
WEAM6+CBw2j50FgdvkZYUNRRTsSb4EO5dBk+gJ1qHjAmRFsmc0BMEa2Xxii5VSvWARPd3eHgmtPG
TmyW1yley6ee6PGH55UahHkdYbda3OlOI9/euZ6bvGoq5+cQJUmtZTxY2yDxkP0dnTw4k5ttBmEP
iDSims5NPCLv6vaZFXsHQdq0CDjbrBJCIdXyVHV85YU5fc+niYeFHHLUH2NIzzqt4C9WnAW/pdWC
9qv5DJ+LPCtv/HFIGICT5diUrHhXCcuedTH4XphVOfnGjIadOytos71RxLfEZ7ItrBCKexOHMAIF
H3sx1ujISdWfKeWDj2qWLi2N5Tg/Ion12xzOW9jhE7r1yf3tZ7bRF0+L8YwSNu/ZKMsPLND1kQRr
9wgGtpjQv4x8U1mKmHSTANKgRby/LKYW3Cs9Y11FRXUPd18+drPdvYN3KX7OOA+erKFPrxN9dVu2
jnEjqWuPHdG98V5BW2MbHKC1+eWbbNJha/qqWlc8pTEP58uObYABlaOZgOS17S3OpfqcTd0UBjR4
6lXGhYONDd/tJ0QH0IC6MUnQG4usmBgJQm5sZOX7qh0EoMtAd5s5KpdVKWqyQ22ykHe0PwZr8E8V
nr0dZBp1YzdmHPaVIDxC61iYtPG0pfSRZoCBrcdZLba9L2Ll79FOi68M4eROKG78aR4vtzmGKgUE
PTI+Cb/55SqKOWKu9OiSsscP0J94PHsIV0lyTFkorlBMsnVmFM4buTPx2kzZdHYRBTaJ3faX1FOg
DWulh/vGiJd3akAtBx+Kmk4Ur8VPlMI5tz4mb/Zl8W4YPGCIou0ecFpam9yRHR6qYSEgYpqVB/dQ
9/QZdqA73LbzcsBblQFU03dRZ7MswnRqNowUqLIr8A4cT5B+OXbhoCpfuI0oBG18u1WsxQZyn4MC
osTFS0xsNFh4QULB7dvguNG3ZVzGt01iW7Seu/JbASIRjDgRztcWLQNLkt/Pj1CwZByCIDfopTCT
PYuFEjEIeNWqNGC6h4OhnWFb4YG+pUMG3oThUMFxY2DaevFMxCuUmRpxx9Y64k6SYmtbyvoHYxXF
qL1bThe5eMzWuL9TGsXnwXiJhxa6c2Y6QcSuOJ7WMjUzqGoZ5RDbiYwLHAJfTfece83Xpo2qPiSE
1Ci9Ldwa7OoFSc/nWAm6vsRPsUWSjsuAgvXZhTZKUVQrHiPSUbP7HHslx+BOMjGD7KC3pTouyoLz
EnY+lAy1tgcrHx+bbIr9T9qBIxZ5iVeI0Xkuh2zU3sZXxFi3Rt932Y+Z/baZY4fnTMqDC1XzP+6I
fycA8wjn6fy/C8BPX9NH+0fGlfzbT/x9CJD01uEDC7AMAeC5CrX/PQS4v7nSwjNB5gwY4ZWO/Xfl
1wVkBS/bs1zEfxtX3j+mAMv5jZmBAjqWDmg4wf+t0o7H/1/GAp40jm0hQFrI02jQFlPKH80RzM3G
oGvYt6O2mtfBsD24hfOnP1kFyTxDbxKD3d1U1vmDN/qXtlXDmztk+lHVxqMWTQsKhV5cIpvLxa57
4zDTjhvthjpL7mCSGh+959VYTmtBCY4feQy0Di7AO1ass7y37TS3SiK8hekdcBH41g3AdFE/twTS
cW0bUHzlDuOhUhdfNcLLQjGMpFUp2Ry6EtBmRCpzS7BVcNhTY9PoZ0o/O26JXoUWSo5/chkOrCjo
NnTn4uJMCttSxw5aBUm566NSAGqw5jnYpDQcm0evnq0Xe45bjQRQmzUYSKDx/s63PLbkBEkIReLN
SAkARrNh9MPK9PJBr5PaocO9ivwfMbx1b71YCKSaex2hFjek0hayMgors0LHn9CSYq6tky/klWzr
BskpyjAospdknN8Ogm3xZsHRTeNHnWEArtX7VOE6XRUAsPZU4vibEQjaOyBxm0VpnDChpI9xUeAo
mPrsojnI7DNrfMnqVO6yDn6HScPIHpInzzRdxslrOqVI0DNGdMyDl9puTsnY96+QLysgYe2dLCfC
mtUQoJLH7mc3RSPIp/F9IQdDej2gVE8eMGW8YHHEHBKYGf4C+3ucYl2QuBMfF7ITqwq9dodO+mJQ
fLTiHDbuWi/xtr5V7awgAGebvkBj+smCpTstENNXUNtvlkSTB+6797psj+VQV3uAwWrtpXI9ASta
tTOtPErRBoY34Y5ikxqvQP6ihJHCqqCrmCDLF+1P7qV0l+huDGp3RX7DwNdNR0Iro3XOKWtnD3Sa
T8twa2XSpXpnmMLYpDUHSH1yBunaXPyOqmjPscXBq9OUvveF+C9VvoTttf8dIvWwKwcn/Q6SdTpO
rCY2SjvGA2OLvaqy+CuSUX3rGCxOu5R6oXIudkIBreRJlF4Li9xVnxKskvXskKV2+m3nO/aB+0Ky
bbAXbRmKOb0mRrAb3PELhwFxkISSr4h7xyqP6TVi+Zp+r+VVGgLzhReExWAgCIDWNWGctuogFi3g
ShwxFBvTIBfvW9OT6cAnwWnyYhTRYVkq1t2t0khMxivRAEGKZMqOiXYI3SoqkyQ50m/9wmxpdvgP
RpvJYNAuXbGzyM/lkPcn1+34xveNr9fSXoyfdQcrhLO6b+IC8XySLgArOOPO5WTsAU/2D2xSRu+x
sHN1h/cSV5WOmvRG0Uu4RfjyN1dSOHImzpin1i27sBP0pAMyqq1j1QOtCGfZ8WpcWDlzyNh99oWW
oYiG4S7DixQOA5dFTOkVBeHTNP+AcibEJvbs+YgVodpbHQzdYAeDKZ1Ih7liCjV/LXicdux+mhq3
OMp9xP5r6vvkJ0MP3GFMABpRVpCtu6GstH3H6TuiiSc0I2/NoRSnpArK3Zj6KiTYa+2ERauMziml
nTNoC0nNXWICwlsLtEMHjRB2BfF+4rlyE5GA3qGbgJDzl7fJtIMX1r2EoTLjg6/UK9lxASgZy09J
tBw0rH2TCaJCTWFlp8pIf2DtaNappdKXssmKeuUyA14sKpwhtvcLfmGzNO9YZD3rwsp90h2S5YZd
1Ecz6LYQ5Yczk7h64BRpPOZ2631YpZOu6eLS5C8D0oZ9TLaAinELRxnd8VvEXwI3ESk/CnVRf7uu
uwHwVDP9pf/F3pktt42kW/dVzgugAokZt5xJUZREyZLlG4Rs2ZiBRAJIDE//L7i6KmxX/1Wn49z2
XVfbFkUSSHzD3mtXu5qWc6+Wu3Yhuj4gt7F3UYN/iUVGAklb3+MLSbfp1MLqMYF9Rh1KoyaYA2gn
XgXgdXqFAuseHF2GX5SFRwFn/rBqc1sfCLf/6E1ZuUpN09iCnzk6BMCj/2H+vuqE7L5FteNsM6Mz
bojvSHaB7sWmMudwK+sRVlEcMI1HbbQCmnxJh4AEZsPUt1MKuLyaen+DJA6NUUvxp32r33aOFe+T
0AFeNljBOsyyfoUSdT8BeeAM7m7DnlNrtqdpFaJzXZvdWB07fJ8rb1DuKhbDtQ9wneYBq0FE2zR2
fR0eGtgLBmqco8LXyYR9NKlZw/LLJGv4P2Bm1r0wjA2+A/zYZY0rNQys9ilMM+QohEJtGuSxm7Zr
jnQ5BA4Z8tvY+B9KhGfbORz6ndnKdM0CbF4b8JaYQo7Jru/L8WTkzTvz8FvGTv2NGItiNQ/L9JkQ
xLtFlnC2Rr7YypywOaSdeZxZRx+ACtGtyIpxKxvidRDniLED3nOfZ8XKKnPOu8b7NM9MUatgofLm
3Sdy//IbV0bk09AggJQArgGKQJy5BloIX+CMiE7/1ntFuBvl/CmW/NSc9CXsGjjEMRGKiJ1KtmAQ
QrylUgxEm3XqPkLauU7Y6VwGJ9A83C0oe2b8Wgv3G5Pnr6RgFbvCpWDQo/NSqh6UT942z0XAj5qV
gzueEfw31Tsg1lrClnDpsiZuh+S+dovsIbRqeTQDaz7rvONj8PNPfRmZGw7TmlM71S8kcvHA6OzF
BghkK6YbIqGcc91Li88Wfeq6tAji6Z3S22X4YQlaMKpdm83l2RJAE7sJf4W2p89tApREY7HG4sfv
gDAxB//UBM+tac33ud3WfKAzwybSGdEw8oFJfn3d5dkrt33esdypgqfGx44PGBkwcB8d6SmhQBRh
/NC3xXDvopp79TPvEdXtsEbldHGsuj3YpMHDtE4yuXVbmCpo3BLnA9vKAXUQM8apC7bOHHnWelG8
LA3jAG+hWdomjwTKdVxbLOHGilUb3zPmKlHfaQGG0JxHDD6jG3xC7Wa+9ub4JZNRdzebtsF8BPDJ
IZOdfeeWnmYZniEydUwJbAWCxTq0kJ+voDJxRZjltQlC9zpMJrlxnJoGJYYlCW9z2uIbSDA0uNyo
Md8pYzeQrL7y9nRDLrdMxSr+wLCbTr1HxryZYvuRVDmSJDrzTNBR9pFpiPmZnvVEkks0b7I6iddN
bL8XXuuyjkutLyLOQEXMDPnylZH241EOOF7oGhFgbTDTjV9MxHEb7Hnt4zyo5hhxeN5q1LN7xlf3
s1fd4IPtSAvgcTAehDGjXtSe9t8jesB1YrX+Xdi56QuIfAdYfupu8DEXWxc58lrWmKI2qmG3jLW7
virbgdgOC7u9jDlMr5UZ1biAOtnHm1kFXblBQAA/nJzqfYy1cBf5A3EPPoIkye+175Rn7EmniMp9
4xfpC6dZ/sIjrv9YDKP5mGcdwtDMT4+mO1DxRjASm0qjmQZNGZHA4A3Fc2yl2USWHVxSIN/qFBoW
N0RiDkBg6eSxR5I/kJQjHtAReNXG07G5xWSmHjrAni9Qofp3Vw76gFcvhJOYdXekh6kPte0CMfLb
OuswVXkboC0Ji9MED3OokCNmtA8trHTBCbumT+rDDfmUtseaVIL+gzfb5TfErJTlNogK78OAgNv7
SHwmSzQdIBZbBb0TciMq8KITBI146+SOd/HsPHnV/uCR7eD3j8VcYThok8q4LaoxfSX2ttqpKCid
TTmPBZv/ysTzksVwxJwcZnhbDuULSa44zPmrh7HkeFVl+DiU1Mas3/rPVVnVuOv9bOd1wH1URUla
VBpnaVfq8gk7NRQrqHr7IShzon/aZjeVIFnquCnW0pgLpBgK1enALOUBUYxSxFgg6Mh0mm91JoA4
VXO/WoA4h94f43tL2tF0DfxM1XdjnDDSCePRRPG+DnzPolgoWZVOEFz73kIQ8E65mbKwIzyyGZxH
PD5AWTnGJoh3qj1kYVKGq4EJyXxTjA7hkG0mIL5KgCJ2m3COjrDAKJ08+9AlkIytICUOch5i6R8g
CEjxmdScaGMaWRSfU73M5riEVba1gnjYeBbjoXXOTIfTp1P1WXckrffojK9j09ELCKTps+uRmtGR
icCOVR4V1+Sm7+z0DHUxXUdW738rVe18MQkpQyeUsrbej6V8avMwSl+FQMRUwphk24hDPoCat0y5
guBrzWjs4DGuMlYC5QeQB4UQNxvMbYrrx9mGbZHvWqud30wK65thAoZT0B/XPrERNT/2NFtNh1E9
laiLnfI6DMJlkgOBxyodSVqpwOYlkpKEp7zFsGVGVAcNAmAczQsxKAOK6zQl6lLhfMCzC08eCig0
Y5FtY551FOfNtB1hRm77wj+y89Wbmsb92sVpuFO5ab25zohRNFeSIB5OpqJGQAtsN9kTn6uJ4XSD
M3GKpBeSzzZ8LkJD7yFY3dljEr6TYXun+U1WqiNARFrWdIDB3lBK9fE5p6UdCctzFlGJ1+xkOLrb
79SNiovSXIksTbZDVCbbsOAxHo0QbVpq+lUd+uXBSIHZGeBGASJ4QJQCQIBrwzSmtZPZ9g7hZrmq
Qt+46+x5ukqStBYQzS24zwoRT2WTUDoYxbaYYOlKEoxuoyhNOWgbaJJEWjp5y8GPTxKFQwKxUxXl
VuWd5qEzTA9JZ4YXPcb4BpipHnIvdbdM7Tgw27o+paa4DzAKrNq2JTWhl/Fb66MOq/DUISlGuXSB
6gs3rjRzyEwR8LgitF+/5xrZxM4gYkqT8tWQ7WtjMypNdLB33FGgnZb63Rx5sAapOR+nkiGuoPFM
V9rFDAjhrEDagUYk82Nv481EroZ2stV8WxB0x48yoImIyZ+bm/cqKz62GbwwopDNett3Feyz0QY0
HrDWLdIwOmVp677lLUSsEqYH8W6TMNcLyaLYKrgp2NtHDCk4f7laWn8viApaW8pJz0Uc5/fMH0xz
0yMsDrZamvrSdtTbmakxlyzjnzFo5TFsmoIkFU2sRBaYX4eKFg0brT5Aa+o3g9FYD0S4MBGQCgPx
2J18HAErEz07+It+kyQTeS7Sg/psGaA6/VI/AAkE8oyAi36NUgwXM/mRc1YeMUXofM0QdnpBZNCu
mPfc2szAnymlnjAQLzDuzr9JPCSKzThTONbJMRrmZd3eG2pT6f4TcKHbQUw2IX/WcwUvap1pB6qa
p4L14NrBSzIKoJyNQuhmBnptEeL3hE0IiS5JfDfVlJwBGL92uBgPU5s8Kk98szlJd8NEdVTFsnpM
auvVTkTBjr1y3nHyK/xpyt5Io3weyQH7JmVpzLu4CrCRMPWg+B4lJJbZK6/B1Jk46GLk550MiCsn
IVvjFNUIs8NpuDZC4DoqgghVBwOIYee2cBoo/lmbO8Xo7rF+hldY4zhspO3WgBM0GeHIBhIg1hP3
gGfm6sQ6HMdeGo+0OtEC1pIk+GSuvEP1T2EtMLKTjJmDl/KsmfBzHRSQs1mnSbi+XnDkf/BHeRV8
s2Lr6mSYDGBJJ6dQmvlpcnm4Cnv4guW6b/YsfphtYzpBSk8OrluMpzn1QZCa4lnxSFoXLGZWvbXM
AmXFajvsUd0LkJHcE1R5qXD3lkslDLnnO2hR6eGQ1f3B1w3B5aBkueDxZEkUHuTkRiEarLlwG5LT
/ZMUutuxv/O3fu4VJ+ky/mtC+DEVpf6aypQIdUxZKtYPYda+m2XKFR8BLA7H6qFxlnVSOfkASQA3
+qzU9vQuDBCJtbobLOclFU5700WG3AzEYK2JJ6/2iSnjbVpDhx4zmjPl9u2x6mK4zzWJAPBa3xEI
hQ/sXBnDRUO6TurpU44NYg3hwd75OTSArLM/R64Wj6Sq5xtvRH+3zvp6+Oq2vn7k7LNWnueqNTvR
/qQahlGmyNYCTOdtoQKA43aakp9s5vkh9KpbSAgtTnPbgTOdDkQf+bEokR2YSX5qeD6KcK53OZzx
t1bUNXYGxy43uTHPX3IrQXcgptx4q71S3YGhwXDCA4/4Fd8fD0GeqbOf0yL5IXmRmzGNkVg48dYu
p+kzdRa3VizLN1xAwV092ESvdEn/xUi9b0gQJ4gDiQGygDH0wzzC23VTf6hgD5vDh2B0+3vMa858
UWNQy9Xgl/WeKWiZrMIOl9k8h95u4aH7LAjTEQ8WXtw1UkO5w36T0C9ExgWrjquxjrTOIY300xS7
H6gQ3Mcmiutd3EzdgfsAQalqUeuEwfMA/mAlk8p6jE1EJm1i3wVEBZH9WRlrmKgAjfBZL8hONpo3
g0VRcy6Q6wEy18kNNUQ37mJP1ZCfUq8/ORXnz8rrQHLu4wiOEUOiAg8+szBqmtITq4UAR3k31NJd
s5BSz0o6zU3TBAFgydoPzVVvMuObFsP/xLnw6uExsS9oUswnzQ/wNgGLuZc+h8vBbQwVxWZAnaAW
I14CeEd/9rl6oE7KoYP4U0F8l1KqDQ+scNWpPqZimgb8eFZXAu7vlkqIU+a1hE3yyVFJwK3dZ91B
Bgk5FcYIGLDFSUlOt0EOHDEe46Pby47hk4liZkUbFvBNGOFz8V2AmcQZoDpSp8cNM7XpOuV6zNc2
N9p2bgC/U9DTeI94FNeUoKXcaFt+GyivCSxoHhZ0CaIYzzxJZNMbV/bDntip5mFkqf6SZVTgG9T1
JCAoV9y3TS1Q1QDzvIKp5XnKWVbfk0KgXwwn7U920jCXQeMQ3KrJ6F5yaZgXk6323pLEeNK8tvZD
i/P6Sr4G7YsSUXhD9oD1GX95furaQD9als0wFGgRd2ldcayuSjeoyKJpEwSrbgtN1h+WmPt+YCq4
sgmcyS5M+DueJ6Gyi5tMWFCKO29w+aZLvFGdirER5e39HJM8DkJrgY0xhnoyZz8+ZQ5HZVUk07cC
KN8rrjMKtdnrQBcxYAJwj/B9FWdp89J7+IUGg6duXDs8zLikNjQ76daMWxg8BvrTFaPRGxWN/uKU
67ay9fKzFFUFotYX5rme6+EDySFArrwxLTconZ21p5yI46QzHmTeyIs7DcGhTATWIz3L/dCidbMl
O1V44kN3GxSl/ZHprcFDbJBPJvXdmXgP2NYd1T/jTJ8pjZFckXZqkplizdC+ztiStuVt34VfDC0E
GIcyOniJ220MgpEho3Nr2JmVoPGyj3Uigvtq9MbjQG70yTP8eVh5UYFFh66jp2JcM29WpzYJe7C/
fn5Gz/O5CkZBPsFk7rJgeounElubk9MZ4BBMViIiorpR07ORogHxlUi20pptcgKcYJ9o2a61mqxj
3tbMbOq8IjorDOYNgm2x8fB2EENXU8uas3pNC2da0yrMh0mNHqRGGLr3gV8zBxZhUWwq19LFdXST
FL0ZD5vMXQSlmPnyswFVcXBZ3zBjFVQadbITyHRBzeA7zGf+fzN6aEFt3g0dEYaWzp/D1vpoxxzW
rlFtU8dmhY0sJQRJgGuVhccwJPGmNQow1r5R7yxCaQ/kJ+2dOLvOAbkQ2DHdNTD3eRUjQLCT1F4V
WfMi2ya7Jy/3EBnWgcKq2+vZ0Z+MkTWIZRsfbTzdO3OmQh4bA6Gt5kHNVv6tBDfzMPTNA6p7fMqE
iC+AlaURTArjLrBDkFQmBoumMq2zo413ssH6WxB9BLdw/q9S1mAMekLnYzeguYvL8Yw0YDyqonn5
79r6fyVfs037b9fWl6/67f1n8drv/+Rfe2v6zN9MttU25a8XCoc18597awt30B8mfnxIpk8NgK/U
FUyQ2B7/S65mu/yRS1GG8Aw13aJk+8W0/3cmfjiUv8jXPKgQvAxzczKlrb9gMZLOGXWlpH3rR63/
PA2Oi7tTGMTJ0YRyl5VNA7O1PgHvaMSqFg2zc87a7eBBCOuttjkjzu2tj24y5zTuhSLtkngCwm9k
w2ikxxRIBqajP3Z5qTZdPCGDkZOFjEgHqLhkx0AKjkql95z54tozjn2tdKTvZhVSPAVGtfiVZ+Wz
XYV/tEvB1h98lUFWVTlLHp9cxb0X8itSeKDDWscc4FiRJnu8d6bJ93bJCKPxgGNqZqSYZ+bnjC3s
tILsnL834Inu0tjVzHaHcryLInyhKzZFvPdSlpAMM9Tq/rGelIMVXPQY5JGY8Kd260rrxIB3Aojo
NtMxNiriHspyGgFM8gvWN07EjnaF/qS0H6xA1g+hk8XXOcv1XVOAe8kgJG+GpMSMGLU1kbuD8g9l
WFTNOnPqOSbdrwOuGfSoyQ2HwZq8tXPrAzv7zp8pmiOz7ppDJNy035eRFdv+HmxLHnMG0x+bmzEr
FWJwGo3xYlN1V2KNZdU4OtSpPXVa3JBWgTw9qCosVRh0CjRCkh26fdU5ewgF+4EZoUvpN17yRjth
tEVnp0JINTwLd6h1eHL1NrzOeO0SDBTh656MHS5i0Q5rt+1siw+z1353bpHdYdkAdunXB7MdRHRj
KaDWLFlavVw4/nyYgS6BDxxZMgKVZhqqT13X99K8iKmkqOeYa1tUCuUqHywyvj7GABis+RVN0FSp
925ouhJkbj7PRfTw3wPvf3ngLSKZ/79O5/J1+J/DWymxp6mvP+p1LNtc/uW/zj3/e1Q32kVOvB9M
mr71m+tS8UOlCezfVTd/HoHIfMGLgIP1F7mvu9BH/lDsWr95octft20fzZdl2v/JEfgrFwgeDj8I
i/5ypOLTXOA5P1BMHINZ9aKyOeQLyMPGw7CyvPj5hw/l38BSeEj8ZAT9/iIhR77r8j6970bRH16k
q7UhQ6qeA4g9CmC/pf7xtb8GL9lt//6lFmHRj57T5aUcPpZFPOGb7ndh0g8vVZcoB7PYnvGcpt0q
pfa+oexmQbgY9Ys47TAKKmOP4MKhDmMP+fcv/5ePE9UVMirIxULwpbm/YJbIHgrcwcPNlFXDk1X6
LwEsvL9/ieVH/PQOl5fAbEv7xvcGP+rnb0wpY+rNSDQHVwxPo2s/M81mzmgRcWbODVfpn5fzv/nm
GDf99eUcC82P4zlwskOTC/HHC8SOG8cbw7Y9wHNtTqBchVzDHy2xoiCaLLTzwYmGhuS/uKGRc22y
DFYNEa1ErOeKZx4KZxo1i9UKYzOgJ0SdhOUalyHLf3bD2CDQRWbVymqEXOgI4Uoh/j6C4bc/Wxkt
m267b5UTYMxa5sjPUxvKBbrbL1MGuIhJw7KGTEV70zNeecbcoM6AMYZ4ZaOGxn3fhOWTB+LuJZ2W
MVGpwJDGtXvnMvS8elgPV9ohqqSPwY/1uhJUjmG0AUeJbsV0m53u5/lIk3LbZ4be2WX5zfGLa506
XwDCPLBUKEHCBOVJmuOnWJMVH5aZt8VETzge0YybXM4MspZRiarEhi5v+AolpDn6WXInJ5If0xBp
k2OV/RbltHcZCfHBpeNFJ55pz74hmMUmuIZYki4pUvqr7Rnh01i1dAEiy/CWNfFT5xGn1wfIvUON
jbCOcXUMkT7A+422mTkmt9Bj8N0A2I8CAgRdZrr5FmQDOh4kpHEIizgjiy1lavDU+DrYJBRfa7Yt
/hkjT0ZYpRSAZ6pRKe+DQ0fwkuRa3VW14Oegg7GeapFDuFFpf6CKROmuWKzxrbpo0EqmTHVBKKyF
kWgHpo5LpKRLQCE4rbOhor2aemun08J8duqcGbWGrGMkqdW/ImQiSW9tTuJs0NQ+pSzttlVai1UE
C3KTNN6CT05FeJzxW5+xsKkHOQNpKFV7jsh5fAWi2D05xPQcIOKLWzHa3qGsuBbgyqc0l9W4r0r7
NQFNAh4pJU4l8+3x4LRp+GB6cbY3bDyOc2zU930xbSzy1W8hJ0u8VLIwdwof4mvtuejBIfYyAB3d
dK9Cp78B+IijaU68+5TE+yiy8TFFnS9ArcawWvOE2DP3ZdTYf8toqTOHBznlH2D+0BHrzNg7ZADd
QNPLV2miwYD08fBgRIPYWzaRxMKU+FPJWDm69Fw3E/ufYmXGbn1XTjw3uKKBZK0MIjoe7KiZ3lqY
leuCm+as2TvfsImz9tiGiSjAnFwxB67yHfRNf9OYDa8W4+XkfgFqTODSSE6iTKbTaATRK6oA9GFB
HDKWioabEUwLebw9kAna8z2Sd3YGeUmwtsM8mgxzFPxuDrDDKwZWWok4M4QKdlHmhc81QUVIJ9Jq
4/kJYiT7JRQziYFdZ15TTMoHCws1MZlnIyjix7w2Cb32+aRJfEFsWQMqZS+1mh0y7aJB52R8CGLO
5uzWaBuiWxp6+6qZ39M4YCOZmPm0CqJYHyNCsFGtmQ8k3ew6gqjRPqILrUN0hHPOj40jr/mghOGj
dWsHZDKNqne9VdtvrcamVuON3rbjrpGx/eS6MlxXIgfeXfm6ve8Nab9xbgfHtBxskpGYT42LLj5J
iLhYuY6cL1GRd0CVIzl9qEVQnDmQZiiAIXWx5b6qeiBNMgyM1QAFZF3IiNALMzkDH9knPABIsDR1
R9sN9aAoRXVpy+BYaOtDXoJyxgFKlkmgTg7jXCadRrSJWCbfxlH+NRrDbM1SY+v3lvPWm46kH7D1
ncRWE67cgnuPI8G7SyfsAKHHIsIrLYUoChl7PczDx3oc2H+kilc2IaViLvO4gZDajgutyihexNCY
gERm58GeMw9+JUoOUZTMs1C+2Kizkm7rgRXlPvHGdxoGsr0bxDttW61zoKfPbsKmewqB4mKqKJZ0
3NGhI+D0KIKGpmv2nXNhp0OzKNw01o7AOAD+80jz8L/4wo67lQ753pvIzY5BFvhPRTuKfUU+FJsr
Jiy+nlKkgg7BKChkD2hv65t67EEodK5756UiPyRGHH8K3G0Zp7ihp4SPXyfjB8HJtbEcyNp8SMWT
HcRi7ZoC5rPR5daj03hbbyjLlw6L9adRe8nFU9780lb2piY4hdm8VOrSIyIj7Svjypv87ODkRLiQ
nmvgxqu/sVtAr4ZtewfwvD3yfByOOsMOGjZgfb0bYkBowDZW0fa/1xX/FeP/gxjfAk2CfP3Pqugv
qMKlyL/9OqZf6p8r/O//7I/JhrlY7BzPtUPq9p9Sp4UZ/kYh6hGEYUEfhMby56DD9vlHlPEo65Y5
xHcd/x+DDvGbjesFK5/AWmcJ5z8KwHB/qUvNMOTlXao4l5FJSG38cxXXgLJDM1FlZ3a36fTmMLtD
RO34nbM1QaJXnM4DD7LpkJKfXhrH2kokOyL6kOpQD0QLA8+d3hUUYtxJJjPV8btkY6w8/yt3KaJG
rGtqbg5sq74LPPJimJxHYK/IteEU/K4FKUgr4BGFRNJ3tzSqWRLemanR+Q+6xqRsbyXTVzk92hVZ
yWtv0J35WthDkeLddgy2zovsvSpPaWCgIQt8HjHoYqYZWtHs5mNy9nAqy+AxsXzG0Yj6A9vkLmdH
STkKo7psn1oQsGIbYDErzJe08bu531dSB1a5bs2SUO5UpDnxQGbzhe2S2vmNnO5dq6iQYE4DU+LA
m4z5k6wAK99+v6r+ewP+8w3o0VX8/Q34Wqv8l9tv+Ud/NNjiN8pRC+sKmFcEP4v39V+uWD/8zfdM
y2G6531HgtIx/jFnZJi43BQ4ZnkuYI7lGPijyTb/L6HvvPrPLZu7cJjADNMw0Ab/2rIJ7TXaNOP6
qAOiThhJxe6dDQPgMhdD8J+2h7wWXqzvNh5HiAWA+mO/phk1zVRB1dG3B3GZ9SQuPOHD54lP4Exo
R/gPHe/y835qR11OO2ax/gJipW775WRRS3I50hJerxQ5vEB8CBFjw1lcutGx2V5HcOFtgCdPA5LH
px+ug3/Tnv6lOV0YV4RDYXTyfEK0fnmzjWGisWkpvGZFuGhZlEjLCqGD8yRm0n2jOXyOLPOf3vJf
OnBelU/LdjyGxgwcFvPTDzOGroVWOQQ+cSalAAlFRfOuqzJl25Kq8T42Mf38/dv8ywsyCVqeLrwi
TT9y6J9fMDMRebA2D6lLovrGZ/DIaLqDEhvYxic70t7r37+e+Mvn6rvfhwvMn/hwodv+/IJTK5hy
R6M+9PWIYan3otYi568xobEPDhqlqU/FJSgqB/9BLq4NJpHnSkp/gB6Qzyx4/da/knpv9SulXdxM
xK20Zwrc8eNkBf9wFbj+v/l9sZxx7zOqCLnZf/l9K5jkcVZ2/cH17dh5MkpCzm/auMD2HddLVEsT
i+Ek6mQq4lXbueKJe3C6GqTnHcBced4p5cFwhJ3uvsV2ywos8SB5rNoI9Eo5B+ICKKtMTtq0kMEQ
uSMuJZm0JRnC7iw2LAIIjTJUSkjaZM3BDvOsuLBANNS2h6N/I41pvIoOm3eEtgpBvNK1+zlgXz1t
eGyOegubArOFsheIF6eEt0kDggMXxZTxkhVJGF0bZSkuuShrbMjzLfaARWeTCPGVqxTtxEqAvBzJ
RQi18zBW03CuzKQgh8UlPkOHjoMybDkIFBxBfLC6He+NgQl7mDfol0bwoa99ZhFipUz76KFLZz6j
tXwNSlvfm23LnAOPCsfXSLYMRlblvgXKHK8E2eMTL3UkUS5149UgWugJRVqwSefURYTmWjRGUzii
Puh4hgNmBl0L9n289o7inTIFZPBTYDVYY6WNngkMzdWmBxn5VvR8jsGs+dyUI576kC9tDprweWhm
981jeHlNY2y1jY3+akdWVYeBYjTQ9rY6Gq+/X6sJ80Ds1LQM+JrzsX0vsnqhf7u8WWtiQ7tvB12g
pAIvhQzJj9LymDdGg6TBown77tBIXhI9hM+sPRHwdjlK2G0J59zDreA5b3UbyNckltz8cHjP4aTC
Z0nPQ/dbpVwZ8ECMtcPM4EZhtMfCy4oeU9Mkh432LD5S7m6ceGwsSlTv+bwMnRRfUojC8wgsJUXA
Ipf3OjghDum4Bo68fP7O2LHd7gMHN4Tvb2gYwR40VWhevv+dLooIYZzMjHNjTg4G7/Uh8Tu9GeIw
3PXNIjZMltvD63JQem2bRdENwT6mXOt26AmKHIPwinpYAOftqKV6wm9Rtl86hi6IVVEUW+Oj9Iik
IM8TZqbeFRn+DLK9+QcVEcz4P0Xn65GZmlElp7btUmM/mX02bJrYmKKrlJUL2KSmh15VSd9FZ2sO
J0JjCD3Wk9FgXQSdm94P5A8MrGf0xIChYl3WWqQ2rGYSJbCJaEiXZp5CrgQuQ7TEExrlZDumkMKi
Kpx2IXkxDVa6IyNMREVBZl/cYBkeoAZjRDQyC0Ez4ZEyBPSMcSU65uniuLm3xlQoPuKUaDZMP7wV
MTqCwOCkuw5Jw5SmI2LiU+fk0LQTux1sot7T8Ub7hj44AYkz6G/AVK9MtvABcpn3puXY9PDQnKo0
8S7SrKCw9bMznZFfl3zho9HWAIdj+Lhy7t5Dpl0DS/g+Tjdc3CHBYLh/NqGjWxDgvh8921WLPEQY
zgcyMA0AXc1bJfwM6izwkEODZWNxktpcdPiAuKSmHIRdIvgPJHL9eOUxx7VsRVWSHjwj4ik9q3RP
NIN8dUUXPi8B6Rmo8qBcQKN6vM5jEj0vCXIX6Qj5OhGsWIC/Gt7GGnN8BrbnpqytnFwwM3vJ1MyN
9R1gGJlws1LftpFshohlwzCqNjxGa4az5RZ6VrVpeRvxTthAfUjsmAGWzq0Un0plGPNxTpw+ONql
Avu4FpLhiw3bCNw1nMvPpHS63hZQzakIZXQeDBnfk9KSHOMgfPKTBGdOp97wCC6nfyqeGXb0m4wE
rQvzEM55V4r0FNbS+tQbEYOsIlnyuEJ8hIzQcrobPRxdUCd6wSuJNfelz36zVsEurKzqbuytsd/N
BGuUSSA39dgiFNclaFxnshofboLjaqbBUXVhcup8LoTN35c8sdQHNwmt6HMYDKlawQCJ6t0c1Nj8
rRg4IZzA3Dizdez56EpYbzPQ44+TH9SH1KnIeElsZCC8JYAkpLyvJytqXwncpRaR3aLNHoi4yYXm
a22QEG3TosW7ljhFrGCotBPL7iy4GOPEYwEXRLkxMKe8m0UWstd2Od5yb+aiaXqulDZGnRWPxnIp
9XHFOjOpwR0RO7TQxCzO9Czk52iL3wbTZnhuB74a4nJDzsGyJzsEPDAp0SmRXvEqyWGEIzmOQwK9
JYKh2Mo575UGRJgsoEftxi0x92gBzoxZ0c8FNa+c8TAp1yyZ4H/avLznwrbb+xPPcXBy6d6OZudt
njIO/O9HoM/ITW2Jzlsu/cEskvvFzlStejk4Z3zJJgMpF/So6oz2vcKtgeTEVlwR1ty4b2yox/s2
xVGywbCIFndqQC4vcbg+FQNCAW//+68lKpdsMihSVBKRYfD48hWnfVModWC0Pd53mtq3RMCHH6kg
icUaLNjA2CBKB7KDF1so91VYvw5WI5M7y9X81mkpea/Io3nJSrG9uDqNLIgWokt2GCUXSdzgZ0Ob
pX0fBZzjnfq8hfFN1uX0GBm1++olgoN1UkZ2JpoIdyJprFnLI0PETwM9Mjn3ZuGdndkOWs5FXzwW
mCtPKIqNb51qALX2Q4hMn7tYbFLDD5+tEbUqenvmCOsm7MSTrSDnIQ4bmR4r38lJ1h7T5RMFPzWT
9Qv0BRF8gDuTgXxXPUbLN5plNl9TX3LFFS1foyFwj646azaVyYpEko5eBCgrnoUxgULic6K0fPTs
1OgftTdCP1+nyJOS4MrEMvR4VAHbwQwRxHAod1NOQLb4kAVUy/F+HDpsTIJyg7Q70CGmEwHCKsoU
USGux8GbrH1pYERgS5WYpxzd4sUuu//H3nk0yW2kW/QXQQGTcNtC+faWbG0QTbaIhPdIAL/+nSxK
8yRqJM3sZyHGhEbNLgMkPnPvuRDJDLns+IfJPLES5yJbG7YYsn2sUauecmxYn2cjTM/GwLZl6iWP
niUoj0zdwTrORKsXo7oMLT3soSC3TD+8EksfRy2KCFyi6dYhoXZvmYm17bDQbjowIKd6guSTDIX1
WAmOGBYlA7OLCcmglVORDF6ZfzNSASd+quMj4lts3wPUzi13oIo4Fb5VXfvNKJa7cBbqxHVNYTC2
JkawxsQSt0y4xUp8Nkt5ZOjZ4vlN4ic01ss+4yG6zVqpdrMQd8IcxA1ixeqBb5vncjUXZ558CMBQ
ryJoxkEalN4uCYsbWInIFfmo7sylSV4awxuZYdvObT2Rtxo5iUkBObeHAnUHni0YANYjlV+1swGT
f4O+4p4dVDJpSqx3mJnVpkIHGQdHI1t/wfXJFyJwx+d71stKbsvRxBRGRYC1x+AJ3G8WGDqcIFIv
QHhecRoOCFBgvxHG5ZAPetPnaLxZLnLapF7HFblOOmw6htTT3y+5ylIgTSy9/r6N0l3HH1rjgEGE
D4fZR9hu/mlTSzBUFvLEa44N0BeK/mnGXNHpwvfvf8+fup8Au7uFbs6l7Rc0bn/s1sJYDmNWD8S8
Vh6H8ej71nPbd2A9xWzphGTdulyOw7//vX9q/fm9+B5xddKZghb5oeuiJS9g1M8NYvXCex+MEkJl
PxczflbJ+VWX1fLoAXbkpAA4k36nh/9lAsufNv389tCmK+YG50Voptnvu/AFr2uhLK8+KrIkcWgG
nf0c6FOXHDBOexhP/Gk2HW2JrrxtEXC4Xz6A/03s/nFi51l/P7HjYfvvAeY249Xfze3cn2izPAjh
nhbCXGbjv87tAuJ6uG2EaVpID3ANcPX9P8gG1hETGDcwHZsf46v/bWzu/MR/anFhOCGbl5DUoP9C
H4hg5IdbGJEiRQogc88OLNPxtX7wd6MeP59bfFbQzoiR07VBqON1IfVSldtTB5prmBqMwYHpS+8U
20siThSEYcAOssdrZitS0PfOOpdY8108l1DTakvp8PSqNDcmTcNHmVKogdATJxLQrFu2ZOI0iJFL
erHZLBeN55ymFH4INklEajzCyWTTQvTrUMaoBXXv2ZgrN9yUkde9YZ0eXFuS9d73OUVI6xXVVaKh
IDVCvINd+LLbUVjqH3Fiaq0cnNk9XsPwdcQryBCjgXiyQbM+PyazSxOQWvNjl9nOKc5LHtROM/vd
XWLjGiOMuquDsxf6/UePk+S5qPR4wcLjCmUzYf7QCEJtlmLmGMhHfQ42oW6cbTvpjqblWM96c/Hu
2/N8X9fGeHQm6bysigqvAiZ87B2T0tIre+s2sVveP5lh8WvmFfzVLaUHCSCU8ISekDHzkXUpn0Al
CHJMSXh4Y+99qTI7/rPLWVjSab4viS5ZRpgmWkPDq1UFv810EnIhYsmcY3Q8cDbIKnnX+HBpuXOn
eaO35b2Hl3pxVKZz64m0vKqkT72QU2EFU4zXUaXzDcz66eTUYX6qdNnOw1J/nt4c60p4Lpl5cF3z
b75/oYWZUDBiTaC6GvU3fKkY+Ur7HhJFTR6SIkrNQr2JKGZLEGqePjDh4i3US8bfQmQjfwZ9Qavl
FiOfi8oMKjA5Q2HhOUkQDLEvPj0lCkF3OjZ6S/yp83rh7Ityxa6FqvCbjImq2phTxai4UI+gc939
QuqziIqYoQzcoezBRwQpSExtjaixSvu5okB5u/SCtVtyoeezGOM9JQB/0xrb/MmDgNeGSzh8HUw0
qZI9J3KgYeJqsLuebzZ0Bt/5zrhnuD9iQvJ9HtAkp3LxYf+W23hiGbXxVTN8+Phsk505NNatVC03
oR/OfMG4UnmyYgmgcM+zhvq6yoh3jHJU8+WOURvXm8VteV03PMWOPky3k0aOO8SdOLxuoLHUqmXO
yMgxkwqUrSq5YmJr7D9mqqhkB2+I727S1wmTLCZluqgHzsHMEAfLGzYf/rKhNUG4usR3+cx9Dss0
wQTRTXKHAef1cglfaugFM8BVrW92HUPyFnu01coZ+UiUjaB2TrgVypXJo5CQpPZge8LX733WUDe0
VE0R6AGZHix+f+JfbomRNurgpbrevtRAiE2dE9us9m31aUNatymReoye9SxUHb8aerS4aWiS603W
ws4vOp+b06uZXq/ofg6FdAG/q7Tk7Zhw9NN+5gttLwMsxIRcYCByDPKvJj6fy3ju0vot5soJwpzW
OUGlCa9VXYTXa+vxFQ7pwt9QNzCNNwVpxkE0+r107rN2gmxldGDQd0OyhlvcU/4Rjxo+gUsr2s4G
jbdElj3XeO43zgz5cr/2y4g9mJsCzWIHBWZDGzM/ljZpRo9LP5O4lo3wt5aWvpBEo0cYH+IUVLnB
5Nwq+HsECqJTnlP4ZQNHhoms7nnAKMQnSF/22GiDwsaWefuWm3F7DBHmHOJB2s+X3YrHjjPeB5Ih
x1MfsnSlnuaIdFbe8JznXFFGaPNFFTYD0dhc1+ac1D6NkANDTJ7hL6aHzFzTA5QQ2qYJzNixSGPx
3qc2R7MVL1xTMQXfBBxh5Wvt+sJ9NzGBMYOtLGq8cSEfA1cN8VRdyVQYvCTXiwVNfAdFp3lTxBF7
m9JrrduU1PRnnJ68nqxskng3hbpW9K2iXkhL0zWxjeDgI8mBn6fS5eoO+RWOvvY6QlCzK9GM3XG0
sA3uL9e8sAm2icyB9wy3S1//o+8RqZ5O4StbaKZKJILwKyZl4WKfWha05BFjKNnQBwbbAuA316NG
BURNG4SQvFa+yO9HWtZbFPT0fFxKbszo7JQFfUtAFPq6btdYhnUvPO6uosjRs4yKj9eh7rzcceUU
iFeFEYkQ+9btJHZgTtYa7493UDJoX63UqapXlSRL/snF3wl1XuhTypoUJE45uO/EVDDhHtvywZKj
zSSh+qjkHJ66ptEPg9bUD+c44QQOaYxv1epykAF/5A4OcP0D/5KysujjF7kcOX6cUm2tZKSE2CQ1
krnIq9fwqmR0hzXbj5lKdYjNioc1g+tppoUfwGw2klcepR0bdZo2zIAmd02u5+Hs49FVSo4YZp/K
hruK5dj7qKvytQbMccY4MJpqs5DdQx3idM+UvidtmwdJ5FXFM+jS5opnTHAPm9OMuXfhJ3WtwxjH
soZbNkP1VU/CWTQFiXxJ/ZYJ7VLFP7eDvTPsukXNHrpRBz7B9DPugc1YWqWhjsOwnHo5Nld+FqIP
ujcl9LAwHD7Bqdg3SNT2hueTUiGmTVb6jzHmD/PTwvQHw5dfl7BAyacrOVVJ8mMT5m1XJs72tmGj
uLXxEleRz+om2XityKCX2OWRHBCyN1LRBDCIcmefV/YUwidY9+Y4q7ObAbuJgD+QJGBXDHD3i0dk
wTHksuywBI8Yem1fhlegyNe7YB7wlWchj7l0Bs07G82wKZX1IqyJAG3Tq+5SojvOvh1z9WLe3Xgy
ICUvyBp6+wamU5b741U3T6BJaXmdTW+483sh6uxl8csXkfltcV20vXhoczyKxtCrIBIYPWjlnelb
z9bgiwywYvaKaOaVi2zXun66Dbql2y9GBlp3aqftMg8lm7+GdDUhwPjiGcluMBNmyw2fl/eRDUG1
X0cQxjgPAZOl6iUMSdvOU787+LH6mc0IXtnM/0L28fIoXUIVwDLYe5zO2cYe3O6hJxOV8qeCUz6X
wHVG+9nIfETUqu9v8GqvMLcWNwJpUu7rxRCHOJzQiYap2CVt/9yGI6razqMy2vVlW0PGiDmigIlH
rpLNLqFuOI9lZ51ZahpHN6z7Ux6O4romzgbU6oxpHMEsQwkEiDN21p0RovHIOLHQcZf5PWxpNK7B
2Vhz646HAAQjMVV78hS9U9E5y0NSO5FTOcDY0HAcAv2EcBYsa3MSsiPM+cJ6AmLeesTiWzRZIRl8
7sOYlkS0VJX5mHdZcF0vxfBiz7ZxvZQNkWRG4PNzitr1yzAVyCZj3BdnxvHtIUuH+nOmA4wZdJYT
Oq+SCThRBwH5RI5xa3qtGfHk9YnOEPvRd/WsBeaeIjnwHcg6cyQ9ybNIhcAt2PV7w+eyATekSJ5b
h/FgxrmMXHaEEYc/FnXkzIc4kcNpqrCEy0Ts7AF2ldWYhT6trNNCVuF73IF/2+LpmT9TEe+orjsq
wdSstksOfGJA2f0ct5wonPxdie8cB6yR2j4OFTI6S4nYtQdhyZdWWDqEhxShTeOMWThykNBqt9vB
NR8nlRf4LkEVLNTiLTaWx5QMihGER6nTM9d+IkxF56qATWi3LFMbEiSnqiGDPEaXUyeksQweuSxE
wcHTCPJRvRrI4KC1ebHtbVKd59I1Ax0ICS/IjOqbFFfsNiUp8rXBiHVadSZMyPoOZCc5MaPU+wVQ
Q3sPr9KLSkjO2bJWqEmXSb9nzeSX4BlAdck1K7tbqVNpDFyfV+T73QAnYEZKNfBU6hSbUPXQqkZ6
F6DerQ666S+hN7icSWQw2ksaDqdWCAHcGUnJySwdmZPQuGEJukTpNDpVB10wATvxJWwn/jV5B8sz
GyD3Esrjf0/osS9xPUl/ye6BVz06b4EseepCLl1AfqZwOfdAit3yClAq/x5VLNNZ0y1Zfk6dzZjf
HalBZSeptirVU4h4k+DZlDI+Xs7gDufHxVbWM/NcEhRaRVmOcPfX4chfzmd+nA7ROrs09jYNtO3T
Rv+gzUBrzsxtSDOIKiGj8xJw5PxpFeQzfBYLWoK9KEOqkZoFYI73O+fh+/fjqT9HUSMIwT3DC4GM
wav4YT6lpGfVqz0kR3dGH8AqsGfmOoYw324hVsqEYjNuDqmTyuRqaOK1Qn/Wx7dJxVg7MEfrFi06
VeXfv6p/87GgkkEJRNmOpeJH8UjljHEtycI8wrmhI5t5+rOprKlJtWo1GoivLbdjSQzL1piS5p+U
HXoq9vuZJB8Gv97T/1CCY8H840CjWnwYOBPuOncpaIUyq12Qr/ZtUGZ8IXIBVsSCLXCecz82TpYu
vytRiOxqYvlg3wlvAe0HiWKADTvoDhpmTpV9u6zzVQVQ5R8+rn/zJSL3sBijMutj0/zj5zWFSWo4
qL+PFUSXDpDJPPZaZILSvkNb0EbI+shRBYr7jjdyeWwHZhWtpJdP67l7LLET/v0XaP3gGeV6QnSk
bX1ouhyLx/AfP0LDbY0V5Ig8djA6aOu1CmFgJPXaM+Ih6uuybFK23X8gWHFOzUR/UQF2Kw5WxyM5
AnasezA+2b9/Yc6/e2E64ZrQdebNf5qI+izucdy08kggFBUq0uG6GDehwlgJdyR1+uqJcONAnGAL
cmLMSD3z8yTsCSHGFAK60RIH04RftsHsQ11s4RU/AKYLd4lYKd9TrbUoICRRw+tZD0oD7myjjJmW
5Gy8xpuFweDH96YU8TsKj1VPAaqlmR9lrKUQU7bO97qOe08rouCrFcZgrgG+dEB//3HYP47F+Z58
2xeexdxAeOGP4jBpGW26sIs/ONLlDLTrFQlCMOpWp5p59RetBmqkyXiqINUQ1lBKXtaSjuvTHHp8
Wolj0Z24KylQGcZQjldh8+dMInSyu4yHHFtPmVWXMaUZFWv6Y50wAYtSv5mSXTK13XFdtDTMtUlX
gDWysK4IaAg+Lm/2f5Pof5pE83ThCPtr7eidTP8o2/7+A7/qRgPzJ5cD0TRt03f1tJjR9P/PnwOs
55w8KII5NbVX/TfdqPUTE2GbQ9TCO46cmhvxt/lz8JOOQuGSc1jz+Vp++V/Mn60fx89+GFoBbj8t
T0Xf9qMOL1ZGMsnKdU+sjpp4a2dr/iixg5xJYiGvanH7TyEes33T0fNYao7PkNCat7A35xe3YjAs
vKz/RNB0/wlCiv0PssQfH2W8Otvk7fMCGet7Px6E4Rh0MZYIQfqdqN9dKUgxMWV1Xbkz52KLL/kQ
NuYU9Q2JjP/wXOD5/cOTLEBOi+STnYGJp/SyH/j9aB7zM6PxMQWKmcSfyxb2HTdgGt7kYVfDP2tc
/xpfY+XxMXn+1SzC9MViPvzzvFbrhz/2tFLNujjnpMDPn5NVdhiKbiTlq629Bx8dxxIRHekCASuH
a6txmr0wG4F0D9R3NpfYWlDhlHfSXtBL+WgskJtTHW4UupztOK5wTAP26NhU0P1x7nn2G/4djYGG
2cOxh5ATmciODNjxUZKlRiclKp29CH0XulAYyojNHs19KsxPBq4fNIL+8wjlAjDs2nLs+F5T3XaC
AsIAt8LKvXam48JxHMFfcjYZnQPCeV9NLWm+HolcsoJTC333M2FP6HnIEbSuXZXFaBCX4VOgAGOD
PS7oOjAtzRMRywH1uJMveyUL7zCHdkqjbWNOwufcPuo27wFZT2ptM7ztb0VtetRzvtltA8YlOzWS
rLKfEP+CdOVWQpAbgA2L29ZjG8qk5dkaa7mrBl+NpzAIC2g/oG0f53QMZGRBw4ux1EELYWwVB5sq
HhjDb1yP+c9OJKtzhRuRQUeSpLYiqIy2hFGc4GvNDHF0J9s2NoWgdFeu+9kHer+Trlfdk0k779ng
2Dr9kQeXgOeIYNWcrT1Gx27fDcplX2EDhrQDJFvSnvY5OZThMBGYBazihNS8fFyRDqKKq8fsvGZB
tg3cwX9HXdcc19JcoRY2w3FJu3rdD5SgaF8ym+qdAdY8RFNb9QdyHi2SuYP5HAYWQq6MTM1ASdVs
Ct+VvwhlTncW3GZ3k1Z++QtPOrRuyFKcDV5SSL6YCFtw09PqOhvP77xsy733hAgMdduIjRHhByxW
Tz1ZXZnOzab1q3qKIMe3SZQRJwu+nEQdUIA8mAno6bKDbdbqg3FoaSHokuUkNw3WCPOmb8Mufced
WTTHsOIZeNf3XXxeQX+fiIfPiG5AfxpeLyRyv68IA8YoDscZmpHVGsPXKh4zQLPh0GLNG2rI3MPY
VcaOdMHlBj1ltWC98AcAPBMl8dMCtX454gBFYWLElZ4JVl0J531EYfkzCwAsJJgY3Ypa0AXalajc
PK4MgngUkLbXSQXSv2WI9d7XlF+65uJSn836xNw9f7R8Ds2EfCILrkZa3WXr6N/aI4GzxO6E/LZO
v7dFxu5TF6/EFrduH+vaSPSfhtTLiLxJJ179nGCaJ91zPabQihgluKh3JpKRNqE7MWqQiht51zOI
MlABzuMXM+tG8yaDKWbehjHzflSfTf3OUDd04fsVKzJFjvKQd85kh5nLbsi06zk3hgn5sb2+Fr1j
pHWUK2fVkM/YjgvCAYWwlncXRL7ZnIMJanlzztF3Cq6jxUqgQtUWjMXPVTIXKZFuWD3fx2UouXS6
tb+qO0Ij297iFdOj1sZeAbHPdGJOc2gDu7hjB4R+09MpnJueCGTGJAl9QF1zY6VxUNx1btGWxDh7
tbsNmMCe8KkNNpukQZbXJSLojCNxVVy75DadmFsH061oyRui0XDjcVv1nf8z8wDY3Xw4eRgVCYRS
DNjeAr9MLkG3ka2v3mrLqG+lt4TlNvCyehMHpjglDGh2uSJctLeGF2dW3mli2uUe0C6qB8DfTrE1
oMRPh4DRL+ZR8LEMA2tCeASo4r01mvmNdKaY+Q7Zkdek/jEvZcxKdqwc3a8u+l6KVseSe6JCd5ld
k6JTICa6FqiIrwg+k9ejv5KuNbQMIuY2aFzs0J115RjFcAoZERF/1MfGc85zZuUthwApCUKtN0ie
fBt1dq9ZubVtZwCx/Wo5VMpZOP0mL+s0Rw+2SOKK/Rxz4Pel03/6X+H4n6A9GCDbVHR/XTi+DO/y
94ajX3/gX34/beqDmIGx1KL6+X0Cj4YcIfcJUeNgTDEFfclvhSNgI0tXhdqf9FvFqD2ApunQryEW
0myH/6ZivFSEv+vv0f+A86A7ZbmHHcf7UQtUo7qDCcnBGrKyXIEyq2ZZ9jwG2OKX+HGIgtO7poQV
ABETpFkvCymgKc6Epa26Y9cqpDJanp4x8NpdFv9yWdx7iHE9I+26mLnpifdTJvlex7L0oD88Gv7C
GDQagRqF4gXqY1hCWS65pAExcJxtzCI27sKSvIVz3WVQ0yObWX/wzWl82q2jouGep1Pij1Yan2J/
NjJ0+EE7PTUTH/KTUdW+zSoVUcMuyVS3XvFZCucuYGMbmfxa9ioNeSdJaSfUOmJdGBaWgkU+3sFb
FA7y0Pr26kSq8uLnqrTl8zrUzpE3VW+LdTS+KFmmz0EmgB2yJs0e5trFvwRxfSXtbC/reHzHcwWC
omdtB6AdUrpnZuSC1xMbBTwHq29X54x4V5eQsTVXHEuKJ3h7hRVRo4cyjSGSSQ6AaAbzoMfhRrI8
GYs1wipCAZDp1IjGtf2Dnerk0Ok73wh1YGwhBy4JA8rnR68w0+6mmXv4gTn4QNsup9P/ToT/5ERg
UBnSY/z1iXCXF++oP95/fyr8+kO/ngqh+AnxEdcenmJuQzdk4vhrO8nyj/vc87jH7Yudl//rNzmT
PgH0MIlWhrv/XweD8xNHi0uJzS/RP/dftZJsWP/YL2FDxmhs01DyCpDV/GgM7KY8AH1otWdBqC1h
OsV+YOwN0GQIHlw6g/rkwv2rNgOeXdy5nTcaLyxDs4+CJpi51kxJwA6uLMM0PpACzWJxXNriKsDz
kN0Ty9P9jErVf3PBoJ+BPBZXxEPZ21CroRFGpOUZigS29jyctsOUVddZ0xrol2RTUwWOzXooF+uQ
KOKqklXazb5kIx6+Teisg2NgSuZ9Q7t4nycFVPp+sV2fHVAqr3km42J2sP5WUZg0AZXqYMjPI7Kt
ElF4DRGs6cfcu2ZZIQfS3YsS7iTP/VTO7PcYp6tb8mIw+u3hC6zNbY3XiYJvpi6JeCBnIj7C4CAK
clfWrQn5psJmHRQbHf9lu+DM2azekuWBcWATF3yeJDgs5ajaKHZDU5E4PPkwEGRsmV+VKnq17nKZ
unRZ7BlcNiBVViNJLsduNZaNN7K3IuLEJhliHkKBJkMGaytAx2SNWKOczAN2J10CphY8ONSWes0+
WLAtvUuwZpks7nYiwRxksk1Q6MHO57i79cvBOJkKLIqZBfFmDQ1no+DebDJwqScJ9P2QQHR7ypHu
sn3tgTpOOhHAKpS798JmefebDGAM8iIg4wu4Up0kQKIqiE7Al4e6F+UJSct4yC/hA+0lh2AqxlMA
9tEfJdgXnVSAsCq5QyFDpIks5q0nErJRBjqYjEDkY7+G8UOnMw/iyoD+mMckx6/ofO+KzHvJ6zJ5
cFgw3is5+Q9Fk09v4OPmLez0+Nw1cn7QDz9UAHVKrTzH94VdL5/Q9Bt2hNaf5ofd7VZZqX8bhnn8
KpvZOc7SM+4MxvDDhmVkuJ/8zrmOgYIeDMRV69byu3x5RaGAiFxHP7SeVT2hVMnJPoplwio1a505
YiXvz1HNYuNUdSgWwQz35Y5Ah+GkaNkPqsiTV3xfzlW4+uxarMZVz4yaQfGRQEcU50go5zdLCVpj
aHVsplEKVLucqeVmoWi4Z8LjnzrlPoOm3vbZKJyNcGb/2kJuRZxNiq1gE3fjdIeuzb6y5rk+otnF
sZWREb6B+dc90MNXr10/Vzxc/OaLsuUnSwdqYOoKznzT5W5pQBcufRPcrCj2HmKvl+dKzB3JGM76
eUShUe5Dnm1fs7ozr4y1orhvwdSfVTGHe5E1v4B1io+4WUn4o9DgG/SzJ0Lbx8+mlxWfFlquT44a
Ujdy2yD/1EIe2Crqc7xHQ3dg/m/vQp9YkZQgNlVnXlTquBGWmQSPhJV7VnMPI6VaUHnBHAmNO3IC
CNRzNQeZQVF6X8XZDKWmofusIdhwFTN0lm6ASQkObb8VBpEHtRqbSMVEY/C5wFEHShIlhhk1bq/O
tRlWW0Zr9qtA5E6UdveSrt1T1hj+x+zWwLxhLJHqinTEdyO7WbNneIfiqkQZdY1mnqSgrI+3fpqc
Qh3XognK3BojES46zAVVU/3VG8kJbdRa3zuEc32h6CJcwYJACDxKNVdwj8VLIoUbeSRqiY0qW5Jx
1jC5EbY1vg0uobfE7ESoMc2IHbi10tF3ZzK2CBsAxPpLoWieiVK7BkGvdq6n5q2cRuczRO706Bg+
u9VZqYUkJqzEIveY6AyDbXDHCQlvEL3VvqPfYotqBvVDnvUAz5vBYvivBShTn6KRQxZoIjIsVTYf
bW38rJUekeeJcp5A7AdfclWyKBjTEWlQoBU1sJmWR2HE7NbZW7+PKEevQi9m3bAMWt86aoVgYlX4
nBgAQcBRAimFliEt7OtufZb3yyYZHcQ0DutmdvgQlEp63k2zoHk1LLu+7dM+5xJ162ggFqjlmfdo
YfE4JUbcR/ylSZRkcFXQABDR1or52hgYaoVBQxJq3bnfakN8pE1rX1s+4LFoaRnj4WDatSx7uMmN
/EbNMrgJnTy/lib5B4zZvkoMgijjaOrEPL/UZvc0tygZAquTURUzU0hHT+5Ths0HM13Dh9bq6p3h
2dKJRK/6Y2LI2yKfkr0Y03jbVZ0FmsIVh4z17577/Wu2VsFja2PwkLSOzwluLyS2XXNWWQ7VBk9B
cePWYLLcvppu6spMjobShGyv9IYDmID6gSu3xIcSqvuUJc1HO7Ng1plKBWWPCF4TLxZnXiF8K9Wg
F3Yb5kdF7pb3ZWy4+0KHTVk6dspktrxdejO9NrrE33hVVR+GcR63YpyHN7sDuVYEZNNNZFoNvfUl
a5s8Wnk8Xk84HMn07QnBEgHEuKqv8y07F5vEvbn/ZjlTvhutZXzKTM/dXZRedcIsFCdlgFXGiJ/S
iUQuxsHAyEOn5VWkJIwkmWPtslWHegFRQwnUSeOkEOLo+C+3Ul86UxQ/tzORZQlpbB+lTg9bVnyq
HHs/y6D4pcvT/oRnVQuachhSLv8r1nlkC1b8IxxB82Sy/9miwrb32NssMOhG9jXMAlI8C2kcBrcy
NqKPC/IqCgdVS5buQbu2JwzLzW4Eh3ckSbHf09jMxJbURC3YcrpKL7FrxYxIY9BZbCZajwiU67Rz
/L76OrgA/nntzyDJrGhcpHdUk4O9y71ZBX7dSme9mU1o74kl+9qazcM4Ym2rCPdmfrQeOKKNzQJx
2SKDfSMlsLM0X6kwCtPb5WZ96zfdg29isuvbw6rKcWOWudJTxMcAntE5A8K6B44b6NQDQgNSUOWC
+Oh+LXSvUtw4pWE8hv2sDoU3hkexgGtfnfLByKt7pBxyP5S0TGuN/twrlodQB+WR/l4ccJfW22El
IUEkdUAs1wifaXKwjhm+c2cMaKk42/3nQdjpcc1AYNFs/9LGHtGGC3xBIoBAy6WNy4MsJ7iPpfqD
sq3wa1ouKEQMLr+6N44ebN8Hz5gCHsaQuid3ZEYfNuNpLmEpEKBtbJJ0Dc7lsDwUqfuziP2X//VS
/1kv5f490uWu+4X65Y+d1OVHfpuvWIQVkxbPvj/02bRr9chvnZQtftKMkwCakR6veBiDfpuveD8h
BAz5Od/0UTf8rpsS7OwYegJZYlfEUtgM/5sxC8u8P3ZTJuMFfF2svkybLQj7wz+KAPJ+pMkfw/Q+
yxnbhhFCgbnddEnu3YVxI8SD8NquP0A9rDrQfyQ5uxTcqRfl8VSr+bbFJ4OoPYeugX03H5xHTiKN
IHbZR+dm5KHoRdlf5Uemoaa6H4rW/CjNRrHw4HBIgwjSPFR+e7RqxHq1tPNgOtQh8RklUQXnMqsI
l8GmC8IPdccXQxuwSDtJziRutJu6Tth3D4AsXdY+h2St160TFuYdumW2BJXjjSMNTscJsxYNMZME
gBgvvml8CcBV44ZF4FexCb31JEm/KSgnJM+CzF9usp+VHl6zLAu9TVd58rHzg1wCAp2Xe2Cacbht
bFV2O6fhHbMjW8kB7NuiITRHyquWHpExShINifK+pDCgXnpIatmta6MCx+Di36Wc6OhbGZMg3fUQ
Ig5YvLH6h3NI7JKJzPzJdwedmhA3y2dSRKuNQc024sqMkydfUHNt+nqh5yJjejqlXiyvVjWjkmOV
5R48MZsnQqKmXQjKqoqIRymtvY9EjZVb6jSflo7qMklanLSBz0jL6Cs8QIYbNORfxGvAXEr5ZGkU
RCRRHqTMwfxZAr3NGPZ24Bb95Y3VXAsXsuPKimxWLvOWbI95myL3YmlASVQamfzmdwV27STNj4RZ
jnuVEDTotum4ZW/mP7Qruz+wCXmytZeBOs0ru/NSC9B8xHA8GG6odtVUYkkW/mJsus71PlQTovxg
NnnLlGBtNnKpSwk/a2EJtW8ro7kWiYmU1KxG02/OYPIUkbOhi80o2GlFXxOxGKqae5G3jAzWKrXE
xnTQFFf0qZgrUQP3WKvjvEJNyJYlYE7VWMLREXd8eg9jn/BdrdbkP+FvTrFwGHPYvBbd5ANcrXtN
Xaco3HSmduI48+z3W49o75rnUdzhFm8S+VG2/tKgyfBzn6f4UhrXpCUn5NQEMyWgEaTXUzXIKy+u
1LtdSo/Ctlcj7Q2JPKc5WfDq9pfkAPzupjwuGZ0ismBBpu9gUYxGCtwnQZNd6e+rJE3vYVFSZMt2
kuxTurjkzo4DFLEAXNKBCGJNv2xipD7X65qO7dY2BNhMybe5baZS74Yro1s3GT1Lcu9V6OCjjoeY
fzOvJeOH3jUPHerhrUycZOGKE8YUZT7FeWH46a1R18UEWDwm/oWps4eargjUZzvtqb3CuU3Owuwh
MwzZ+sBS9quxhhX3lEHcSxS4RJ3eMu3s2US2shz2CeF7n+dYszQDxLPPK9VZfRBx01UH/iU+F4Bw
w3DkJFqewOfO9cl2PVQzLABt70DSmU3ssPbQOHXTfVOwJ9wRU7eTuv36NOX21BxVLq0aWM0yb4PG
YBvS9+bNGmf2g0AKRacqwqzcZQmnmTti+M2XNjussxOcM1Jf822gjHm+ni2m0T66pXXLb8oPQRD3
u8JKYkpxvitCeOi+tvYqnAejWUzovKMstl6Y2Ve1V4U7J8jQ1Rmpdr4IOVvPzSpSvFeFzfecE2Tx
pWv97D0zB+PF6Yrpjdp26ljJk+qlCDibtjiQHcwidKenLknwQiF/7XcefUR3xX8gULka2hOAWqRZ
kKYH6PbOAuE3PLkFJFhjkjRbsJOe6QAimzSahD61S8CjsCQkHqNzamJcSgW1snZL7E/1/7F3Js1x
I2m2/SttvUca5mHRixczGYzgIIqitIFRlIh5dMfg+PXvuJRZLVJZUue+ysoqrVIUEQE4fPi+e8+t
24FAuzou7y0FABhv1geEecR9fTfgRMRfHPxwCm59j8Z7IpFWSzuFJxzReceohEofnmucrEF1znd1
LNxzWdkgmKhQVNZp6puGIKXFz/dh1ziPnZwfMRyhm5d+hiqMCnyJ0Gk0JXiCMUfTRRIAIDFliTvM
3GTUNKxfya01wyhA8+6WalGHyiGGFCcCp7skvkTjPoVnNyys3X/2U/+n/VQAU/JXtem7tPny9b8u
RPlUoxz7+u13Xnz5n/+2v//FP3dVgfWHpavPtIVIuwijH/I3+CN6M67JjutPft5feyp6VjRjcOgi
KqSt9HpPhcb3m8v2H7atEE+/3k+5bOcACLkOn4HP5byVeXaQEPoqipqDwe6GdyZtKBtx1sJfESFN
t73HqRrHU2m0qOuH9rFMPF3QpHXfDCXF0yUtNi1FSE4ZVX1TDuYD+IiEykDZ5buG4bihzeNc9Gjs
wTQYwQ7F3oRpMji35Ui48GzdkJ/eP0VOdSJ74eQYE1YvNFcSlSl9JOQy5ciLSYn7ZTCH7FxxH9dd
0MISqZtuZRqk7cweQhTCJ45NZN74lnBWUT896feQXIZ+q1wSNXqZvYiSSOiKmX6Li+EcODPB7gGJ
vEn9EhU1GYPjXUzMz4rgqR3esNOglhs3V0cz4acoROAvyp5UK5tN0y3PHme1crSewcM+dkrsyPIu
WV1S50PckVzWh6irTYSbjYiXVW2EZ0s6j8VYPgXoxndmMt2ZfXHSd0BWULvg0b7krXb2JURTO6Wi
alsBsh6SgDPUNN4nznSnWwnr0PYT4nWiZ1b7aG+l7gFP1bEAk3yxaHuuMQlujGnSas8ube2kmov5
3qcINLXuY+oUl2gSnvouf2oW7wzLhm2P74qtyxciB+ulkerGZQHcKUfuuojsLFw+lwse09WMuGBV
29T27IYbZac9NAevl0Skm2Q9FRHx5sbYIOsmoC0x9L1MqyeqC9OKU3axkhPsE32t1uUHjG65IY3q
RtrTfkjpLob4IY3RPLZBY6zRwrw4MEi3npWdimI+2jycQ9iwvSUkk720qx6WWFIRk34Jzd0xNoXg
QmOGLIhg9+Wq9/JLSsMPvdvFFCPn+8r0NrOqiS9Ne8jVTfZUo73dlvb8HDbLcbSTbJ2nfXYuuuAx
m83PYedcR1DO1/5k7ZQtD4uHG6+bx/ul8w6YniUD1TkkFc/IMMNyTVqpxLOwHDF0EqQ68TyRMzq0
VRkJ8yIlu/vKwf9pPtSJ9RxRlMWaTICSTMpLal/3XT/cu3P5UrEbXJug2xClz/dObKWrIpMtFaEG
o6hvIFUAPEesNvfdqn0q6+5j09XkEbveufXcgCoAf4/vSUslYCg6/mMW9IrTOcPRsOZzS+HxUx4b
0RokvtpQ6BlvHYzPm3JOyK3rKIMqxFcH9nzjZdd444WoyJGcRwN0NES/bbe01TVbV7UDeDdecv4h
D9EonWdpiU9q7P0rK0Qvzqhpss7d9HQE8k1Udc4mKJbpKQ4akNr0U5C45W5XP5BN+1DNdEI2iysi
DSXh6JTGZ7cuPlGJHtcgr7b0DdR6cbJNK1W/pZKYQnGBlEF3GHfqZdhIut9Bdy6N9KZu3GbLPumh
MajR4TujvDV4T0D6+ue6hpFYs9nfln63CgOVr1odTljpnGOqbvGNJQnkpOfTAQaznxuSLNDrV2zd
R46Js23tnIAdFZ9Co8QYhh2Nps2MmhSESzDsZ5tBp4rgMTD882B300U89i/G1B9dv7j8YdH5Gx7n
m1Mxs3hELgUnbF59OpZvmRwZcTqw3QpaDxxiV5hhpN6SnzOvY/Nn+b/RgNIbfeVl0FeLWNAceMau
FfpvzuAge4baVxCKE171DQT2S7t0MK5RSPzNld4qXbmSVpvSfkAqTHHhzZUm4iqdPG6bgy2LJ8Rb
xUpPx7k1qbWDLIrSKEae73udf+uf+ZlvwjVDFnCkvwCiA32vf0BPJE4dpaGIYaFLL916YrwH7FWu
DYcYNsMrNXH+Esv/sRfMbr9+jD85Cb593wjVhbZeQNXU9+OHa6NpnxYEk/VBVITP5hTZbxQKUj1d
HNkDFgczmp8nMaOMnMbxMh8F721UO6s+Vc8pp7ekXo5DgvEBjdchiir4XUO/tcPpOPlM3/S8ibDk
oNo1+an2exzF491cJQ+ml6KSn93zQG1gPTdNtPe8pv2YUIklMJLp4dff9G+GkONapo1ZwjJRS7x5
sDZRx9Dq3PqQ2mLnNuaNGS147+nG/OY6P6mVGUGuRWBLoBNQwZe8vqPRZFE4CfVYjeB7CBz+irLs
1iTzcFVzYtnggzjJxKpuy1HdBNKsblNNz3CX5KUbmZf1ViUv2EBY9nxMDKSx0TTcG5F/dvpxn4ZM
9x4cNeoSqY+tyGZX79lqXyV2q0mI2XEwe3FXF/PD3LPsD3bmXsosrLYTmswjZuKXOPP8VV2UPEUy
U/eIcF7iZnkIYVQtUrB4t84Bg9ABbzNxtdXyjQNyLALcEfaw3AQKaSp6N2sHh/JT7xWQ9i32WL++
kX8zw6CU0AE7EI5tKm+v7+NCcbdzAQ8clgl/N9uJmZmNzrWPFdo5/Ppa7LDfzi/4tFinwBwFkffW
P9bbKsOHqWoco+MdcSCXVfO7CfPbm/SDXkvPmLjibRf1h2X/TNqF70j4qmlCWY/GdicyQoUJTnvW
M322OGovEaMWtnuIDPtM9G+6Deryknb1B5Hnn0NEDysUQD1Attw5jDmLeBoxO7WqOllW8rL4k7MF
aFocSodAydxzcGsDFrkqM387hu37UPKvfREmF0RBE+YATGAFaoq0mahrd3ZPFK4TdfZ+mDFDm3b2
4tF7RdpfnIhiJQKIYgViTDaopMnPHtFANSDJNYfHu6YmdJNUyeNvnsnfvLE8C9w8BGyZJGPZrwdA
bbfkdaiqPlglB4UR3dY6k+S5EQHOd0Z1S/IMSXSlCs8VUnGy5XqTclN1TXHkIaQsReOtppQWLxMn
XvRfuEUfp7x1NkB8aFiP/jkGZLAmu5uEVDunYctM1OKl2qAhfzDt6XkR5ioLsncYqNhVdXzh3pj3
RWo+KDZiqzZO271TTpgfprvE87UsnfHptkx8wh8JCDKI6KviMtqTTf0Qtf34nST/b5eOv3lJWDP0
fyyiFu23xowp6YJSTmN9mDC+ssXB/TXxcVwArnGb/OaJkGz183sSsgozrQEHCn96JzvXUZgvh/rQ
26LeWr5oNmGcX8asVJHF84HFTxlZcUAabaapPGcHmJTYbNkADk3sI/Am0wlhbkfFdaG9o5vytQo/
i8K6on1zXUYVnj/ScEm5JyzVacVzlS93c6mOVaAXY4ZZ4hRP8aR3qZO9zhfz1A1k2syNvWa7uh3R
Uu8kj/Tb8ZK6qUPgLj8YaYIoLeB13k7jro0HuSpJmb6YAb18OwTF9dxsJgnoqAYzkUkOkmGRDGSo
cNTzlum+J557pdwIkM2Icti6gRkCzY7dmkU9D5ObQkIybIyKfwOpmwHZDuPOcnux1a+RmD3i/6Z7
n0IOtMTC4H0CFlx27JbMOD+B3w43NOrEtje8x46c9TVI9e4q8uZnmOebCSMzhdDslDmcWaKZrTh2
zcc8HUHKuJhfGu8Aa+qSPKHLhTRLWhS8wFKWlxyK91XMypIlIwOTt8Of5Alt86dUTPVlYXk0+gGe
2r1a64MRKpZsP5GDcwzZ2ZfSfbR7sop//Xr7f/N6s9fxEEbR43Ed8806WSon7wBDVAcRqOdajHdY
A87sL7h5Hq+13n99O2o3MrJ2MmKn9+2dr1O5U5OYVl3OXwOwuClknW+jItqEY+8EMDsTCCd2WJPO
PqgDkfQGB7Si0nLRbEsATfIMXCo6AQNINwu42y0tQ/yJzOXrJXDOtsEck0v1MDpst8zeaRGAZsN6
TmRBCZqddcLBsJ2PqdPwQACEUSId7iXsolVvI0cNOZJGQ3kah+HO9WAUNqU/bxG8O5tuWo7AYoFP
VaDKLQO3YKOefbG0ux7be8Dp4FBk/nlkEeGQOdw7yHX1bl4Gf62v/zES/sZIiBXaYqz9e/Xnu2YA
abd5Khr5SgH651/8SwFK29KlUOax3fPIzNP7vL/6lqbWheNIx6HrBt9Zd3/V2Lw/IgyDEZa2iN3h
D+pw1/7DDSkecwrAzgrh8R/l3draG/njlgY4Pmp1ExG6b3EiZ2v/evWMTMHsEXfGEdfIeEuHFfSy
23sXVbkU26AdxAawk33nlD6OiQZ7mjWq6CK0QnC/RTPdK3pMFPOpbludDBmV5uitgBnUa7A2pID5
dbrFG36XsFd0qUFQ6Nd2NRfezlDcTCCDVsWUINJAALGygOOxPuu5s9IJUG5BdbxzS/udrBGNt61N
6ArT2tmdRnFPuxFsRyDdjULb+cU06OeFznuOIy9Oi+aS+PpbFaH8zklV23eT59YrJx+quwyLzyWI
MCLSAhSvq7mrij1qg2yjM+Cv1OQHF1Uy047AMXfp9nG0k2Jw1nnRLD5cYtM8975hz7A/VLwZ55kk
yWDuOGkqs1aHBQjDFmdgjHys867MPjzQJ7lrTSvA+hdZp6ogkTueK1Yj9HhJSIG+SEkiA2wS76TZ
VmsGTLMNawsCdFJQQUQ6inatX/OwquMCX3wXeEZATxdBXNzEYMXdoN3NdjLXh7kmhhLdDy7Aolze
dV5NErhKHyJUg+8pW/oXsxuMH2ursVcpTi5UJk4Tn1tCyc1t2RDlFa11Lp55HOvYWd7VPdKmYZtN
TWg8wxq02BRhUTSW3eCTUK+rnWJZm14DxseAAAWSlg7THaEE4TlKQOtsJ4pV86rHx8QCYwsSFoBe
7YOqrllrYDVczxUmP4MzjqSJa1SpXIWLcEZKT5l3FRS9uc4tcoe3RrFQRZBjVAF+HtzibCjarwZr
6Twn6FvafukJFmT1M1I8YY3Gsa74RSKI1u0410t9GcS19PuPjR17d/3STllBO7zJDLg5vcSKMN1i
Kqz2ddeEQXKN8BIk/A7bpTkse3dpe4m+RWHce4/fQZjvjFHRQgdHk5cVHoakGmZ7Z3J+IIQXVnaD
jeE0Zdjdu13H0Z3wstK0PoCEmm8nJGHVSuU1pB07s8DiYgCg4WvBhl0bg6Ash1vdeEgLj6w1bEMI
z4D9zqfCIrkVPUz3xVuSjk4YuuO7GtlRCwfb63D5wbN5iIk+rs5GrmxrXdELu17GyYfHD/0oXg+0
ausVbv76UuVWemjq0tiiJ3WS9RQOCqNbimsBBdT8ocjKCG1j5zufutS1N2VSJdcdEORrv8tCjbtk
4UuRBu/5ALT0TKFT0jpzO9clVjhFZ9gnkOWBriQImKCzIKEjDBLQbSKrv7DzPL5IQ1hPYRsY7KCE
DOg+S7KygXpJyBIwqXjkS1Hp04pUULl0cp4p5B1JyvUNBqtkH3TuKrVG7zrKx+Q+Lll225LgvFVn
JMt3YsZ/FsTfLYgOVZFfLYj3X+v6qxBfv/7Yb8J7pP/Wn6thaP0B1zWgefR9UftzJYzMP5iTHGwD
IQCMkP/9l4LH8f+gz0QMsWtT0vu23v3LD+H+wQKptT0RZwy9UP4TBQ+ojtdLISVKwm0sDj1UZchH
e1uRCVQPsXry6gtjLITV7scgTvJxGxvTZK9QroUWC1RgT1dSM5AqgQTX0lwk8KPBoavcjB1pjMYb
I4J1Fh0spVlTlXzNV0oSn7jVqad3nPjzI/MVOfLK8ZynSNOZbM1pGiJvIpUCdlMQB1+GuoXm5AAY
xNybbEgd6NaWpj5BNBr2ajRNOKeICJHuz2LnpVguSyxATIw0813k6dBeRXUxMDFC2fN3g8CFbkpK
xGOeJdeWZlHVKivvEZ0imB2FC6wK2VPzmFpDt7ex3l4SbcnmN0G9/hlxA7Cr+Rv4qqLzfWpwiL8v
chlezRyu7oaptzd1Gdyi6YtOOKG6TViRmQhPG9GwU5A8Gwwjaj9qz3Fu9nvgkhxHMxINqKDfNm2D
mB2z9843WAmXYbSu6yC6TOpi4zVzcUPMKIxxEKIrWjbhFot+sxoKmGA9MIPt1Lnm2lxc9yrKZ3Ex
iMU4xMZiXbpFalxSF2gRznfoNWjfo5U3mxP8SWBkXWigW5qom1mkEGxtrDJXSVx5exec6c7uHI/f
KpbbdrTFKciMGOCefe9rBpoqBn8rJmTmcVCI26XABjYBr9v5RCRt0JujbNZMtQFHGgDST2aVib3V
OvlhGBNyVu0ofhjDrNkxAfpfEMoUiqqJnZ8SD41V+Q3nNs+Q3cKqHDdZGoYHqFP9jmQFcn5NdPGE
m8F00Xw4eHDR57Cvp5dkUtFuMWtAf10MBof3BuUZB6HySuXte3SV+XskMerJoPxJoXHxzJPRkNMb
Gig6G/Rk4PMikGwtAakr347J/dWMu1jT7hzNvQOx/T5FTy+hfbrdIRyaAnNcZ1yGCKSubYSUR7fD
PkijFYrkOrOMKjgMBiGDu15oehJcNyB8i+bxoS/Y5bVG9C1z7+xSze2zvyH8Ok3zU0OYr+slAvFH
NcGs16VNyLODIciGSg8hVFBMWM32Ut3gYj7A/ilW6VB3p963n5qyC+KrDgpkekTU/MHP+uAO2u8e
h71lXIhscGN7X0oHSN9qjKY6eiZ2paO/HKuFxXIWN2Kww+qZKna8XLk1TZlQDu89PCI3PSCHftiW
8BfcWHCs7AeIZ2UdXU5NYGPFjwWstBadEcxQo8rh8KsxObQum5n3djm5xbzxzAJJ0obAxIb0F+GF
wkBGl9smuw6f+16N7bKL/Zxq+Jb4ZvPjknaTXJvQEc8d/MDgA/sMuwPc7CnrtmYrGX/JYzpdsG2i
FTMcK6JrUFEemneMXA9rUIQJiQ60axUkOWkAvimj/HNgxMo4hPWII95ryslYkXU9FJvxW+RQjPfQ
PU1kYBP9QhpWgZ2VkWJiJb+wUmmOq7oDGAazwf2iXEcWe7qhCH6o/gb1ZjQydg+I+eNoW3sFl0Qr
3CNm07wdB5UhrGlRUscxJ2C1zH2YmmWBrmllRwKRDnmrOZ6NLKqba8JC7MYnaaxLHXmEM+mZm4Yk
ebLF5gAIcFr712SszjtPA3pNsxxhDnrc47UPOvWeZD37yL5d9OwMe/h7SxVN9Pcc/1RHbndRZBHv
/ezFGw8BvKSE7QR7qNvpnhDfcN+kfXFT2+XVgrsoWPWW11zNqQ6zJuUML7h0U+ASYaCFPPgFNkM9
oCkC8nEZgln0jDrX7yrbTCvxs20PkNDYERlpvgvKNt/6tlistTNB2/KNuqb3PTR34RhwpPe78SPO
dFutQJwf8b45q7LrEU7PbkI1GC7zalmG0lxVYlHPneo+s0b1Z4opPtx9rYyCARCubLMz3yWLFe+I
6wrfe6Qi3bqoc1gc6pJY2UBcNzIko8JQ5uVIPsXzwpGVLo+1EQFtfabO+ADK0HwsAivbEJgTfhwx
hjRkHtntIfe6+RgswXKiQhuuIEkiv5hU/inFGnnpdQ0e/2TeSaN26dWbS76WTorgNR8dd5ureLmh
55ETWxXtRVm375egkRfKHwcYWfWy94j1RDppTdN6EUjhJg4q18CfqQD1sx0eIbi2kH8dwAk9bjkK
njPIJtdb2VaGF9iO0xvkWNN6RBaydfMo2ft8AXyAyB6gWLopU+PiPjqAU1kLvah9IgFUnjjrWF9H
9As7T6L7Kkg8P/iicz4YM9ezoybZYIMmHzxr221fy/JcmFP3MPAenoZe9je4MqMr2oj1ekkJWy3S
GcSbk47ngnznNTGi/qFcxk9d6GZXCi39h7gZzHMcW5DXc+GzE6gWfDAhQd1N5ZhnMSPYW2e8+Tde
Hsz7yPb7J7pIhMH7xcahj39L+2+uVm4V+hdVJCJEoFrAwNn18wTkZNXOlbktyAa/SM3kA+U+Hyw7
riECTcklMpSDtqboQ/bdpJnUsbl1cRaevCwzIRgIbTzuEwJQiEDfuCg8qMBa8j1RrBB8UXIKsOqA
fiM8DSSuzT5HSXqKa+D0eE/qxKaPUFHuo5RZ+FbCbzOnEEgzL3U/yk1Dx+nJnkP2FJCuQaSYOTNB
DwMCbccI0zF450DiJAwFZ3eWpPfCV212+23T+p/9/W/29/jmKQ79+3rX/yufRPGq0vX9b/wl0Lcj
IFg2JEHmOPPHQheSfWpgJn5jGyOnVuP/a3ePyMyhAAYSgaIW3QIdZPknBsHjjzyTto7jOIGLqP4f
7e41t+uHOpf+OBa7N5cyFw4Bk2PD6zoXsmxVkRPjfk3Npc1fwNzHJGWxszc6lDISFs9DXiaZ3Anl
AF0VAqvP88xJsr6yoPhxRm8NF+NWwZaxKTh9xzrBJyx5o9/3Jtpste7d1l+gkwJwJH8Ogm+nkVwl
Wi16C/lAYCYgqDboQQu1xoSVWidRlfmQ8Oq45JtjGVsG3uw9m37cXqs5y72oX5fTzOZ3V4+5aDO8
mClW2PUPD/Lme3fxv+qhummyWor/+W/rdRUQxwRecFSApE77+Bhgd72+O42g7yXF4n1txTRGvONI
u0i1713HKU5R4kVccraADL10PjX+e8qZpIetkXD1fJ/agqj6/tcf6Vuj/X/7oHwkOqxst+m1am8H
tc7XHwk60lw1ok++UDHxihOyrOSb1IvEPCoNfkaXpwqy1MoBPbXhAOZ/btnJ5SZsMRR2QtHaCAZs
CZelSQZuul3iZEHAU848iq2kmL88pL0fG/OWSLPOPy/4JvmxCo8mS40JDRrD16+/1Ov+sYsDRY9B
jpYUWtFbRm9alXFazJlRlPVXczKU/86rM6O5q+AnLje/vtBrqYi+EOoU3Ly+Z4XcvLdNcVVWXbSg
p/pCRwXv/7Yt48LFG2Lyhs9OkLvXEHI8XbD0vdKQ69ZKgvGuyDzInb/+JJz1f3zv9CdhF+pwcCc3
EJGpviU/CEcsNI1IQ3L/yyjC3j97rcqRmvWV4QSQ1oS/IDH4Z1fk9A4blFHDoEHT5L9pGHldntm1
4bdPqGUcOjuxCvPpwVoCLVnwYyx/y2+u+PZuW06guX9Q73xK8/SMXn/HvhNOmHA3nwCSDPx2OWdi
ucHn6o93iR0ljdrEEf089HeK//+1tCGiXWvFonfx6+/+doAxwbKjMPUEHNB7fdssm4DcIxtMnE+p
iW3hqNI0U88hB2ke9a+v9Pa52p5DUYb/wVjFYHv7ehau14Haza1PlH8DhCptqZ9rxnbaPVCgo3X2
mznqNbyTCQWMKYUh1gOPyYBJ/PVNpl27NOGk+k89Qb28pz2nMl5xCyAUzzXuOyrTqzTDyoFssPBS
tLS//sbfMoN/mJHo0DicyhGXBUEY8NXfvL3KTdLSaoOaOiiJ9fWWYU+PRHR1GmFVyNJ+uRn7FHA/
hiE356EvykzUuDfYO/IOYrwl4/Ni+n5zqhyLaLlePPLs/HUDxIc+Nn7wugUTX1BrF5vQkUZI8d8q
JOSdYPJG3TBXA1SuTRpjLEeKYbPc5hsZDIl6JkZonti9FhWNznAuMlteZKxCISXiwhi5jBgFiqG1
0dtBLNci60qemd9m7ngfCKfn17dtj3thHQid8kVzpaQWtioKe0E0nYfSpDvMhCLpzsc5x1rspiKZ
uP+kLffOeGmPM5mix7Smn/EbJeFPA44oZ9TmUE/Yxv88tAdM4KlhLupjk3aEfh6SVsZIMCKUSDTK
zVjqFeHXT1y/t68eOM6vSPed2dVoRNObJSiH6io7EU4fo4QMK2cLTNIvTqgC7QKEuzD5BCu3jAaE
MbMVOzwIUCL60/z6Y7x9qU0PlRh7I2YZ3jWkja9HPgpRI2jKwHkuB5rtagOgWT8VRkOMOOfX19Jf
6cevjNCe2qxF4ZCtHHa9N2Pc5ixYtJlnf5mtBIfZVxuYUZpeIFFgISU5W68ZpfI1CurXF/75S7Io
+vq/CEa432/mUMw2oo/yQjzPZqTnUG5+iOidUCSG6K8v9QaiqldHZDCgPn0UXOxG34o386axUCna
1RdBDCvVKRK46/cl3oJOOweTOGmv52iJzeqqyTgfmVtvTIvlIRdBy9tJ+Go8M+Jozke3NOACCBnp
qCsDGPb7UB2GyXUZoL/+0D89GNCmuk0c8nRM7dd4PQjIGQvtmYTx51rJnk8BmaTIX0ZLIQJpyMpg
9oirsfnt4LN+fjDf3gBmXFZTfB9vLhwb+Fjxexqfmaosm+zewMsAbgdhm9KXs7BOifLAul8ETyot
CdbbdH3fM0FUxmyP91m1TEwaacjR9DOlbg3Fr31bHckwccXvAhZ5L94MYD5gwImS1wSJLI2DNy+L
l0wtPrq++Yz3EJPaKg+VXG6EP+vZ7c8JORKt8M+GE2e8TYJUTXa36Ib1qhJhAlPPDMAqf/G/T4IE
8KCYghtCbsfL9x0l1ji2S948JP6jAK3IZDpWQcFIHUspeDp1T9lGbujEAr4AiRHrPSeE+ZQL2mou
w1skYXL+SGgGZ6JVNy8x94JemMOSRgKQz3Rru50W35G+mc03re/m1Vd/godm0USO2V/w+kfeI+Z+
hma/NDmf0WrziDqlRenpsRBNm9fbgXDU5WGRDgr+se/YkYicfzPhxMz1egIFoOGZ2elMfNaqghXC
ApHTVOVFj0N+B4g3KKhpslPU12raqTCc+EkfWxg/kvkB2nvKM3Mqb+UUVKx+qptz9pSixzmosPRF
XNrIADTg8nQmfTVAZy0yVRK5uo9dmBFBFrtjl51KIozVfqKrUh/TzlDDJRwJzKDrOYz1zEcli11N
SLSqXnm+T/n0zCk6H+jm6/1d49ZtURz+/AJeLlO+KjY4vUqS32BwQz2zZvjRHteTWFlhYa629GZ9
/oHnRlU5eOIiJ1D9+03o2s7AmpzFXpZicAnxuq0cgFjcgwGXK5eeWZjyS5rofCfQ9/quUuGeuHPa
AMwPTJNkOayBCbO0Wikt8WoLc4VjqGpjn9vSqqDj6zHR6+HSRCiVXpyiqRk0NAfy6o7InybAosRG
jOHSUiXmnRrrKGLUJHZf8syc2eQXOtSaYhwWiJBC59JwEfo+dxVmvhb335hzfdQg0GXfhTAfuCc0
ZSCxXMR+PWIHx1muD6M02/ViRthGqb9EHhE1f+qceKyTLZEh+rkH9sgssO0XZ+TL0E3X47d3UOJW
GLScjr1AJNhy5JsG/zGvwpDjw2eBTGTA2tWD6OIjISHXF5oGYpLzjRulWqDmBwGvoAqh22E0WnxC
CUYf5jAiqioL9UE0hraTnQW+Me+RMj7/ByuLCvhYOYAjvmOH5St/ocNAfjw5oIEecyVnWuIN5AzU
YZcAH2KI6lrBeN+GhMXcdxakbNA/uWRu4Cyst2wuLqzxTvVq0ZNHWnCyhO3U61fajfQv7elZ8iQ8
Uo74h2wtJH9BVoDq2qZN0ArCnmZT5NVpLGGuOFsIAKSwrhcOl3pUO1mG26ctosXyDmj5vZkwLvM+
Ak8PEw2mOEovHEEltbCdbxo7j8Cy1tnJglhJc8PYJgwvAfK/3HhKzXobJvBhuFuYQSUhPp2aGv/s
e95YgEw1NTGAA1DuZNeNlWYxCVX5oJ9wnY00lHaIjgQ0wkyYeJtWsA5lI9ZzKYQxHYtYYAygpyZ4
Np1L38p7qoWlt7AAllSCOQ/itlvDSmsimk9I4dyp3DIRM91spZPkCglLOzRRtBrY3sOSJslFpocY
RY4HrwpyI9ih54UKOPtaJlul0bc5yCjqt31KflZyVTT0rwIwjJQ1GTxZrqeUQE6KDVihYj0uoesK
xlDsZPCwjw0UA/6ss2ll4Fj1HKZK9uvcpQ0aHItC8Wwa1tCdxeTbeodbdwNPqbZoRqdbRMXQt9Dz
mnoWHLj5jFwza2M57kzZTvwkNZmOP0OTreelwsS2fxvJXB+FUncARLxq3dnn/knEEej1uIu8C5Yt
BQNqxOsLRIen3ynvGKqEkR6Wgnz1Iw22gUu7FtGK7Y7pkuVoVJjPHGTCHqqsbeiWepGVEksNPias
v0iPA5KhmB9UmBru9WyqnkwMpiiC6NpO1nylEPxdv1pw/3J905gK9VyFBLHBjxl0YYVZX9+cqekI
q9wXoF46oh7SnMyiiyFflp5EbdJmNl081fEW+XDcvdOBQeqYNSz+ajuqKeATB/kEpHgHSSDgxc4h
WjJ4QnIjuIN/Dusqm/SfKRcjur1esllXAvxGe//XgniPRUd906rfOkGPaXLFTjRBHxQYxH/ItRvC
47FWU2oF7dnOmHY3gvAYSY94sZT/yainsn9nVnN5D3I3okvbE0veXfrwq0EONuPQPmMCR/fWJ5Xh
nmI+Kf78us26Txlz7rIroGOXX9y8XHrahoAUnqYFJNo1pDx6LRMw3+bYOt6E3zPM6wgZbsfZVyAk
n/DJn0ndiOmN+JVZWVdOybK6jUOJ77/jGWHMwrrTLYDI6rF3ZxLSi1Fv6Zd+UoQ0E19vR6u2N5T8
GNnW4L7zS8n5c513dA4NQuZsRRJ4G/H9Y8ZpnMgLmbKScXIjA3lZNlFWIkPbxTac5ePMywFnSYKq
QgnY7sYoSJyNxwZtuU9yO21Y+HyddabouK4cVyIZUqQkNKCBEimijdHYQQ4LKbDBXBA1dQhsR266
xkSnGuM/N/fWRMDsLm5nkFArKCJLtk5jxzNuWiB97nvg+iAR9iZ01xZNd2PO+DTk7MiTIWRt3NGn
FMuDrBnVKw/TXE//B6phox2UAeDpcPaSZQYhHbT+BrZqWezjTBLUuTRuWEE0KRrHTtcBAGvQJlaV
h/UXiJHNOG8KX6ruKwRoZxjWQ4DOgD6a8KS5l3HdeXQtCtPD6BeD8vLPtPaMAjGg37KtTb+mNLVR
7K0bMqjsZmN5Ui3+1nekQxMWO0jb5WTUftt9m6qMfeuORmnTiNXUZHpBbSunar33k/La1t208dTH
hJOa0F0LgOYBHicR0zBC1jsrzkbY/noie/e9A3WAZSViIuHl7mA6staygPM6AKbUM1yFT4WpJDNo
0MV4l8spoWfqiHYKj7DPDbakaEJGlh4MVDmrjKy9xF72ijBVGe8Gr9H7FF+gUcP1mFsLn1aB48WD
MHRV5j8C+Kj5KFZrBPTkgF9QPG2HjvLazhOCnX0IGrK1967tsQueTPZueB/U1DKX5SGxjhMse5B6
2iwMzWILPdJfnEPk2iVbotqmcGhcQLzQJQX2JSEFdM+rej0hVqXNGk3mkMvWBEGD5Aa1daBXzpBe
M5+0T9KAawPaDpr/z96ZNcWNrGn4v5x7dUjK1HYxN7VRQIFZCmx8o8DGrX2XUsuvnyeL7jMG9+A4
cz3REW2DobSlMr98v3dZ7hVgFP9W4ffCh5nYgvAudU6loZguSPU8mUmgDGRJqRVwRmAJnYW0u0VG
kJwFoWK2sfGgd7+NI0aVO9dOvfIQValiWezrWtdSZe3pkiUOen2P+qp0e+vPwehmGOXEoakBvqpV
AoSuvDqcuLeBieykuGIOJ4Fhi8s9+LWLWzCr1F8rmISCqY6kdWkI1sVGkbO3RGhwI2t82oPqbMYR
jGbFYHBjmWZSfQZDZ5BiuP/7TiwNr9BqqIVGw7yScIJjVcATlJsMI31cSSmI9FBMTOqAO6eYQudL
3lqczOtjZMG0rEe2f0N/9JuQvvxOYBXEMxo6bErb6xKPYhzaljE1Q9xXM1wdsn1MolAxnkvKURTH
GjqDvbvUGk1v8ZwE56qhwvJZZo8T5bgakU6xKPpuw2ApaEBYOGSOZuv1yMvp6hPlHGoAR8HhbJ29
Sdqv8m8QXthVcnBDz+R85gUT/G4rBBlnDTAXReYxh7bEK9IgZADBL9OGHwgJH6FQI9CV8rCxTphV
SC6IfdbYHummm+h1dY0VtqjGeqhGjY2h0KAKdJGcU2/2rh6PYZ5quMzkDqB8WzykG2u+r3/6Fe4j
JtpjubRizstex7GnS8PMHTTia4lan+3r65H1Ds8lH8aKh4rhpuiLg5iEir4qf4ySlthpnGt4q/EM
ZJgmMzUB8Vut1GM3L7FHvSJ4MqJFGuWdbw0XfEAhKGrHaubZomwvOFa5tFyCWatEgxXg5IiaVaVB
aC9I2mfVDokoQBeHumdymUcpDnK0+gz3FcdmnBVombizKUkpfAyMWx4IZGzKSzaePOd+dpb5UpBk
NV8S3DlPCi2xaLJnFVsTNyV8rXy6yFTUGl3lt1xtMgUZhcFfO2J/KVFu76YoMtl9lVEj+Cpiz4IZ
gmEY03ehBrT3Jlp7cy3iOmY7ouI2wrwNGYwYju6C44qBkwAJeTcE9OlNt+f6ugprJ0tv8r2g1YV8
hLWqOoZdGPHUtJ8K5frkY4SzTlrllNQogYOYkbuuZ9zFatjunWv7hrHT+weGk+tweHoV4aKnypo5
2d3XMJd7Ekq8iaG/t3wLeeuc+dRRr69eqXJdWuVGEZDIMTdV3uHlp3COZGCUo8aPjFDMvOjCM/2x
/GRiEFk23BBiMvDyCYyeGzlann7F2S3TenfdTGq7lTEl4jEup+HWnbylO/dx3sz3fmezp2BhMyT1
gZh6nFx3bp5VfEwge8wYztKm1JWojTsC8wxEJ71rJLoZv+PzJlV4OF1R8A/AwyBXdr4NIqV3ga8b
izxc9ElXyzTOEfnqLoq2Ve+Tfn0hla9RbjZJJqN/jMuSR5oAyHPqQzmxEqKJH8K+38KWkNmVVwOO
8IPLzIiaSThmrPU8RhwDpozQmBLqC40TWp2xKLNnUU16hw7ZWs8ckBx1oUvwy+9x3n/AjHwwwUDQ
oaZt8h5ghQ+H5VmQj9+msNf7TBUbZF1vDOhgOcZgEDl4pB/Dee9RNWAqhJ4Oak+JQo7C6S2ch+9U
6Zu9239z3FG3o1+HRg4dkaXrPz2UR2QUVua6A06v/R2yahOSsijQiW+JDPX8VLlSYIQxMVkzDj4+
1gkN/Bk/toCOPcxWCZ+BRPtLm70zrS7H2Vh8m0RBfPzlEBc2I9GhWcFrGLcFdEBMIiomjaGUDiqu
QeUEZazrHi+ka1AI3aoN2PLqued1Zv6rmVu2kd4ilJ4DX//guQg6ftc6/OWp0ODBSgvjfqTZSPv1
v//UrJzw8cJkznOesfScOA8WKL0tZHFlC/XxnXo/5oTAO4cDkSSm2c3vdeal25QjDZr4KatACy5w
i+6LBzsb7fZgd/31xwd7f134vDueYGPlCh94/71EFqpnlMR1131VTY2sD+aQnijTtNYT0ceHst/1
6fh030PUZLoeQDXs73cAbDROZp6Xyn4gzNr0NyG7fTzW8WRNKAyTFKNlsaLhXfCHx/6G1W5yRPBI
bePAOqpBQdixUCHo/n09Qt+k7IbYy4KUYNvyBdYuCERcpbHeBU6GrprRLOPzfa58TEcp9QrAxKMy
LMHFGZnDo4siQwOrlip0E5b1M5uac8OgOZrvysqM5G/ktu/uN/cA3hXEdxvAHoL6+3vgOFEfFO4w
PQxFqgdyWIHsZQjSiVl8/Ph+C/36/vTG6WdKRxLeeeD6wGDvm1RjVQNBWDI8+rI6HWtwQBp0OASX
OtC/pb5/7b3nkHS4C+VUalDhr69aNeiC2hhNbq4jPb39p3SqmdjtAgPb8dzIUsQ+h47+G4YPWKdl
49ksBuqLLb4oVJM4pupV/C+cHHBVY65GntrUH4tvLvybqgr9wBcn5SjGqZnkvVbyygIw6DcY8ugn
mVq85PhZKrq5GMK2icZh/kKcabMxdlMgQhbKMGRTIDBCL0Z2DB/fUv/t4/M8eIOedsUitdwRpvP+
8TVcgfKJ1/ueK+F9SdvS0Qod29m7mV9LIDG0pZGcgssZL/JwU0uY7OQ7548qSjQf1h9KLHSxdAuM
WbOo4755CCn3upt86lS8xpvB3ifkihcg099VLTsswlsjxh/Bi9xPygmryxhHwCvazPFCcRurbGN0
qfi80HZRF2E7pg786sCUGzbZ2aOxGOjdeqjO47oL2htJqxmb5NwQV6gaSFeoccGlhZQ/xrS8MAmx
AdXSumf3W2HKDRfTyr/SZHQu5ykiYWpYGtNCVd16R5u18bmOMRTGTN6Nqfjh+J3ZaVkeR08Mj4kQ
uDf6piHLjcE29ykbgu4FV672HjelDq5DOOwxjUt3oGqz1irTi1lPY5CQgiULdZGX1bYfA1Twfpym
nwffxZzRD+Ef92NbHRfiDDbM1liPl4YhMR4yb2U/m98wuOy+ws8kXmZwhnU8oUPMvC7Z4t+U/EbR
/nayZkDQhWEyc1gepE33/92cho925jVOVL7wvKabwA5LZB35ydCnNd2H3wy/Ny/068E8iHK6dw8x
Q7wrDcJFwtfAO+UFX+sCjtBkHq0SOGJVFJgsSBwN0RhXxS2Iupf9hmTxy8g/XSZcHRBOrUx91+wb
nC4gmbEtXpqypM4TRCpMu0JYEN8+vsjTJ/3PtHW6Smnb9OmwJNAmb+9u6WQXma1oLb/g6Mg7I2yW
C4w0C6jFU5x7d6VdhHcJOVmQ1HMnqDdC1Rj/E6fjbqa8h/YFWc/91LptcFEajffAettBfhjy/rEo
KDPtvsQSye4teWuqtPyzGIR/KEEzbpU9258D7Gd6wuMtk9jxDKVfETCODa9w2exkQNfWGLAPbYP5
Ja2iHuRtaHdW5JjP5tSL9cLz+w3B4R0Jj1uiywC4DdwXJMG/WM9YOBFM0p+XF5wTuPlxIuIzgZhx
Py3Tc2kF+ZMwgmkz2BEYYdMa7l6WBN5tPn4yjr7zb56Mp8maun2KyxDL+LsxQLJiAdoWey/RAM7G
7rPNVpOP+zleu1ghbJQspj3xIaj5EqMuAEcrYlXY5l2p2kVNm3uR8WkhaG4vlpl9JvLZrwVBfM66
zYwrBIHeYRakmolCHIEM8k+VwUNbueDIKOv7CZQyxZlu7dWBdwcXRFU77f02u2lyLTxUAhnAyj6J
qvpT4fS5Zg13w7c5j4cHDH2yW6P0WSBcrEJ3wu5HbHfbJDqOKJlS/FpNLgDjz2ClCKvOafc0Kbgh
a+K9dAz/kMSz/GwBAuFYlGWEbnx8c/W9e39v0ZnpEGIoauSt8O8/FZgDCArP3QtfmkQ610Yj0sc6
ETPhT01JzMIIQeg3R3znxcGo8qBywLqlfY80AHbH20NidZS3BUvnj7RO5QW7TKNYhcNsXLKvT3fg
dj0zvRO1L7Uw88ckmvpDkgTmraECsfvN1f86tCg1mT5tKN4wcd+TAVvUxzjLoCKMkCDn9KKq8Ct5
g7HakKqAWNO0MzYERQXpu3fYWm/S2MVeSKe0s60IgjX9AUQhbeVigtfnSiMlIE6l0cVXmZt0+0aI
6dod4ug8InZLriovwJWjQ/l8CgTD0b61/GrtF4tTnxncll2a9cYVskCdGDZ6xoGAk/kGJ0iWs9RJ
ahICWL3XlZVkB8J+6BgZolARCowc8bIaU1oe9AgeHQXGQS3S3ff2RH5OkYt2hb2qZzISQVfXqAC7
GxEk5AJ4EFAmGgDAsPgDktpBLGV9NdYB5PkqqV14tfjvWuf0ckciUNzI/ty3VfJlKMf+T0kcPDsj
lYa/2yf+Ov8wUl6NdCwCS3/ZBgubxkE2jdkP34X0h5sU2iCaojMgO48MopT3snRDeO6WxrcZa6ES
9qhC+v7xIPmnAetrCrI2OwskhL+3AxZiQYeSxct/kFU6D5vTA3EXfHwPSe72O3NRwbFpcezBqzvc
1kE4PcV+i+IIQ23r+JuT+YcXVktVTchJNtSk94zdBcGUQn6Y/og8071vsPC8s3OSGTxwkEvWxeF6
yJv+opZlcZ5PwrrqS4+FDLed6SYhMxhCcjmqQ2IM4k+Y842z8jF5uf/NWb7dA+h33IUehvEqXnuo
pt9v8VURzkXQyOEHIFETPVBZOB25voQ8DJ2prm1XYSIwdouLV03rVH/GC7kWqwXdzniGV2D36BC1
ezBxznmwWyJH1gOrwI5cvpzbHaXeWjZ0R14f9P/rLI5z/eO//vX8UiTlJunYpHzv3yiiofMx7//v
QovHpI2SMnkjtaD21L/0t22v8weoCd+yNYIEzcn+19+mIj4hcXrKZwvjQJ0H9fm32EIEf0h2u3Ci
TMK59fbm32ILVNZ8msDQyvVYnhD0/idSagCfN+scJ8XhhcfeF8MB9k+nHdZP65yv3Kqq5sja+/5c
5pCnKuIJ2G6tl3JuDskocAcIv86l72hxUxQ/mEMdrSUZvZdJHA3XonIThIpK7ByP/ta29Rz/Jp7J
qGzdMj9W5cwCzdRx3oT9MVT0W7Qs8NkUNUGMm5Yb/ADRoqSp48KdKkYWFGUb7YsTltVlFRNNLOcJ
BoNJvtt6sjvnWdSwXVYUxcEjaILxI5u86SETVTH9oEoPvPQiwcP6GlbHtsV7itjq9NLEaME/c1XI
XkhIzHFXEW3764H+qQWjqjKOhnQQyiL9Utvax0fdayimukKbjtJCna6tdiIIOYv9r3mWI0/seuVz
Wyrb3uOUF5GIZ9G0zFydmGlrY3Cf7vLOanBqD7vsmyyW8jIi3him0SI3TiuzLzQQkf1aodwY5Auu
81CMj2TJzlr7imSTDjVOQ3VR35AzZXqEBsfyHJNz46nv8mQzYET4EJtdjFKbhJtVs6jGe6y7RPVr
z50wT19Yr+vVlIZmswsD7UjIHqy3PzUJHaidQabHsW18+TxAhqfBmI9kzkfSP2gg7DiNQt/lzOJe
xFVgHYOMPI3VbI/WkXqexmleO3x8LxBtEF/eI6RnhzSsIe/X3UrUZY4g2lGWzW4RhB0qc8NOdyyH
6tJqc3KlTn/NLdr2+Gq5KE1x/eLn5rjgdxyB7emhLqf6yQ6ILgOXLMLHFF/yZO0MONb3SrL9zeMI
3/NocoJHv8rIZcYiJ3i0BgOFfOurCg0zGtojWg8uo6DbdTZ6Ff4gpPNhgU9E4nM95U13JnsfNWE7
dctlUFKDrObCIkw1sghcTeXCBTGd8zkNTLnLPoPNc4HXPScwoquMtl6EkQnhCmH9RBQbW7CIvmax
cfApIF188ggggtrk2tf0L8dwR4vBjM573f0hKi7tX9KU7hYBP3wtJ/2xcdW0+RlNLV3RGKXqFIi7
yT9IX6dqT66+eH/BF2+1AGcs6xbpEXk9DanZko7i+TTFPJaFtJ4nN6ILI42aiwgH27zxE+UeTkd0
PeC1nTJccU5flLHZKB01ko5R+Di2We+v2f0g3pajrZaztrXks0lWob9GH1pdumZbPzUkUahVAx1q
j/7XkbdRSicgEzpgIhEJ3mehOwixbmyMjleRyLmsuUA2GBPI91n2JNw9ns4SGskQ7fNZJiWBLA4n
CzjGKDPYhl3TJypR2mcdVV3njjznDMe55b7HrzbDNFs/Urx+9D1JZ7O77udAx5N11eXcVnwdzAnC
ZT+IOrwmq4WNSWXorISiSc68MWeGYnfR7mVhWvMuaer8z2WB3ECyoaHHlGUTDxax6SjOqkEBenpW
MQFksOVeT5BJx00f2AsRiO54h0pyulHpXD+xXONEZFaD5TNOS5LZAzp0h94f1lXt+DPBA0ZD6ImN
fcxQlJFYzy1GoWAJ4WUazMEjD5O8FjR31h3myhis5G1XP/Vy6EJoO/ZEVFsgztLRL3YLgTprU0UO
Ed999z01hIX2mEXnMQ/y6d6HMrmGEsLAtluwGnZMFQW0KQ2uroCRQdITLII1OE4O3SQoyYzjlpES
PAFX70cr8L6zMfHE1iorH7ZdCKtmZXcZKd5RKs9Fqe/vjNHyYwsoc3AHVMQcsBg/jZYjt4RZ2ljv
9AJyEBbHAcpUWZ+LSadP5n4cr/GejW5Lqy7vctqglOsZEd1E7MT2Q1At3g7L4/mH9AoBotYn+1T5
1kvueIt2OJ28HbzC9NC0bvJDNNN4xKR5Pq+LklDENA/XeAY94LzePsa27DYlcCtslcCH/mphKUE0
TX6wpnLke1O5M/2CFmhkLj/IRcl4A8a8u/Sd0UtXKvVmudJyxCdCDLvLfgy9BvdszzofFmzYifR1
Ns44kmYWTr3trhM60QcnavCgaosfGOfFcrtQAOeraW7mCyRA/jUi/jurwKJqixIN36gMzqx1yLFf
aG4XKcDKTTgMCq38gk5x0zUZGxCUPGTLD+ENnCRmk9mDGAhWe2eV5RcR0X5e90G3RGeKNvKhzoid
eAhrUT2OMVQrPA1uYkc1dzT2IvTXnXUXEox7X3o9ioFh6v1P0AbNPQaq9daMYvNLZI/TpQz94xLZ
7ucBV6WzijhFtPJjWQW8Hzj47FU76Rd/hGQbkN5c2zddF2laVR07W4JHzMNYLSSQhk1v3nZxVW0n
xFWoKlsLB0PRTphi99hZ5KNZmqhm4vErJKUCGq4cnHRnFsOAz0ST58PasGS+JU6N7eFk9ke7zPyn
hH11x1IozE9DSrZHYRr1uXIFo3oU6deJ5f2SCNThurfNr2PrN1c1InxwpXGqXWCFsD8gcUvBTAL7
fsbmE4A1tW4zeiJ/KmI0v86ow5pnBPG5uk3cNowu+3bJzqM8K9d1036x5yW8jWF5wWPKwhWl4HRQ
vSXWOQZK2AO0F0MnjE8tfPNtZyO2W+EM8QOvz+nQLEm6DZ3Zvk2TXj3hMBJuInJDboI6cD5Nw0hY
X1bGGB6aDiQ6XCCyKzNs7HITD6ZxK1Gobzw5jFtuFw4Z0p0u6q4ovyZDL9dYMD+EQ21eAMY89iyJ
2zhlnGKt8mTZ0Xk6pt0BOFh+GccIzoGXzS3uNZ2Fm04cX3aRBHHzq+Fq8FosRPBozTwbzqRpYYnq
VfVEYFDcS67Qt1CZSpFvohqNOYufce1KhopJ0G8x+hhw59bnMJXeKsrdQhOL5Zp9craB955vrFox
DmysXcCHA1aKIFw2kWxoI7os4TtM+MxpZdu1uPUj6d74QdvfV2yBWOhLZFZdGvfrbJl2mJMRo9hm
wO5D9OCaDQ5u5NzC8pjAD4HhdvCCivskJciSLkaa72zijjaTnZMOU5tw9obeRVaKfDe+wVZf7DJh
zkezbdXl3Anzs9Hyi4rM2ytmILVPJnIrNz0KE4HFxlldDjFf2rK+FMXS3MUOpjDruezG7VBp0Cge
K+tigB9zmySuuWlD9xyzCXI14V48mB3UtBVhMo/xEH9BtxJCtbJI/Y0mFT2oOoA41MEcWDWduHBr
4L3JjIj2Q0CJm43Lc+gxRsO0o8AMm4SrAX/uOYsd3oSiz9b15DQ7kilYHXM8WVeNV+Rn9UiGZB1w
4Yro1fswrbxdNzVhumU5HPc+pIsN3XVMSUK0NFNr3cWQ0LtVm8YS4VzUXZKiIMXKjOfhcmolIKBt
T2LH70xXXkHk5tpjvnkBl3X/9GkXk/HgOsseflb+vfa8Zg+GHm5zXVrVRdeucNFGXy2tolrnRepu
E6OptyleHWt/8AfgF8vehHNOwqdq8CmiZX+ZpYW6Xjq/Fg+sb4gcS9zk1boIpuIm7ROx7jKnuiMF
IXLvcgKUMXQwghZkMaUsKEf5LaPHHO0CIjF5gUxqQUwPsk8Ri2yk8ulQZl23nYcsmNZp54e3HWXA
lZ3jJ7IqZxF98QpFQvIiUmosGTxFJLvdLSHWxOiz412TDfPB6RznGgVi066CpjGIAXMgB1V5fzlZ
zXzml2hHYC12x3gsLpqxuaz9Zdo0gd18Kgi1/g4QZJ6pvmkvcE8Lz9rIf6RQG3cesWTKa+VtSpw9
nEyVZdkuxZA9vyANnMiJJFhIjhxlW6frih5OSiiCu9zRcKy/TTD4yN4M7Fyt6hKvPoEoBSYlNjrZ
0BrF91m768BpWz4ZMSay2wjJ2fDN7+tjPcxlhrvKqztPYTC5nYcT/uWx8O4qK/9cnwx9ypO5jyjN
Z1pH9dWE192KcI1mOM/GJNS5CHO29bM01giydMzPScHf2nHV0rK80S3TnYP5hGYUOvX4eYlltZai
9SPvBnv05obV77wvWEHH/U87+ZtXqPdnpf1bPAlRkokcWsvPAD8tiS3BW3ArwqJ9xqWx3XttK89H
wU4UXYl9XGavewlaKzn7+HjO29aVPiAB9D5CN0AsmgrvW/95rJB4m121L3FmOvQxpXvHxPycGT1I
Klk53+PclPI6Uv5AGk7rinBed7TbiqvUSXNmPl7sLWwF2X4qWmVdF4a71BctzYNHFffBVmUVBaBc
ypCyrXC7FzMyRcCGXvbLve0aMLuaKWv3yTBQZtap80xgx9jfdwQgdrultywIV6WLXc3Xhf1EpvMh
2LBFoSOo9SP2ImQaW8fCE/UTqobuhSFT/ukvqrwXqCHIKW46ft61zfrJLGBTHSL2RoaeO002WJYR
3i5GN3SICdg4nPlRBZOQH2w/yaq23LM2trDd7YCFn0574cJtrP+IfqGfgecg+SXQyCFg4xcIPqNC
JjjbrPbOrPfLTpKyNxjwNYh+17l+B7ucDhS4kjKA5p39fnQhsCfNOudAeZzziGu/wLW4bHg+vHvy
uUt89tZRNbEJgThbP3081t6ikPoyYVH5ATwEmC0ieM9EqI3Z8syZmPE2rTFJG3HGTppkpn7M2301
GRwVljmbAGMs2LZ9fHDrrcHH69GRZaAOtjwB/eLdm0VH3KCd0JIZb9V8uhojbKuI07SPZdqxbZaW
y8UrOZMBFJFnsYIXOrDxKyMv39PN/ws6/n9487fwpi95Nv87vPn5uYtxLIQh/RYVPf3a32YylvsH
k6Tj/u2bDMto/NH1//UvNKbyDw0satSTye5vw+TgD9O0cbxgfuVVc7T/y19GMtL5w5Hsckgzou/G
rGv9J9jm2/kUlxqGNxA7SnRoWzav2dsJXAuKIH0P7m2h8JBZs74Ot2iXe3eFgLL7+tON+YfV4u0b
dToY7fHAM/HBcblcYN6f24WRM0nk1728jQ22/qWs7OPcq+ARA3v9MukpLzI9+Rwo9Ir/h0PD3jJ9
uj3uL7QibEqsqa9onmMvyaED9MYncc+0pfyzjsKfmFU6swVy68IFjOTjw79dJ/WV0xwFosa7BF4m
LPK3V24LJD146orbnMYDJRrCyGZt9gNLT1Lpw00a7vn4mPbbKeSvgzJUpKW7k9575kVZl+EQ1YF9
68CVxV7aF+d24YJq0mANHjVd5iATwcEHa2ApwcCnf3HBRs9yottBo2ChndWgdtO+Iwo93C4Lky5N
f6a80EFKcKnqcLY2yVKBc3Q4TMZQGUpwrI+v4z0DT9+7E/BOe0AzGd9RK3yEE8AXsX0LYslYGYiX
mXKNyfkdsxxUX60IcrqXj49K8+Cn1vbrzXNpH9JA4MXgz7dPDCDRSyentW5TS1nH0gAPa+BE/2mm
U3NLVup058jauoZHACw8x6DQHx//1xdTMxzpieJsyLh5/66oICjJTp6sW9dwpzt0MfXTHAzTTaR+
u56/W2tO1yosFlsACw74S3ZPOHuo6czBupVJMN0ZNX4XO6TJQNuhEN0LwcfyWZmufjtNUObaG3lZ
DPzaCIeOf2fe9E8Xjt8Ls6XlObjmvJskbGlUSBRD83boG14S6YV5dbD7wlSrpMyC/8NLov17eS/5
D54SXamf5ySrTs3EEMq+bTtI4iWa/+UVuR08E+Jmq4E7BUbaNAmjPMgXSkYVTNEao2n8na10qS4N
V013EfguFuWQBQ59poKt1dOriWPVjHxqylvm+JDILwKst/Pdx2PlPU1ZTy8w/DzNc4Fc+guhC6ev
cPDnwLoN8aJtdgvV+P40bjBcrZ9a7InW5Oky76HuORQ+SXzkwlO6dXPQ7NGIUz4kmWzys2Vc8nZj
hWb34rfmdPfxef7DLOgJCkfSzDjZX4iIGCgMyg2ldesQcwRMrwFyqwYgt8zQOjbIeH5TqeoV9M1b
jAMHo5qsAtNy0IG/pz5Cf7ZTM5u72xFk75L2iPOMqkr/TwBtD6aYblrhAniHSUhlD7Mqxm0RjdZ9
Mmh3T4E9xYtAd3eTYmNwZiIRe0oE7R+px8TpFnWsGu4KW8bggMAIMN2CmGUYiTy3Pa3SxeDmN/S9
1wr7f3g3mEBxJTxnQG1pk4nxvh+5+FngUYpGt+Qmz+ugnheE1p6RfsIfdu73pYrVSLyySvuN7RAB
jWdmEca7gKTtdEUakzDXMwgk+jFbbc2i93bqlAcdu91gAVVGs9Z1OIBLpliAQMx4NB5qA7rxBgIu
ktsRXyJnTdcUGIeEb96MVOdPswToKOqUToD06/J20CHVflekB7vwq2tYHh4+ylVLTg9phMYXa/ay
T1Y159/NrLM2OXUAWZfzsiCHnlT8MpMT4l70WDVskp71+4KeayFW8Izqm+aUnz3FOktb6lhtB34C
OirPM+rHoczTcSNCz7sPCDAyiU0huR44DTBkVUAPQs/mBoB4bm/731DbtT4Yf9cjUsHYw6bLNkjM
3Bvs+89DdicHOxoot2sVXkCBD+7nUdHJ9IDs21tyuSyJmbumhDWdjaV1gUahvvGiIm/XuHbG4QbL
ruAxigeW3Ywx4oGSEKZczcEWNizurpQGWCLhD8/ZVY7z3AWSMqH0mW0oAXW7F8+Cuy6Z+TW21ujk
Q4Gsjvg8mpoT+Jx38DMvG1iZrdgi0Hx5jTcXp6xzV1TNASUyCejRaxx6nUz+uYRFf62IEsVSC93k
KrJjEyAybTeExGo9qGx3LfGQVcPeajTN5YvV+QSdKp/Qa+qAb2SyV2z/aA3CSwp39iKqr3h04uAi
DOhPbh2/MFCmH9EQprptHJUbE2UPqsOwLwFnaoc0GE+tGViFKWgIlNPkrxBOzSviJV9kY7qw6ZOo
PhqOn2QEOPh0Uy7Kkryko6dI+A7IrSTA1dsUXuHrLIUZyrdLYBKhAzZ/WvZoI2XOZGKQ6wm7anYL
8o2soP5ixADfnG6Wlu2GTkPh7wxTFz+LM91V4EMkz+uEVTPyKYaYweVzQyo16fX0gGcgqzB/mIyO
JzaH9HWLGRL5WnmBbpnp7lmCFLzDKMbS1GVCEcQaMW79FOAanaxda+GhAq8aa9NsUagjfa4xFKVz
j4UrU3Yio9vBo3m5XmZXPod0TGCImniR9rmObipG4jXDJXgERuxeOhCfc6BNJh7JPOTJItgWLTGh
gJcxrUjEdXz83OgGLzsOlN7YAj2igfM32VxUl1mZ2ceGbEJ+qMrBVXqMjmFleYCZuQyKaGNZPd9B
tMw14QdsXb92EhdP9xZ9TA6eW0y44Lnlgp8AhEivca5mimFf7R+ipggOgVdNd3jYsKgnBjPqaY6k
hvMPocMiemouhhiFvTSBvpWnnnTXDfz1dLa0NmifiUZONxVlp42DQTLfNKdaJMtdABCadDRYI0Ad
YkIt0oSoDGfdilfWEmxPpIEhYbsh4PKTRWSzPPdTPW5mXT3ONvfeKnRfmVeSI2Wx6l7whZjoK/I3
1c6AM7SwoRdkynlG1xFs4Xx1L3XOatsEUfOUZgXVL255892pUMCHsZwvpjR3n08usKRE8GgbTgaP
3/SFNgCtscQT4hzDcfMax2cDSmCILS4WKNWBYcSzA3KneK8aFp4OrKcLOSMzNSnCqwo3A8fK6qdw
0HHEcwYnZBui4ngmW4kOOF1C1ARN13Lmit9Bq12NM60UowViOhU4gy5VsoX2+uvmR+g1eU4Jr9+Q
lSeJtjGyJkUD7AI/jM5MTxr/hefYw+HqjGWHE6xtHPNXPhYF6bYurPAbibAcvDy9QlboIGtXuG9Q
BrHy9Jt2vPXlCKc+6HhGdehT3PFlEGnRJBoq5rZKb1WyuECuPUMoYBoQ5y5P+rrshHfO5VSXgob8
HSq/eV6RjcLZ0sXTzjSsuL0enk6ZW9dmlLIyZeQpt9tUUa5KOt/DVT1GRrwvYhJ5t5ZLEP2KTGQa
tgBenEzoMICJpNFQnOUHj5NKvGOa+U2+7RszOcNTjzFyQqTiYuSeEpfD9Z8mAbIlp7s5KbkrOf7b
B3cG9WtI4LysXX34YoQucGIVQFOtn1KrogOvETzK/WbfhIKnmthIVnIWcu7DSAkalEn4iJhiupmw
1HhufYwaMmI1CWZIFoP8Hoc3vm07zuQ0EiUdue5yTJgCHIsafftKJJFRE3U3wRTa47lf6QeUNpKp
ya7CZl+0wJ9Jv0zBqmc72iFpQ9dAe26gBrJRPt7PJkinSFPoHXT4CWJL2YbIybegCgE7Q3ifLbVi
nsdtdU4CTaioedEbOoc3pytkJaJG7lxmIDw7krPThncZjfoJZxpe0YgtasLUjRcFW9rj0PBN6K48
ll5XaQuSRpwkTpQKvWzOi8mIqpGEwCs9sTicmjQz2zdI0rGLTTsM7GT0XWtrNQWbdLTyZdPq04ld
riJD3vNcDz3va6n5UzQoea2WWYQbTyxiN3Q5jAQHB2i4zRkvl004KyT2rnXEKmbIY5+fhdMdvjOu
2I6KBs2cOLB5HDLQnLupHcuWxh1WW3B6TOf5L8ZKAvEGBQTb1nyQ51lTGdUWf9UxvyiUy2/nQ2w3
95CcRyr2MONGE7xtXWO3q+e+yU6NsyqytKVMrSK9JZc9+5W4YExAAQ4Or3OR3rir1GZe0BNrG3ms
OKexG2LMEeFXXuPy5CXzt5Zl6PY0PqU9hGcpQMCZKjHluMJHiSGCih7CB+mgF6jUkLO9Dohi/G/2
zqO5biSL0n+lY/ZQwJuJmVkAD8/SG5HUBkGJIrxN2Pz18+GpakpSVUvRs+5NR3VQ5DMAMvPee853
SvcdYljO7Kgbu70CLyQsVph+bNNLOd8VNiJTWt16pDHfrHiQ20q7AlrBo5MLJa0DhkgaiCHrrGaS
xAI6rU4TAsYA+p50/UDf2qqEXRL2bk78bOEg1G2oPbUrzeQjcMtpDxbAr2mjFTFPloPm/k5HiWZs
QdzMN0NWs9obqXZtObq8pVLnplZpyQ2riAMiwFrikeJFO7WOHL7sPjorXsDakx3iTGsziA0IYXBs
LBORSz2LQh13Y7RtFWarYTWs7zYbeh4zo1143bhZ5jtQcJQEDaUaMUFoVGLr7EJacGFBDjB7ZZOZ
uLsRVCsNuAfNTed9P4xVcq0xca4PFcvoVaeCnqRo7Ff9U1pzt6taJLuH3ho4hMRK7n08hwxUBDjw
eR1vujEH3bkf3Lm8hhz/JVEiJci9TOwtSEm+07GyT3mcvccGYSPOmppt2JTUwVgbPMAzmjq47+xI
SzrJoKfl6XFCWeyPebbwPafY1fzamuS8U/DqbFXYZiNg/Jo59ziXh7RpskuIMZoWsGuWByr7eb+q
VUhdbZrqMqqN+t2bC84Ltj6zGHLIjPxO6L0bzrPo1SNB6EjGsojo3QD3CmeqwSSWXS8A+oNsoQtD
p2gI2gJhzT2gFy5PVzb8b+tpfEmGJecbOoA4r4yp20NWZ11qR844yOPnuxZm310e95zw5hZMQotE
6Vwo50wYThP0tvVVV6eE2vH2UKXQbNJrzgcIeXin83kziRLWbQmdKP9ac8Zkd0F+ECL6MQ7oZKKP
EcGg0J/W2jlWyTTHnJZBLerQ/z/UGN2jE/00xmWoBS9SL2Zm1nja1Vmbpym9eNPl4m5sY9UMcTsZ
W9iC7J8ds579UMasVtJO9YeRVw7O6yaMSRZHZLNGuLQVz0SxnjebyHMvys5Ny02EZOBhmk2cbAVh
ihAVOaohSLvqC7wnaaTkR6W2tna8rsxS1uxA1HbJXreS9Ks52qo4AWjiievXRBUrb70L5dsJo61P
w6qKK3M4NwfHQX55oGCb+72gvvHJ3Oh2ULgHrJm67lKrICRUczTtsM1p2Vng8gL6PHwlTqawbUSR
TiVxnlfZTPkeEjrWm7NYr7FmngcZsxl9OzJbavmOj2D26ZKV6jbOS8cN7aXXt7xy8kCWyfxIfr28
SEj9fUTikG8wJXiszlQ7couycnDALACIABLTKDeYj2qS+qRXuaHRGfNeR8j2ZfVJv2XeIL8WnCrf
a9yOHLcnZsGcq3Q6F0K9QN1f7wqaK88Ile1uM5D1kZB8B7ojbOu5PVoIuK4A8QEgyOz0qWz6+B5M
zTgHQ0mmSi4sdbe41nLlGU30mECn+VK3C3/JqrBMclKuvPhGAtJB2aaiWkI6qnYEgXij/W3e9d8J
z28mPIBD1n78v5/w7F+n1zT9frrzx6/8Od2xzA9IzVWalbgWaO7TsvxzumOrq7R9ndLgouaf0KP/
Y8Sj6x9QZdJqB+/J5Fx36UD/MeLR3A8Q7MkZ1vEzw1Pw/rMRz09jF85IDGqps3B8wGeg3ftji5OG
RSEzaEn3QjQNnRdZigUkHe8zkMT8XTQmXYwkLTqEJtSBSZIrd7qH3KIyaTsHReqiuxYzikMVA/WG
qCWUc0oTWjOVqlBV/o6toF30KZfTm6wDXO8r7H6HOpnz7cDTHzaAUi90BbcpMueJ+IB82dX6kt/J
zJB7j7QWP9GU4WslFQnbz5zMa2VOk2tC99A1JKKfCBZrllegiEu6QW7naEFCLAFy5LyTW6dQedIW
pfk86En2CvRguSF3C9U6B/6XhRhFmmSYXgNjkf3XsYs1X2+o5GLwCbfkyd+u1S2NjkLojwOpI/nm
u/vlHwZf56b1dw279RLYtutwVZl9kSa6jmq+MxCUEoK2Egn7XnaGd7CMwQo5Q3JIALtI28LQ297x
U730bvBO6RcVOQ6p39hubaF4RjAlE5xZ+HrrgyeH8VJGVnKlszu+YeRSnuB+ibtktY4xiyes3Opp
drhJX3wsisjdxUnXcKA16mvX7R6p0K09KpELJ5500tL0nZN46I7s9vOvP7T30+CGADvAtVwJ11WR
XOCi+PFDN/SIyHlqsCLWZfSirVc/hlX8zEiU6t9ROxh8RneAu92HJtpf3S/Bcm2FkcnLeZjVz02u
8TV41jRfxxBXCKMyrPto4b9aQ9e/AkTTTrGiT9cJM7wLg5CcG8uNPjL91ndemhYfQdSMgc0Gv0+r
qSJnoVN2+WjYm6Xu+lCqJff0Kkg7qdJ4q+zhYkIIwlEssvaLy0DANyOyLmbEN7M16aHaeAlCm5ei
8cDFmPX0JU2QBRO6NX1p4IgenAVpQNdTCUV0/jkwDls43vMdD2V+5Yx0vgq6P/vceCM+jaxRO+ps
9JiZhJdoEm+dIhYhUzuFI1I7mbdTZYfzNx1IyK6oTyDr2PjiqzS7LBOjvQCHpT8tfdV8dYu2JLiC
UzLCOItacpaOBnhGiD3zzvQEQUi9jNZyiBTW8ZJtnA+nGwMlR5vIbL90SeYF0oz1OwjV87VAx3Jh
ACLcQkOQeyiWPJvElTImnsSTSc7qZw+b8YUJ0SlQ43n+TePe+nHNWj02ACBW4MY66MY5vjpyvntg
dCK7o3h0lLuEcKXb3gNBoMBi+YiVETCrM3g0n9d7p6vll0l3ZSB60SyBOS3JW9bU81VD2NsRFW37
5LRms6FeV3dkaz7Tj803iOzKx7Llr+Qj9cWa2lTtCq79RR0Rg6L2sQyFFc8hzTH9bla73PQhD3i4
cpTlkoYuOEBwjltIbfq6oNb5sbOaXgutXtHDVB1a/uY8zlcdEbu359u2yVpQTam9XHatpV1oTR1x
onDVZ1cpBfZtTTwxZGyvUpGyvaMHZppqIBn/XKn5rq2RmQWggwcY+cNg78xF5k6Yu4l77aqwdsNf
P7r6j87W9etHXeDiE8RYhe/KWR/t777+qdUESaNddKd3jY34iAmzv3Stcp9Jj0+gZTro1VYoD9mS
YjW1GCYgW+uqZN65HFsWqIsMe3y9aKOjS0PzNR/tbkHTN+GLaghrfOlMTmq4gArt0KaD8puJ2D99
AHPdXrF+si+T7vDjB6hkLjotiZ27wpZ9SEtkvmqbON622KI6VDKsM1FLMwCbJEtMlVhKaBNW8MqB
1Dppkx298+wZa1ujfjVmR7uwAfUdYTAO1H6FGz3QuqMoSKq4cP1ff/nn/fivzeL85WN4czRNx/+o
M9H78b1PJYYvaU7WXY1Gn3GUENE7dzMBlx2NQaI/UnlJLOR8XThjtetpfKfQsCoksk06HuvSTYPJ
07tDYU3doXZa5QF+nrfzJrMHNYiB6Fq6Ir1wEKzfTCXwTb8Xk3iHS0Zf20vNzyKahoMqpTsGeUtR
NZhTXu0cBJQBgjfpz3rHMjQM0ZNOo3evuIp7JH1Bx8/l2NtCGPG2KZL5BXMbjphpjA7pknShrJzK
DXp0r1+hbrBe6aVJ9plodC2URgNJvc6BXdLjBJjV+kbeNIfCHKOXyuFR50xA0bg+epGnxG8dyusx
hCXG26MTc5Rzp98Bb8diW2bGiOOgTd5U5OvbTE2iF+688atZlOsKsn41mRMdh7Qi3k1d5RdmycrX
pJ2Kd6vMH9RGlyg+WztFtJp9wTZHGzVOZuSYugg6xkiBQoz3BZRxwdypmK/wRLOX/PpG4JDIlf7h
TiC4gDMDgkfrfBz86djAWg0HD/bNHUkdvRMQx53M/nltJkWp3WETwOxPHxMvFNOVLUex5tXWe3kr
NdakMC4FOXets6FDWhzbtBATni01peRXsrT047ja9m2+Pq5I3T4vuOcf14CCz/pkjl+H1DGVjWcT
KbARiUtPCaxAcTkC7w4xgi/cB2ZF56AwiqjYFhrjGB8X2rB3Y2XeLLJxSOYuH2ek3AbvUixFoOjp
zmtt5RYT3DJtxKAOb+B6WSJR7uODb+v9rEmcZjy1e6dI1yPnel3Jte6fxJzvLSUfl81M55Pe+/Kk
0VjYGJhtfN5PAgsw44GgquZmzXRhBjaJ2V+ACNAPhEd7JMFd3UsPgKVv4+7byRZX46U+RyZ52kOe
fGQfSD8KJUMiTJa24eJfL7MngT2U6itv7XhPgabOQWmwGvgCnt+b4uE8UsZpPeDQYTmqyD13ChD5
TSfXBo6RDH3YE3On8nFzlrwCpLQKdr7jv6N+4DFYEl1GgQsH1dygL6geYii1h0g12XWklhmfE9D+
SxBrdpOflL5fjz/ecksro1ZCIrPVz2VRs672beluFlZ2NVAqqV3E1pQfF24E8gsnOs0A4BLmdZph
PGtMqPCYkgJ+S/MOmq6G2oUA8WHcE2nIxFdADH9ngubC5ZMKfcmS8Smx1toqNJRTaI6jR0lvA5HH
5uH4U8c4x2cUaNR0Sjq8Xlau+FYTqRuMlMW740x3fd2uclGOrZE/wSMOiolIb8cpkxu9dKaAzcDj
m0FHfXt+kP5b2f6mssVQvXrn/31l+4QG8V//6M/+9pt/FLiO8wEJlg3CQNMsYC6rCfuPAtfVScDW
OeqTNK2hItQpLv8ocE31A9AwDUCG4+HFBun1/wpcw/kAjMVW8Wcj6Oak5/0nGsafUzKoLAybMoMC
m02Tc99ZH/PdcSVeTPyJWZwcROkMp9qtaNJXeiNOxgI4lvRTRjr5YGh3KMFZAQGlqOmcbsiun/Z5
0ikYi6LB2Xa9191TvkGkNgoGImQR7xI2G984u0Gwc7VbTo54RObVLoJQ0Om2QzZEq1PCxFFCjFdh
kZYA1Gf0FqKeV/MJHPkjSdYDBuAlJi2vdONHrRIe8zlgMgFRDs/eNH3kdIurhfjd5RHEGCIk1OHb
dFQA468+GJ5g7YgIFXPMvPpkaFVjmZFK1N5ZxPxi9ZVas+lUB3dNrdymUZOJTTJn077DA3YpJ9g1
8+rMkatHJ1vdOlGzGFvslDx+nqCwANu/srixcYToBNNNuvp+iCcZyTuZlvI+Tixri827wd7Bjx0V
1xCd18caa9UaBjteuuaydckMCRQg8xA3a9AixO709zm+yJuIjeA2OluU6rNdqYbSSeIQFNMNab+e
T6ohodU0LH0bD9uG90wGqMCeZdYkZuoKiZ7RbDwNed7sEdww58Y5BaDzOkY/T6N4Uc1i4xDXFZjW
ZPpVEUvzoseKFHHis1dcr+x9mIh74pH7R1MsGFuaVGqhMkICN7MFa1cnKovrYQ0X0tX3PQawdHWC
DasnLI/6jxEY4KM3dY9LvpgAotXqE/iy5agl2FxKUPXE7S5hrPXWpsji+E6wR5IbTOLRpZuV7VVx
tqh5BYB2vwHEfh0Pwr7JDSXaKIkzvkRdpN8CWs1CONTzBdvo1/5shKsWUN1Rm9INxI12nOmYdplt
BHAy54tiddMVGpa4ocIhoBn9M4niFYZwJz8kZyPedDblzWeDHoHn4pM6tcN7mo1IDIF6n7K4Ne5z
clmA11UDThzR2kE/lnxlU1N2l7iiP9FHHq6URldCfVK/Agn55EwTqQqlVbWHcXUUFqu3kJAlTWyA
X7svwBCGB6kMdZCNUYHxIsKayCEBm6J6tixGdl0VUJmm6RM29VrdaAtDx1AorZhREuF7JMZaDy2H
6HAGq6N6O64OyXz1SjYtGqkAXH90O2KlnCztRQrvRe3g4qCfArOgls3es1N0CKaDqWg3rrZMzGD2
k4VTM46aryqDr2WNZyLwdjV0WgUTg+ukMJFjYH8NQPbo+5g1546/APHAEMmVaNOTC+D6AB6+ZCJk
mwnt3FhM+qU4W0rdaO7iYOial/JsOe1W92mnim22+lHH1ZnarR7V5exWXX2rAwZW/GHJIT+bWnVJ
VPd+iLSSXXZYshP2uiwPUwExwJ/V2roUlhGFjlEnB2a5Wtg2/eTbDigXjbbRE8wzAES9PFWqo+w5
TiS73KVxHdk6sRsRgxtPXaZtZWaIOuYifwZauXBwbqeTmzroVfrSX8W9tPGFSWJal1m3SV3mYWPn
uOynpAzcMTfBiJXtMcsNItnww+xGmGXBqJXx5TRaE98AGQvo+lTrYMEOuMSHqnycYgyZxWlQ83hT
FqJBBhPXjIAAEW2z5mQv8zOJ2/YG3Ll+IEhIhhb/6lRYan2pFUaLkNJU5s5v61ZH9DWgIT3kKFlY
qbr21vA648G1XI4lNj33BOzSFCyNXMhJj2on8Io8f5E09WEIONMJvEjms0DAq3BJLxgHztdIerst
OhXNn+V4Vch4eUcfMPJTImsSK4bp76TNAGpCfDEju93YNNBIarcrbVPr6nCISo66NeYNCD/DJzYW
gquhO+0r2U48pVGtkKnYTBN8bEBiX/SK3SakIBQXJLJ62zHW7mNEf3vQVuoJzU8TdJWb7QoH1BX+
sr1omCNCrnXhNtdLQGrJuCdARz2oC23RyMuTg02xFK7S5pPdT6rPju1uRaPqF4Ojeae5clIkKMUd
wRBAGkXs7BhDCRckYvo+oKqoEZm5uLgb1t5JGwsEYXqLkEErmXbGebtRZ+Om0+pAqWcd0D2P6GXS
xAw6VNAledEoAQ0Kb2PpqXYkdC7aTkN7msuyDVU5izds0YRElM2E8K3A7W8g/pKDmRw66X12sZ7C
u+rQAcVDOOTT57I0h1BFCxIOA9uN1iUHunMxyWQY8cvIvRq16K4XlXFllDr5FcNo3cJYK7edIq7i
JbsbVKHcTkl2M/O9HqPZ0nkai6vYKeV2tnOPrTGFhefbo7C3lsQsaBJNA+xtHHqGz/PyaOYoTaCG
T+ZdO6SxfUQyg5RkEWpchzo7J9VsOhugPlQDyqVvTvWihjYKPjVMIo8xb5mqnvJMuOBM8BP+f7lJ
Lbh+THkrh1Iq14rCDB36bsu+sdJ7y+lW3ugoOcoIAtwR6iHkCICeGD7BWhj/VQ2//FJrs+Vzjm+v
dci7yabJOvlkNMP8VBJLcXT6TDsNbSV27aJM51yvmYTshZG+aucTS39R8R1gfdtTGUoUnKyYaxTC
65K5hJDUQ3bEXD+Qm6Q75Z0rh/RIBoigN2XRkPam7aK78VurD8qOLr11I0g62k5uC3a/67PKLyuW
1xw1BzH1C6J9Urrjj+YSNaQ0lNDIG+QAMCYMc782PcaNKq2BuIlBm3x2N8nE0myMU9cMZRL2dKM0
gUB08FwmgaO6tQR7m+8uiUvMlTMA98gZIS8kF8SwWsVIG2M13BaMNA4KtG8OfpE6EHtD3X2tWYrd
B3Uv23SbW2ipatdDSJsYg73JKatehJUl2mbO1OzWTbr2DlnUJBCOLikENc/aCZLzth3+gb3UEiKA
0OuPqq8unYNTr1v6p8LzvE0kPO2CCI/S8gsu/rM0UnNrC2tn9NHQ+qnsB/SO1YSuFVUK9DRjBBOi
TKMPPjwOjVkpr0xwgfF6AmqLoGSWdDBTU32iV5mRQkRycxCDg2Tuu5gVsIy8V6HC9/0zi7cMDb6k
E3Caz6aT5zzYDE99rii20iLH3+Z7AHvCqR+yxe8GSw/6HkdkYNpJeV210PlpoCdD2FvJZUM8zNab
yv5iGhzrYCcuLVd8JdatIAyM7FBUVzsTK3rocdGOLjEp46aozOVtjtzkk8eZ+1FfbOcU0e5HlExk
yIVQOZptoliLvctStYxAX5znvjTE0xJRPtuxZW4LRcaBPlvqoUMc3AWCmMKXNd8APKyLECRlMsde
onuXRbYsX3UlWovhVHtlPU2P6aRoDMdN+5kegFiCvCudaKu0aeJuaC7rftyXGMCr3rjDkWyEIMwr
v0aZHCIbpW02l8M66hpRC4zT1UJA6J1wSKCChIbR2cp1v86b5HWhndj6el2bWy2tMVA1WoNXVB/7
oKznFMti34aKndhbfQQ9hyVnvsBsI6/cVjb3DYx8K2A9z97rXhMPpNAUz7GmFjGMgMw7Qp+KjsAm
1CMgXxw83K8nlfCJW0P2UzCpTX3QkUSFCrGGFPNmEwKm1Dj7q3ZoWRE0FcAVOUtzWW0nu7F2WaFU
h1kFF9B4xfRQwzRB/9qFPRkw12mMDjtb7eKZg3GcRWLc8ADysDijvhEjK58BmSqgudSE+Wo/X85O
dJozrV+v9vT8bFRPOaMUpdpygMLGnpwd7c7Z3E4H/n3s6+nNPnvfgf/OlyOdQWM7reb4/9b/VZ/2
y2/r/7M14Bf1fyq+1MTe/GhdZFL5F5vNtZltU9ZT+DMHcD2VUfkftb+nf0CqQe43WAmy285T9D9r
f+cDIwQ0cZgdVsQwafd/DrdN/QMlusN8G2Pvaogz/6Pa/4cOKb4d0DpArfGD89f+niOK5S7JBzRg
32SU8HZp6WvoYOSyoOfpO0S93zVI/mGUy8f9riX77QVphuBgXB0l9jlf9LtWA9E5eqM3pXUiNICo
lHEibGP1ZdmFy23OzvO7Sdg/vZ4JoZKtwgCO95P7zctsShqMoCenTuzXbBXNnmWYwoLT9euP9uPM
7fzRuNTrwMeCn8TIlrfy3UfrkglWXa6Zp3xVl6cOJkyinhHd2DC+rnqJ2tzJM5Q4qwT51y/9s0+H
y8idZHE3uCoG0Z8bOFPLyqEqnXkSOoaryoVe4VOGIt1CGFr+xlCo/dhWP39Q7kDNWw/xDKHXu/37
Dzoz5y+dOTVPU41NFXEzWjufPCC6k2PvsNFWGEySY4ksjSZph/wbdU+NIHcuUgT7HNh/40L7+8en
F8asDYsSxELz58T1TEtQcMeReXIniurgjNxSMYru/j9fC1IRlmJuYW6cn24okgvUIlkW82SICaW8
qYg3auv5blgFo7++quv3+Nf4Yv2ebRxp9OVQvqBm+dnDmKIzRVg1mKcxSt6/Ibx0rGi/fpF/+u5Y
hLTzi7FK/XQxsWyZTq8X5omRX01U14hM17WpQMgAoyX96xf7CSr77SMZuqPhSGUwh7Thx1vHjYjA
lWQxnDK4teXmbA3USB6x/TN3jJRPtL72wkO6WimXpDcOjLKNw2/ext/vYLhjLHvq+qgioPnpbUQ6
CIaI4ddpdnv9aOQVnbt2Ff01iuAORdJbhsScIzBZ5IAO5vzwwotLd6wgv/NW/9MVME2g5956pXF3
//id5IVnz2Xe8PBCrrxTVwXmGVuIRvd3sdr/9FKwM1y8oWwt+s931Ny4iMed1jilFl+vd+Y1KgWp
muv45Hc+ux+XepZvwOGe6ngmOwul8s8vRlpSXbRtoxwj1O/SVxT6OQy80H+e8XXVwurwm+v64xK8
vqTjsjfCM+XRMf9mU29yaepYub2jSim+g2OIhFV0Yr6zJwUXsIi4rmedKwUPevkYKl6JL+7kKBVC
VZhY7V6uMtDzCvLNxLBIpmXoURQYkOlqOPj1W4ar+sNTbrHxg/WHi0ornxQYtsYfL3/lzpk5U8Ad
RaGWAHYTua1TW9nGGtFcfq2WhDAEyGC7GsocGS12qPHHbjtsA2f2XAMOqIxYeyNyRt6kUfZvs56v
2qizXlvHnZds0DyiqrE0BMw+pQJerFXOW9gACdWMXyO3YJXf8HtArnRQjXrWvvSrHxMQlnHsMr5A
HyDdchOnBS4ZgAzex16SdEwEXtRqe01Y/GnhJN20gZ1vQ4rviIT2Y+hw9q6oWl5jtV6c+c1ti+TJ
N0cTDjfdSqieJLiQqWUiDsaN1sudgpjUPp5dp6KPSxxmnVYlR6rT/g1/ZPtCMpfeHMkHWO6Qi6GH
0nsFFiUkj/STtnhcMkcaNgXbhPPhY8uA76Xqc/s1T0maoletW6+LRjTFNzyIPWJJKjEAfWnAIO/H
1mnvOrsvgc8h6HbS2Bx9XXij5RMDwA5z9tUQIoP8fcb0YkYI8I3Z5BvFCPtxMZnTnq3faKDcNS5T
e+hBaOJsg+Z3B7KOfMER01TjrUL30p7Aic6deMsZo+vMVuHoSBEx9nURzXwcmoV/pUSLcSCZnr9S
roJy2fO9mXRmACGsO2rFTr1thF0Qg1ImXbZCTHrMJI6zSrATG/pzSQ/cOSbrweTsPj/bylQgj3c5
PtEZgJ6CIeZs/SEclbuGrqn16tg53ya9/ob2Rw3ANxjVyLGPZ5G0gnND7ARx3cWOQHreDOk0eRkS
vSre7JrkLO7geInDUrraVaJg6dwsVonZAKsamnxgh+w3fY7sl5xyg3uZVGrvo4A8B5ynR7lFY3O+
abRVpNHTjZ+3C9nJSC5IYTGCxojlJXBw6lstxZw81q31auMTBUZRdV5B8ad197Eh9b2UEO42emyb
n6pxrB5cmS6XRUtzjk55ra2hk5pL6al2x7SoR5h7q0lOFPMMRFbWw0YlFBzfiUwnnwQnCFMkHy5X
rkqTsDSTGgpXDpKephQtdcZZ4Njk8pB7qgWTLWka0HgLShnuSXLPKdpvMUO4wOGioUQK3/Xvrinr
A12i4QrNwFDh4M0i2uI5K9OqMy1DqlSYYT2a0mcS3TqxFdZif1mVahvRV9UFJt4OEQOIgsn3hgYa
XVZXu7Ee6iuPMcUUVFIkn+LVW+rUPd1ziukdDrvopC290+5cYo9fGrwjFPON/GQzMjsaKDsIf55M
+QnIVk4trKMVo6XZbYjcRd+ST9UnogQIbsQ1jRZP7RwkgvBRfWfGzbtZzfNhyxnQH/EVbUsXrh8L
E/62Wo3uBrpXB0ANzSHrErFdrGH5GsX1FCZKqtwCWC2f03w0A+Kre7+pQN1n5BLDD+xend7k+cDC
tSHwPQmGsdO2JWV81rkKziqsuIw9oxqGZWfQhbIdnJXA+9aRh+V39Hbjer3yq5CTVvAeMdRibYi+
npghRryQWXjRBvIfvVIAYQFZdclG1gujm7IeHhsgzE0wVmI7MK/CA6V+KRxRP3tFqvupp81bQbDf
Zih4H17Ul7fsShLGOsv7hW22k9/EKlfUwV9/gbK+ugFm0twAjuGmVmxOZK9nQ5yiZzwSCJisOayb
Xs9O9rwaJJgi4g5jte3f4k5lQaqlpz0squSWVXs8mkj8oCm4A02fkGC/GatQ3aq4ozGZygBTe/0S
aWh/zl6Os+yyZ/SCy2CwItx5ugkXuyvWv6bNjdh9I8zAAOBghjrwRiEl9EoIDJsbm8Hpw9iYPPpD
YrV7czYhnpxtlU3Dbbv2PNbxMS6UF71uiWIYkwHwg1HrNc98IpryE31Ct3lfmtFcTbM9TQ+nJ78y
M6ev0BbaOEAMYT3hVPcOXeKJPamd9IirOU6ZmGlZ8lmM/WuGZDq0yFWNgwhlj3gumJsp96kk+XHv
6gltbnwggV2QvZxMU7vPQJdtF1Rrj3j0S8f3HHN6ZKZc3mG+e9cL+Tzrpnad9zqWDLsgoUL3uiE0
wY6+xX0Sv8k0ne7jweHK8cRnYYtgxcNk50ykeRPxvPhtIZwjYdyCsMmpaMpAQECjhTbQBdv33qye
TNSHl6hJjTtbzoQgdWU+ML/lKmTM3PBPAmaeq3DW+gKBYGdeo14rrlt4pXdl6rZBV2uMUUalCGnE
Gp9rzx5Pvd3QlrMiPbV94RppwIw+ofsuJ6C4bcFy4UXWJitd84gR/3PUKNP91Mc5hJhBvSQexfqU
T3YeBx0AR/ZK0JU+7qz4ysMOctkx6zoqxEHYfjLG4lVPp+YEj438TrB9J81WFYgCPQK1ncaSB1a3
GsbNjFov8skcdOhhQ7l5sJGn7cfKkPdNmkQX6oKWpk9UwpvHeHohAqZlZiGEmR7ndJ6twK2hR4CH
nJAC2zPWrZ2XDGJPlatcZI6sH9W0071AycEcr51eldRJbp6riR3+XRtbcTk0DQmlbIQnEGBlsUGN
HDF91CgvEha3XW5GGhnNnCyUAO3seBvrI13lKoushvuy6F7yuSdXdCmsiznVWUZRAXh90DYjmny9
7IaIQWytX/bOIi0fNojmhm7hmCyI2vS11m3Ej57SSlxuOJdME8WfsSq1xOCkd6LU2sdBW8RHMjbM
cERFH8iMxieRpKZvqhi6GKhlDjlck5NCT5Xo88qefahXlzGIlDEtNiZf1c0oqVOqAnEFXNYovYZ8
Mj+q3aRcWmnPpCg1WmPrKkYHV7KprG0rHGsKaj31xG7g3n3HgjM/Na7Rf5msyHmb7N5OtyoWZhFg
68RPmNWF0/mRiyNNru3/TZfA6dg7ffNuJXN8IzIM875MRX9E6ZXU+KarFjVF2i6+CVwlyNmdr5UC
x7Ou2lG/wcHgHWO5zIR6w9RHETtASz/lg4o/2XTG5wQnNsCIWGbXOJ6IUYmY5F5XXkFUEJ1gBSSW
wVUDCKiZewZjxTx8nJMWadq3Cva/Wqjf9kLpkn1X2mxe+9d/fT13Ua9eSwIuniBfwHH73uZDaMv6
O3/afFTzAwMIHSIT6ihaKOiZ/rT5aBo/Wt3IxCCBpqRs/bMRan1AAkVUEXueSddwlU79CXJTP9DT
c7RVbI0SyiX14v/8ry/z/4y/1n/0IcVP//97EuePvRZakSp5KRThFu4JuHHGWjl/17yLhklLLSTN
V0P5FosCyefn776Nf2h88sG/a+b8/QXWMvC7F+hmoyibmRdwMxZOt/QH7zUdr1IP+/Hbr1/qXFn/
1TjitWis0F3BqItv6e+goEUTWmFxTIbZWVB7czSFcK/aqJNdIpWsTyKbY5fUzMgl9x6xrlAk1FYL
5/0Rtk0bl29ISV0nRlxjJqrn7KIuXm121fA15cCblhdDZwrw1So7zaEgVD3qHtxMJQca/FT0sLT9
lgaPdRSMT28y1DgpBUTUVn3A3AZ/p9FZ+CdGW2EeOI2GB8m5KNskvwdFG4/4oZjDOZzPapcZZ4pb
UPjVoB87WI6PC/SyUxG1gxNIaLTTtmTlM8qT01vZxpptJkJabk2flFq1AZjHJcB+Jp8BVE7TuDYV
p5GnrPcS5X4C5m9WIbnbSKKboM+zfo52DoWr2J2vyH9Xjd+sGuQ2rQ3Ffz9BucIolPxr85rXPYOE
b+vJ4e1//48/fvGPpcMjj4bxiGoxoQBIRbPyr6VjXVVMm8HKX/OVP9eOFQKJO48fr50+loi/1g7r
A5IjnA38GhOH1Vf401rxy7XD4fW/e7hpa5JvDBYRbzxhibDXWNq+f7hJz6Pynh39QqqWGcsdg+el
j1Y5C5o2cUmKtxc2JTFQ/uhaWeuzCMoXRS+wAiLx2IuxUS4i1j3mrEoJZAjqvAO95LKOq33SGcOR
WpmIDDqFp3qolPv/y92Z7baNZGH4VYK5l8B9uZgGRquXOHEnTtKdG0GxFYkUd4qSqKefr0g6LdJO
Op0yMMQQfdVyimTx1Fn/8x8ACck4jtaD653nqCROQuv93kmOH3zQH9GoiCE6UJM0HoW5n46tHIg6
66kzDRq2CA9rwUiH1AU8yb8Zgcm5IEa4sfQwu6I3GZqGdPH7AUjEEb8Vmj1SNWGiXqR5opMadrZj
O7CumDHLNF9AKpt1+lCQWZoUxCrMJ8n8cQbv1w06Y01dXJlQ1KeZngk+eMOD6QISjBmRymluEg3A
2aPNB5EZfXLLvT/Nk603OQHkCI7Z2wyE4HSw3u6WmbbTZ4EdQpZiUq/WQ4v7h0AZ2Cljsosc96Jk
kM07e72JoURSTxfJFl8QDAlIabw+EFz+26x0FQimtqcpEznUUQGsFrcq0acbrNYExADJnbA4wvoS
5Fdbz77ZqGBMVT185yqhAIzacxd0fkIzx2gRgJMhPAX1CDHHRFso84Hnq2NzU340d/uSOoh4iWS7
m+wKODGCssCbBi8xDZziS5i7E/14DK8SPOtrgvpyrDObIRYzKLwgAUGTRhPG/AxGHvniUWpaF+7C
vdqVsTJ2thpd3KfF4GOpezEeKK2QeZw49DUdjzPNIAAZ7MPyUos3/p3to55z1dlPwI+ns/yoAkDN
B+UkPzIrNqLECEHCen4s8DBTKoRTV/U/J0dS0fAzXDJUKSRU1NNJkcOVrQfrOdgO4qQ0SSdBMJhu
/fQuzq2PzvH02tcOcO7vLWM2iDxlqhLozu0kXJ5M/7Of7oy5D6BrfGBM3FRx/cFVqrkrg7HxE6JV
YhEoRWiRBRmHSDjZ+nc39uMZfeflWIMoagzvwHjvMDfPIEk6Ahx6mWq++rk0Tip4hPyaJtAvpxLM
FkTw0LhDu3BhRjQEnk6Rw+xhZMGjo3xirxPjYnMCDWXQyzdWAv4fsKA/BvkuhOP9uJjAOU9HTVym
c0bdGdOYrP3M8sE3LHT/Q6ZZ65tI2YQz3fmydnPl6rgmPcgMmcEd1pY5UIUFXT2NF967cM9cjyi3
lBEcj+U88dzsTomOlDxtl7Zd4GETegRu8h1D1Rx/e5hqC6ANJ6IXUF+KPY2OtArsaPm99azsBOyL
pBr0YSQ6QExMqIv4osXRulQ1MNDe2gHCxqCFnblnatRAKSYDbZN8ANzHLlJ0mWgGY9ustXtgdkg1
4iGGvdD0lQ/lwlDIKamA6Rh2M2M4BiC/4gS5xmkbvd8O9PJ2kRTKlUqPkwl2x9rQHTUA8QI88DCB
H9EaF0Cep3qZb2c8avGaXDqjjq3B6yhmQmu8td4MjO0Xb29txn7kBJckV6EOdPZMzTuxn8kpN+Fz
CHziEuUrnNuk/A6xeZXsiWF9a/cef+OyiPbWlXOy6TTKzHfWAnaAA9PBphsXzMjpEFgTg2znSEvd
+2IXQGwEAYVa3AYQ6I0U31PnENGtQuNUzoLsdJ3tbIaO8fe5Hc0PFsi0yIiiGYNKs3GY5cmkXOxp
qLZpYFENb5nGa8jDnNP7PNYYdSq6UoKtPSCzDLoN7tESJqGYTFeUIlJrK7spNXtWhNrSTQG0OZ6v
j/dhTuettlmPQ5tBPDTQ0LXkz49GutrDh0auuly8MTNfnyuBql4tnAB6/QBywa1gzSp32wSKs9C5
2IAOjgPts2Xlr/214V/m5vGjc8hhY/DAYgWlbl0Wihfdue7+U8Bg6EmS2CuLdMd4v/B248M6uNPU
4to2dtmbxNFgz83CkQkN4k1gMwVDyW6DzSKCHY+BCos0/ZplBR0orrEYmacinhtMA5wsQNRMUyCZ
r/G+sjlzS2D60RfuRQBeLdcBKpWOe1ca5QWTANTrk+UXs71WprOdAw7m6HDHSOBa94Z3m28ZE6Vi
hI6DBXjlg8t5VtfBDCQVsLzQfJ9saeS0QCNdl2l+uc5SSLv3+gDQUaHBIoV5YWSJ9WewPf5xWBTE
oKX9EBcacNN1sJkVcGPNGXBONSVamGMmKLhvgZLeKmtizJS2Yh78cJOkzJfdmVoyZsgwhYh4eiDg
PaZkelFowaW6GXwq3MQfpYPjg+4l8Kcz5OXS2Z/gxfK8bFpSTLxA/3pXm71xmK9JeUwPzsAEwoyj
T5exPvdOujkjM6TPtCAhQwz57Xxt+58OjDC+PA0cmJzz63ybZqNksP6qDxKbUdgBOCuS2yMjsdSZ
GUPSoRqhcuWARAXXhyU/oVVnDP6JJwcmBevRl8CiN/OD4e2YB4fMDlI3ujgecHOTMRlDJz583C32
oc1RTK3ch98F6Qudtwszcw/JyN5QHOGQxT6TWfWLVIu9PYwZohf4g14cRPJ6VNLx4KynZg7Rlb9l
IhzNZVti8IX5jmSxbWV/QvcZnaKrjOKu7ZIroInMJItC7X8TkHHI6KC4+f9yr5s4QcTM0ypk/r1Y
ZeW7VU4a65ujKX69jb1odxf/2h89erDPL9Q413/jsNMoiW/b8terZ6oe+EdLBEsAVcUDiQCakzTT
sBjgB1mDuCi+B/iizc8DkNVDst2AAAxAB+I6/9jPP3y9VT9+wZ/5m9Yb3OMq78RngP6pheAiA/Bz
e9BZ4WwP3KGpiFCFYnR10YN8vgcuoQns1JYo+ldXfcMzOfmeJLzwHnx3LClpFZ5ZThC0oW0BK6MN
u/32AhNnUOzWmKBbX/8jCfj+21v0qsi+vj2kWgeIT8yeOP/4jjmEG0AAxKC6FVfvPj7Ac55Z6uMb
6hBkIWOIdbM+AR0tYCMcejWrlkwbd+qT6AvmFdnXN4c6OhCMEwpVXJ0jYLlD4JZ0fDKZt7p6JwPA
2+ovU6dUv+nlf2IJjCHMI6CraCqtrs4mqKR9xR5Rzwa/x4WM9E0UzPqZpDYBIB+TAdRGEjraABQw
aWcgOyD8qqt354HSt0hoSakD3RiSthOE6/WXFsblXCdC7jYkVNIZGtQ7ISA1Lo6v1PsbzOF2gMtS
WKi/cuf9baEubbDgguFKXPWG90grkt6kZCG1CTq8bLRwmyAu65fs2ARVEbN5QPBZtevRo7fnDKjS
MqAMVQTcpTJTvz7f+PwM2Aaz2plUAoK7vnpnExzIL2RlQCTlobGBQbV5y84mmEMcJktMqat/7506
ZBqBgDXLnQQdhkKcf01tRKGjDhxl6LgGupBgqbrqo9ejAwEu3ZE2Ci5TvXCNOBPN1ZYF4gR8B3oq
4Hisrt4dCIaSSYuCIKtE6amix6elDugBEt1BwLXr3end2yO80o6B5gzhZmIwFQFXdXWUIgQphkP/
E2W6+vfemQaGtir1p5FwEqGBMYiGDLfRBx3L6OhDUAkwLYFTqK7e7YKA+MtmjgwknniRBibj21ue
nwhVIXNkgNCgeaRSwL3Sh7Zaf5RflwLDGHLWFRtUYX3iO6EC5DywBdEsAFilf+8P8EPSKsJ4BPpG
pQumMQid93fcIWYHCIDzl++AGe6RFBDrwsUk5xuIzAnJUZ1woD4FHY1I7pBJXDaps74GjIT7jrSz
rA3JjVikUJ/XBa5OhhV0B4aj3qX+eUj0Pkp7yw7Wz+Bbi7YwcXXsguugMcgkk2uuNUa97X06EXjL
sn6iYZFMgx4NcODzu2AIOjQdZ6S+U49enyZZR9Ys6AAdxew9hn886ya7KsGC6qB7GrXZO+Oo4d3J
KgSRPBD5dBP9eu4U2NbQVlTyjI+llP65RmC+ZGWArn9KZjiAduMGdxQB+SPgcXhPzT736AgQ44rp
r1LxMp6Rw7szmvN5z4iSChtDJCniSXH1zhqQQLJkrQFCgJjD1UDlrLqQqtZRMIcgqxXSjE2+vX+7
AOmDrDXQqRxBfEGmrP7Uon58vgt4idQTUDlas0t93AVpm4g6hLSTmgHJqOrqeonEzfCGCGe53qb+
7QIGW7rC5A5p8hYD3p+PGFTVQhhMtKIYosBVH8E+aUfdUmX1gk7aHJp/QeRSf2ts7fmJsImb6AeA
IKOJKPonCwZFFlkboQzhlDHxFJ/HXJBJggWG8yC4LqqrumGfZAEqX1lHQciCw5Boq0mZPokYQCXU
DTMYy57uAgZMVhbIryPv5AoaiEXHRpCzG1JwVRmN2DshwHbJCgGJFAco7mO49CRshJCaiTp0LVS0
SEhBnbnp0VEAPKHVWurX02k6xgGXmVpTcxY6JrKCH9jETXBz904KBHJK9hAQE2jMgXn0AMRXbpkF
Ek1iuJBAYFRXLXZ9kgKSB9JJRZAH2FhBbl6/Zcc44j4xSEwhv9BseJ/eH4oiaRfJBGxHspDZZZUH
JPzvcymgyAYjvRiy9hcyo19JVSATTWLn13UBAST9fRAeiWkw568PDg3KNuiCwJ5UV+8y68xwkkdi
qVTVoRLE4tVCgNk73wVyykzDFGnGBpHZP4MAcZKsQgSZTPHIcQmc6m/dVYjOUNhM2BgbD7F/siC6
C2XNgo2frAJOZq5EdXUVYuUbCQBsE1r2zkV6bi7HP0ap860NjU0gdfjcLoDAsKjBgNdpTkz/jGPN
MyqbVwODDiKJ1vr6ausFcikgmKnPu32tvjccA3K7QF6NlCHMcI0j1NELVNuIFlTSDEyfrK6fdxd/
wpv41gEyZkjoQ9X74a3y51pEvvcHj00BT39vGh6qlmq6Glp/KFpB6nuvvrHh/taCxFel1bMfH0ut
1X2af9684NNbt+71+FaP//PCW2XL7H5TVj+UzWPWTBL/CZZfluHyvB2cM8j5++tJ/v2v1nOeacS/
WTjfdtYVSG/pdTPvFEfthSv0tPzC22WUL/PHRxSfEWJ0FLLsyuNl4H2Ns8hrPXXd/SO9dhzE2fIh
fnxK8dQ1elR+5Sha3e88mjhbi1ftCrKLT1YBg4qz1fnKNeBRemWIbjLvfvcq/voKHo0i/NLe9hpF
JnuXGbvuPbS+ZwPQkl15voqzdfuRG9CT7MrfHw39TSP92lG/fFhuWgKoMhDyBVTIZRB49C23TySu
EhZDdi8uowdv2dEiNchSeuX40BaLGp8hu+z1U91UQx6kF2aB4n5bPu5ppfbqjizZpV/HBRNgu9tc
F+ll175ZelFLewBKeAnzcrOEUmwZPZxvR1NRl3/kPF/ew5O22u1aMg1fiqhZS6/v3W+89bLdXVnX
g+WXxhbkXdqYGm0iv3aee/yXJN7jHlQeVF29fInV4yLrLi1KgtJLx9GuI9wNMFN25TerL9my4z01
aDf5pffLtt0iHydKg/ILH15dLMMk33hts9509LzE+lerLF+1NFXTKvISi9+sjt59y4w1vVgvsfif
cbZ93ONKumuEgvTSFaPTeJnFWMqW2YHTSZQ6X+YG36eMkvQc3m689o7XpUnZp367DfBI2lGNVtf7
pJfOVutuA3tVQpNd+HYVRYwV3i87YQJzH0SJSnb5d5v4YfXqMn9i2+rah+zy7+MCarHnBLHp4HmZ
GzwVRLH8C/iDd+z+Ks9XLZdCrysCso9+tzq2o8omySy77ofdcvMoGEKnNGU82WU/rrIQy9ZauS4K
SK/sEdl0xFuvU82yS39aYneiNTNl289dZXClF/+7ycOSWvDTjyYbya79fabQH678XKbpG/r/af7p
kQ/kuX/WTq6Jv7gPVsvst/8CAAD//w==</cx:binary>
              </cx:geoCache>
            </cx:geography>
          </cx:layoutPr>
          <cx:valueColors>
            <cx:minColor>
              <a:srgbClr val="F0F4F6"/>
            </cx:minColor>
            <cx:midColor>
              <a:schemeClr val="accent5">
                <a:lumMod val="50000"/>
              </a:schemeClr>
            </cx:midColor>
            <cx:maxColor>
              <a:srgbClr val="385F7C"/>
            </cx:maxColor>
          </cx:valueColors>
        </cx:series>
      </cx:plotAreaRegion>
    </cx:plotArea>
    <cx:legend pos="b" align="ctr" overlay="0">
      <cx:spPr>
        <a:ln>
          <a:noFill/>
        </a:ln>
      </cx:spPr>
      <cx:txPr>
        <a:bodyPr vertOverflow="overflow" horzOverflow="overflow" wrap="square" lIns="0" tIns="0" rIns="0" bIns="0"/>
        <a:lstStyle/>
        <a:p>
          <a:pPr algn="ctr" rtl="0">
            <a:defRPr sz="1200" b="0" i="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GH" sz="1200">
            <a:solidFill>
              <a:schemeClr val="tx1">
                <a:lumMod val="65000"/>
                <a:lumOff val="35000"/>
              </a:schemeClr>
            </a:solidFill>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noFill/>
            <a:ln>
              <a:noFill/>
            </a:ln>
          </cx:spPr>
        </cx:plotSurface>
        <cx:series layoutId="regionMap" uniqueId="{1A38C718-DD8A-45ED-8C5A-0941F1E74030}">
          <cx:tx>
            <cx:txData>
              <cx:f>_xlchart.v5.10</cx:f>
              <cx:v>SALES</cx:v>
            </cx:txData>
          </cx:tx>
          <cx:spPr>
            <a:solidFill>
              <a:schemeClr val="bg2"/>
            </a:solidFill>
          </cx:spPr>
          <cx:dataId val="0"/>
          <cx:layoutPr>
            <cx:geography cultureLanguage="en-US" cultureRegion="GH" attribution="Powered by Bing">
              <cx:geoCache provider="{E9337A44-BEBE-4D9F-B70C-5C5E7DAFC167}">
                <cx:binary>1H1pc9tGtvZfcfnzC6V3oKcmtyogRW2WbEu2k/gLipYU7Gjs26+/D0TKkRBqmRrdt4qaqbAssonT
/fTZnnO69e/r/l/Xye26fNenSVb967r/9X1Q1/m/fvmlug5u03V1kIbXpanMX/XBtUl/MX/9FV7f
/nJTrrsw839hhIpfroN1Wd/27//n3/g2/9Z8MNfrOjTZ5+a2HC5vqyapq2fe2/nWu/VNGmbLsKrL
8Lqmv77/ctuvq/fvbrM6rIcvQ3776/tHH3n/7pf5F/3joe8SyFU3NxjL6YFQ3BEOpeTuh75/l5jM
375taX3AOWfatpm++3Hun32xTjH+RXHuhFnf3JS3VYXJ3L3+HPZIcvz2j/fvrk2T1dNy+Vi5X99/
zcL69ubdVb2ubzHtsDKLzQcWZhL/69XdfH95vOD/8+/ZL7ACs988wGS+XC+99Q9I7tF5Z/56tzBJ
k/4I1/er9AYIOQeaCNuhXDyGxrYPCFVMA74NNHh/sy020PynYu1Gave3zIBbLvYSuK/1OrhfszcA
CqrCuG0rJjeqxB7jRSk9ULbDGFPq/qkbpF6SYzcym1EzJL5+2UskvtxmGQzE7e39wrwBHPLAETBa
xHF2wuGoAy44E0qozfv8/tn3lu0VIu1G5sFsZvB8udhLeH5L1j/W6VsaNXZgKyWgC/ZjJQEqjiDw
OGTrb/RjVF4hyW5Mfg6cIfLbh/1EpAxHk70lIuKAac6YQ8XGm8yAubNeSkit5EZfECg89Da/vSzQ
E8DcD5wD830vgVneJutuXb6lIdMHhDhwK1xukIFKPAzRbIkQzlGC020cIB8j8xqJdkPz98gZNsvD
vcQGwZkp1zfmfn3ewMkgONOOlESwjROBVjzEhhJ5IBG8cTXzLq8RZTcof4+cgbL4uJegXJiyDt4t
1qVJwjc1aFh5rrktOdlp0Gx9QB3JHaW2/n8WlL1ert04zcfP0LrYz5B5sU7Cv0yZvWmGYx8wKZTS
VO9WIqoPFLWZTQXdQHmvwJtI7XUy7Ubp4dgZQovf9lKffivjdVa9KUcgDuBZHMLp1gGBA3ho5DQ7
EFxTKeU20p45oNdItBudv0fOsPntci+xWRjkFNd1eN3U91v4v/dBgh5IW1LJ+TbvnPkgG7E2dxDY
sRkur5RmNzSPBs/QWexnErpCdBDerN8OGeYcSC0lJeKJFBSK49hcMIfvTEFfIdBucH4OnAGz2s9k
5zycUnFTvyE0Ysr+NYXd2kIzUxotDqgGLMiI7vfDxtm8SpbdqDwYOsPlfD9pgaNbU/pvGgmwAyVg
qoDMzkjA4QdCCG4LskVtFlW/QqDd0PwcOAPm6Le99DOfQKdVQ9Ku3zROEwRxAMK07doTMtMZENIO
dxzUCrYR96xW8FqpdkP0ePQMp0/7idPJzTp4w2xUiAPUAojN7uPkWaBGqThQEjmRQ2ahwIuC7MZk
O2wGxslyL5XmJEECasLq3t6/QWRGDiiwEOAHNnnLDA8HKahwFJfO38zOQ07tNRI9AczPucyx2c8I
4CS7Cddvyg7oA6Sb2tZbZPSMVAMPjYjZIUpvg2pxvy02YcArBHoCmfuZzIHZzxDgxHTr+5V5A4Vh
B8QWStpC/AyIH2Wa/GCCQyGi3rw/42xekuYJSO7mMMdjPz3K2Vvn/g5SFIHiP5z63c/M52sHLodA
Ue7JaZQNHpqwl+XZjcn9uBkqZ1d76VrOsCTNdTzcr81/ryncPpDMnsqXc58iYbgAlhBq43Nmhus1
ojwByc9JzEH5cy9B+WCasHpjr0IOtIPURaktUTnzKpoigqZoAXC2bmcGzqtE2o3Og6EzeD7spyU7
X4fZ7dspjJBI+FFylg8M1UPXovQBo4oK+J+devOiOLth2Q6bQXJ+uJcac1Sus5t3X0DEJC8B83/Y
bnW+LocEgrwkwuOesGeb4FDFm6ypnKmrrQ5sQlEW19s9MaMbXiPJU9vifg7znbHcy51xcdu9O16n
eRWEb1n6FvxAORLG9J7aBgAPldaeqG9UxhHFb6KTGVn3arF2ozQbPoPq4ngvoTpfV9X6Omiq27p+
y1yXHaBEB2rO3nLZs0ARUCki0dnjzCLEV8uzG6PZ8BlG53vq+8LrIPTX2duZOFBDDrDR6CPdTUVI
FIkI8uEpK55+ZpnV+SskegKgnyPn2Jzsp/6EVTX9P8/Dt4OHo0bH0OTzkwiaeSIwRei7Ymgz2faZ
/AOeVwn1FEIPBs9B2s+E6xwImaZ8S4SQ6CobFW6xLU3MununIrhto89HbruwdiD0kkRPw7MZOcdm
Pxt+fg+ra5NV4dtaN8W1llzd03mP4wSoD3JllGL17kLrq0Tajc6DoTN4ft9T+2ay+k2pVoFzCuhN
oBplu7ufWRBHCYybkJSp6YTDQ/Lo/GVRdoPyc+AMkvMve+lyLm5/lOsqXt+vzn9PH009I+inmk4r
/AycHwbWOPYDHmM687Mt9s3qRa+RaDc0f4+cYXOxnznxxW27fsueEY5TJFIJ8BS7a0aUKoQC6Fu0
t+caEGc/1JmX5XkKl8085qh821ON6d6d3pbV7XC/Om+gM6jmcWSaku+OAGwUVxHA4SjgJoLWM2s2
ZZMvy/QUOn+PnSN0urcInd/24fUb1r+5OBAMRo0+ONLz0KpRog4ocQCi8w+t6d69LM3T2NyPnWNz
vrfY/GnK+A11hx2ARWNiOtizKwbAGQZkNwRUz5Zpm0XPk+68JNHT6GxGzrH5cy+x+RiEb6gxaOkR
aNxFK9y2vDeLzRzkpQTsm8Pujdr9ntiUwV+SZjcmm1EzPD7uJ532MU7Qw/OmZ+NwcMHhqN9tOw/m
bVYapT8YMUJssDV3PzNMXiHRE7j8HDnH5mw/daW89c1bppkcVszBWSu+ra3qx2kmZeQATfCU8pl7
+fiiIE8Ash03h2M/u98vA5zZf3dSvW3xBqmMYg6S+y3vomcF8alGQBErT2cX735g4h4GzK+VajdC
j0fPcLrcTwbgyjT/NyeyoD4EtTR2f9fE3NlM/aVo7cVR0w1SsyDg9XLtxmo+fobW1WIvjdxmVst1
/Lb98QilOaIxlNc2WMyPAxNywDhBo7aapTmvlec5jO5nM0douZcIfbstUzBZ92bnDTJRgTY5yfC/
mQbhqI9STGmFHOfuZ0bbvEKS3bD8HDhD5NuX/UQkxLmFN+2Nn/qxKHM0agSblZ97IedgapwX/L7+
NkfmFRI9Ac3PkXNsfttLbH5fo4kg8+s3DdxspDmUS9t5wprdBW44enJf3ZnFb6+TaTc+D8fOEPp9
TxG6rep3335uu00w9d9bNQ4VEQwYoePm7mfmchyCU8DcBnuz5d9mgdzvrxXrCZweD59DtZ886O+D
wfVh/hu6HhA5aA5g6omzwCgaIAWi4K/Jlr++f/aGMHiFQE/Acz+TOTD7QeNcP3ut2UMVevTJ//Q2
Nw1qAGYOR+R20mwo66BXG0Xq+4a2Wew2u23tabF2YzQb/mgm/5+ucnu67/BnA+ByXa8P767Pe3DT
2/Pv3k0XN/rNhm7zyI3pezTb+01/cvPreyawyj8v5Zu+4lH+OVu0zZr/HHe7rupf31tKHWibc5yM
AHo4tkqQGnUwWL++R9PVFHmA0gZNh1sUHAQe2XSlxq/vkflyXD4CuLeHv6spscMQtDtyhoKspqgB
alys8PPKwk8mGUCZ/FyN7b/fZU36yYRZXeHGQJjdfPOxScrpieA9NEwzsxXoEQYB8uv1JcwOPk3/
X0KjMqNdLG8d6tWNPmS5yK1kQfI2HL9J2eTxWlilrFZZMVSDWNasl0G/sIxHfvhZKTJrYVgf26c6
kEOzjLWVFcedTpPqPJFpbg2uiXuZ/5BxHfVmibVKIr7wbVvQW7s3Q3OZBL2drB1H5t41T3mhLnwV
Fjl3UxpWEEXkskw/BpTUXbb0E1nGuWs6maYfqD0UENlPUzqcsZRn0V9W1RqMeQDpjkWC63q0Rigb
MaFR15vOT2K5sCMerpFN07AJVODcep3JouK4TkUijhPRVqV9PFZ+HXaLMcxx90ZCvJB5q+cfT9Gc
8vj5aE2ZTgtwJAY4PaOn9x9gNEbcqRRR4U1EYx6Hi9pwyQNXa2YV0arsO7+sl2VQ+yJwLWGNefap
E3yo2IKKUXX8tFZBVsWuMQUv6QXImALvPS8ktvBDGW00CXCchkMIjSLAtC0fy9gHocWCkls3yipb
wpb+aPt2sUocUXPiZmWt1PdYEq8G6/JT3V7GZnqu0Djigmv7GI58z5+bN4OxjcWdG3/AnlNuS/Kk
+iMQHst8t4vCJvyYebgstHaDwOByP/f5x4MznE3bxu2bOPWsBWh26NDjafuyDS3SB/zGshO74AvZ
ESXXUCSrPjFjaCcXoUUNPedxMTRXcUXIGLgIoRMsyvOSIAV5LIlkCIFBYE6tZsgtZwDUKiTREGfe
tafHTJZHpshTbzi0vLTSw9HglD1Qef6R/5w86ti4gQ99VXfUEHk8+cAOvCQaSHkjVActXw1UjTRe
ybJrKnEYOp5Q38sGq164lUIzw3dDhrbUh21oSN69sBHozJLZROKmTWgJFBXnaHGu6bE0vh4jqfPa
+oEuZzu1jvs6mBQi7U2Ae0mbLhKjWIRpNbDc7TXjkEqGJGiu0lxFwyKzaJld6TRIy2xZSFOyy7QN
s+rH82s22dMH9tZGIoPTPQQdM7j1A9oysyVN5zklKcb+R1/WJTYBaWKCxSJ9x6Xl9iVvraucxcWk
NHVnppcw95v/dLHQiICjehwnJB3BBUzb48VyClbVQ6XMjyyRFmx4BOs1dm47kHqQZ9yTsPuV3+C2
mjSSGSxqmacllceOFVlt7BYBrO1k+YcAo7JwTNoz0ce5SV8wK3S+x8AmIitn09WbQFhNB6Ye2r6e
d1mus5H/qDymrPQwqqs8aT4VYx3m2aIrhgLCWXba4j0zFKkZlk48DtZVl+feSaXLJPIX6TiS4SwN
iqz23EwT5dWLRhIruVSp9sd0wbjuYRKZFQ00OyWjTvCtceh1RfGCmlIko482AIJvnMPXiiCjxXFu
ObMY2JlZ0WZt/t2WRkZykRN0JRSu5zValws62hZMuzdsrGfSCLzX3JmTnHoO3uq7mqti1XT8ZYUW
cyuOLi4EI1JTylAq+ce2iPu4Sr3A5N/zElpUHPIqdsQ5owEfznjVDFgO7bXJ+C0N+mGw3SYouyJY
wOB36tIvRs86LlMRjd9Kq6nUhROqKUDoRZsm+ihu5ASPqbjGFhpaW7aXeRnF47cxUXEXuyRJJqcV
YvUBkMl0gF/yAVcQfnPSvgd2XEYDXqqR+LWzzGXFq5Wymwm7uPdDBBjF3eO141tD5zqmj/AVBsED
JA+tbIoN6lym8bqvVFbkK92WtL0S3Iz1h7KMvdJNkrRk6cLyvbQ/9gWc65+Zk3niW0taik1mOz7i
jLbIDEKU523D3IRj9W3UBRHjC1uhUWW2Nbg3ZD7VefJ9pGlV+m7PiJ1Xbmcik5zwpuhgKJ5/4twa
semsLqPw2+i60P94YlWSKuhS3v3Jx2bajF0jJvPHKjuG81ZtIdV3L+IjNmHHmrryz20YFuzT58WY
7jJ6pBQc94kyG44LDThMIEp+rOUjb5vC0ir9loosrblbm0Zat6YIClijIK4yelh6tgk/tZXjw+Lk
gTT+oe/UrDUuDlR2SevWzC/OEs9RVz0vE2dwq46q9rJ2LBIuCjn25gybiARuRIQX5q7wFJ2UPSDY
h6YNEF2ceFFcT5rfosPr43T/aT64PC553x49P+O5XXNwlIJMdwmzu+sFkRM8nnGsvCDrisr+2jYZ
QRAry5IhiG3Had8KBFniOKBdj23bx5rjxa/vIltL5dOW5k3UMe/K69W0pVkRjml5HOaMTyayGCtC
V0XS5lV4NMohhtZ5XTrF1HRwUminTQuo0fNTYjPL5iACcuA2YdWAIKpEM1Nd8CwdTZSxr04dcOhW
nfuTALXFm0l17/QYbSQDZPOCflJx2MrJpJR5AUdjBRRhPO3l9CtTxGipTHRki+OwS6Z1KIbOqAuv
6PGpMODTFAc/VdUqtuySr3KnbHm1GOAvMN0XpjbLADA1jRu8GYWqEIk7IWZTq/uY2kljhq/cbydL
VZcFttaYjKG5rokTs8wdalOM32yWTf4xtQwFIL1KE384HFNFa3+ludV0XxGllliOzo44dh9vR1iT
LLQ0tpjoknyybg3M5nHI8g5mrUZEggeGtUfwL+RYFEuR+gJLUdd2YNULmTQRVCLQLMK/NuszmcKp
I/W5SHumow7CBURXNpMO0k7yj1CXdqNQgyqsL21qG1iHTXjLAqdv4wUyy8DPXjILM3c0PVLg8Bgj
cEsoAc8TLxIZhJB5b3+pGoodUg84FBUewfdjfUSUCyMPvc4yfeWqhA9Y8KT1MoQsMHpYpa7sk/qT
rSrHi1ZeLRwYAyhke1mi7QweILWg+HWfwVFtYfOLLsNS9omTQVegRRMcftxPQFhRSPGih0i3l8Sk
BpLIOIZvilU95anPr7bQ/LFNxOQnJwAjgYtfEAXNMxuEg5Xlk374EgSDSjy3bmKeL7yOeNGFYqMo
h8MiKFXuuJoxHQVuWRZhcUqShvfSzRHtWGeln1ri3EsDmy+KzvT+NQkTctx5jVDL2M5MciOiZCwv
U6NS/LWEkSbdR9FS0o9LJ8q0zBcF4seqWXWddNqLsgi83rgqJSn9wElJ9TLLSk0XUV83peea3inG
yA2ythT9wu/jFsrQjmU3JG5vyUhEK81oI65UUg/CX5CeNl1zlOsuoB7iN8+vT+rARmS2sMekG0ek
tdiK+UkfD17jFlUeqVWrbZ8vZWr145dOGRZ+a0Tie0suakYXA/JTM7jKryu91CHr4oUvE/8Yx9/q
ZWFIN555OiPkiHY0YCvfqpyAHOaxScXXQbZ+bH3VhvT9l77ueX1uVXVmXcJj2M2NLJUqv45262fG
zY2hQfVZ92MSH3kh2I3VaISTGlfHhrNgYZdjVTg/aBo52U3ActP2S2yVobjVTd11ZBEnXUWj49rL
CukskQfIRB15qRWrC01tK46PWpWzKgluAyfjNVa5p9wpxfnITYstPdKyyoPPOFZRK3KYZSLP7ZNG
e2GQfMhkHxf+YdT6ddd+6KTnh+HKE2nXyEsvY7w4UZEIfGeFvaJ47ObtSODWk8oJO+36llBFvQy8
coyGk86vrCA86sIU3mYR607AwLZ52Mg/jNUoWZ1gc3SWt+g4whZ60eSIurRbD9zp1ceE2TZe6s0v
rTBM8B661gQeN5pKFD/GptCsPY1UmfvsmPaWZduLIZJxYx/1WUTTxJWinfwikVaI6fhcwqmse2/A
iZJFJAMt/Y9Dl3e5/SnyrKhLVnbMLZafxM2gnfajirgMtVtoPXESdlnLIP5m+55njWdCJBVWyhoK
mOxzWO0ikGcW90o7+UDDIqTJpyjqIsc77CIYAv/QhGg0LhcwWZNIQ2slhB0SPxjCYknyOCqdZVYT
S2Z/MJ9leF4aJVp/bXynKBYl8mCsLHOaEB5kQVUwfQnkR8jiFoWeYnoRVJj9Ig9oxtUqCrppxXhS
x3gxVVBbV1lqTyZftLXv2Avd1QYbYMwQbxzVukzxuXwz1aCWI5aviGz8wJdUHp6WBBRJZkbDCR6a
i4DJ32nST+ucCR2BS7IaqwQUVhY7gbgtCiQ0xaoMQ0Rai86hg10sQieQjQUERVM03+ooa8IM62UF
ozkKmlHQ/tyJ7EnkEEjn45XCzsITON4qfnhWP20wVVoT8nKw8LtEp9PStC3FR+FinaKDDC3OImGO
2/mUJefFDxBuAX4n+9yoq1gKT/OF6DQIIDe3A4q12O4eb6w0vtKOrGlyXj3cLUaDXVMutjGulqOc
/sUrGZ9zEpbW1Xaprc3H7xd58zkwBSw+t1meQgCaWUH7Iw5VHpZHYcYHTLpgI/5Ijesz7ofkCgm4
b7QrN0CZsa2x1ZB5N6V/klE9eNKlcdAO6qNOG4NValma4CMsB8dWLkBzeK12YzJMQa+fSoZfJrZP
ih96s4ImhwbBrm3mFLAQOdoiN5nq6PHQOFN2TjbQbraH8uIE66NEiBGH0k6myfdqCLBPfVpOjwlE
oPDLwRTEDr6OViia+hQz5dPybjbS2AwNpMQkp2+hYVlhHCobHLurqoNJ9M2CWmM34h8m4UbYhxaR
WRydjCgj9vmRT8BokcMubAx0Wkf+xHxUHfANW5sVP6jyM2yfSiJixeTLFsHuxwpc9vSFrJ1eROs7
eEkyMqlDOspJ/qxRftB9bRI/8cNV5jv43qDg1OfHcTXYtD7jm70SRpWu7aPtkuuoLSFOH/IYXwIP
YPDwKA9j+PmWFqMiXxG5RU67zAurzsIFqXwPD5dRgBuXl3WSg9tMQBiAsgFMQXNiG39S5wb+Fb+L
h0ZFzipGsNgPp1xXSW+Oa2FImi4SLZK0db3KB21INW3w+aAuKrwgaJTJRVo0+O+QdiDRJOkoqKIC
XH5y0ca1B1KgKyM8nQa+ab+pzOuRBXjDOO39TsOUR6ueFwwWximDpHEOkxQuNj3srczT1YnUcFX9
n0T1EeyNnxgTx8dbOjmqk6CMVk2QIN+9HkSFJvHjPAqwHEf8TmcK4yRYsMrrYm/8xgPHdPXXgndB
p47rzdR77VdYIp73Y4wZxX5XyUM1EgorV5diWj7a59OuAV81bfENf+pUcYcVoA2b5luHIcNLiQ2O
zxchqFDLDZMRvDKa1uJMu6AsBpWe85yW+IQa6JTDtrKpsK82JMtIZVJ6qyYrSo+d+F4x4jvGDfXm
IS0Ha1hIEYMv9WiM1DdNkTtlizoBMSHP0lhN+lSLLgQJ78dODVPJlTfA51UDLE20QmY7LV4T8okq
YI0Tg4uPkszHcNwpgVn+2SE886zTzqvKMrzQPJpIStPA3Z3bscdV/VmAxhq8w96LrCFYqS6XSbUE
dYFmLtcGCaS+C59TpORwhhrgj5YYMSuVpZPbSKU3bbeSlRSbb7OSUW3ARPOQhLw97UaZevbneGw6
66pEMA1WYcwLrb7D3mJ/WV0+YgUiQaY5eHlmwfgjvZxYqiREvIrIWqemy78rPQQF/SH6RCUXShX5
4K0EM1Vt/dWFNOq9Q3g0nki3SsB/WwsnoXb5DYxkF9dfiF9Evr/w5MCD/rKzEdsUN7oN24L9WXkO
qImjMm7aVC8sNlbxt1E0TBi3gXfokexTahBT2rbUDW2wy9NIs0WLX1p269odKlP9cjuTDZZFHoEg
XqCdfpimdWdukqSd7J8e/MmaIPqflDes0ukT2R1770Vs+h1uCbbwicEfpg96HOxEeojMfapthImX
Q5V9RIvexVgPND+MoKiTVup0eme7ZRFTwhJp9OzhrQ0fPplTy1+U/VBy26WsJM6nJrD9zrgdycCe
i2H0NDvpimzSct8aJzqwQp0ILwJhWX1SjAT7WxDUHy7AW06SxyEqjd+3D5KlhksrsFWsq03GloXR
aMdulOWN+BxvDFa8IRoLHCvEbrCSYiIhq1KVQixTPy2M5waFaqyrJpQ55lx3qOK1pyHzpzAuED2e
YbfJJFZzp3CWieFHXE82k5LnbCozLrOun/ak7Y0sDl0ZVFmaHgZRAm1cbRYEPPBk9GI0ceN7RUWt
6CxgPLGdF4ivWUIPLgf2ATuYwbgp+g9aOahRQwBfza4CYxSktn2/hzZ0Bma2sMSkQUkL4iVw27CY
ZH8hu3uc202Px21GOCMwXTCN58/o97LpjdVVNqiqjWmMwAFDCuQB0KTnHzUj0KFNBO0EeBYoK/xX
TWn9g+Jh58SF4yGUvN8jJO6NWRS5J8RH3Dgx7W6tggnUJoyAsBGlAGRb4/i8LI8pBDSVYP84uOvc
USiHY5+zx7J4LWegbyP/CqeNYcZCSad4vKpwzfbhaBA6v7TO/3wgupFAHChHM5CL070YDycfByWh
SUq8y6LP4Cj8GB7/xB5imLmtZj8/QTrRdn+Xd6YZgrsl0kY3IcM9h3Mis08i4Wd1oi63FqMLxom0
HxQfpFz1onLaVZR7Y/m56fgQLdMmm+w5L2EarGoU8EcvSPR4p0MipFLTtWXc1hKNPfOy2KCJ1dkD
Ly6TjVJ1iOug430Te7DrodOGgCAQzQDN1BzOAaGFFUyCRDkvmnHRFsjsVzLlRhK3h2kZFjD1BT4O
/fDoRThw5JOLblPPyjdm9vlJzGEEcPizUgS3f4GSpfhrOjMYVVDUrLfai6CKJ8s03gVCeSWz5vNg
OY3Avamvp7okCiA4b4A/23fXhjP9iZHHz7N7RCO4Ba652Lq93g+KyCUGltW4ZYXLX/6z54Hynw45
QDFwMEj8wxzwzgMT3YbRxcYtIUie0LDjBHqRVcXkMJ5/4GRfHmxTbAiUn6YbL9CPIsBozvjMbhj7
sBxlfGxnVhnLhZ2mNv+uSijMSyr4z0cBOgcVPPw9NySZc1OXeiwdGl/5x5tQpJVgR7CPWJHi5flZ
zWpr+HZ0aGgU46d7IvCnruYFlIzUgRf1ub4mEWjqrVoxFU+hYsnTKZ3snDZLFyQVJbNdu0xQ6XAT
hKLVouZZb3+NOgIj+IJcmxaRBwsODhNLoNG4Q3DJkoNTSI93FCGoF9lhUB2VIyNBdchkP3VJNLgz
pjF/VWOGQvvCVD44X+2m3ogs1q2lX9P0DFEEWoP8hYlzMFIfmAAnQj6lnvR9czwgZpHmwuvDmPbD
wmMohf1ZFUWK9KyMmMiKwzRpRlYviCGqSpdOKUEBfuA9NVx90ps6Y6yQJPGPXpbSoj+P/aDVaOVp
WhVScDURWkiOkQDZYbpMrCjHFtkGTraFYYEbb8IdZA4OnJi6M6+bFCi+W80uSBlcClLWKTzpWmYh
0DbMQf6SsQbLjdBPNfYFr5IpyLQ2MVeOoi1wI7lDx9CNqzqlo5tVpc7CpcrtJGrceyqmgDsP3G2A
dRfZoeLXYX3HwpmCC7towXgh54kVO8wdg0emMbKd9pSgihL6i6RPccvOEeoMSZR85QjHNb9QQ61F
fhIpYk0kRdWW4H+HTX6ou6HixTKImxR0MJghG9UPNwpqx3gLqzF+R1K3wH3rkn3Shc7t7tAvYHSK
L3LQ7Wi+oA4yVdoQmxKmLkxdobjxJczBgvtL7HO0OayCsqA0WqQUwfBfA1LiyjmVqu/Ydyr7oXYu
QOd5+edM6yhmh1FWWQQZOu637OsFWsxQ4z/MzABsl13PxnJwiQXGpF0gZKTSWQxi8LoPsa7qanRR
Ju9CZPnaKVGvDQNSHQmS1N0PRdJ4CJaeQCKQuamdpeUfGRghq3GdTSlwayML1Ol99cFJ4U+iVRYk
ijWI7u/iPxDyU/w6ZPXkDDdbI7mLUjM7iZFKlhqdOrnblkSlFBbWNzbEYHHM3C62Wv0FzsU4V3mm
rWSVhtKXbuD73ZUcQhkth7DzjkLR8uOQ8PEkLfv2GAyLubRLxRa9lsGFHdYJAZfdll88bOpj4UtT
udC+4EdU5skfPgnNstfUQ46c8PoISTioLpbJMycn300Mdcy6XH1QXZgvbREEQJdY5Sqye3EYmbD5
OEZJTQ6RLdSHzkB4gh2r0usgb64YFflZKSz/LG2r+lBWoMbRIOMft6bRy0B3zmc7Dwr0G+ThTVgV
3jIJct8dRJYtpaeLU2dk6WrwMlSns1wKfLUzZAsRZfaqw1eeOMgTf5S9aY7Qj+HdFDpOjuKeJqM7
6EiugoiYq1ygZuAmoI4q1+LG/9r1o7NOrEyCYmjSL53DwkPCanIqiA5C11gW/yBAH67KusLf94hs
7zNIzRB9VDXXNxQlKORZNKeXLYuCcJUPmXVIq7S+rFoBIgSmYFkNfXPKq3KIXZl2zsKztRc4f4Qt
08MJOiOa64qJiB6aJq+RfoVpMLgtjjPfOrW006XlWeVpqtEmsRS0jj73LY+Rv6XmTFY1LRaeE5g1
iar8Q4/La84qRacd6smptuu33WmPMPuc2HF7AlbeOg1jHrClA+t3Q7uOZ+44OjRAOp9bf3Z50d0W
ltUvWEjHdVVFhqHTIUdb4zhW2LlBkicuOrnKZpmPXdyfqsYvfJfQPLwYqA1DjFRv0XY84ac4qJDk
p2VflCuWN+xMJmnv/i9zX9YkJ662+Yv4AolFEDExF0BmVmZl7YurfKMoLy0QmxBICH79PNj99dcu
97GjZ24mzrnobruKTcv7PpuAQD9H8/LZN5xfhwTTx45mKgB5+lUmXGtZES19sAvZ1F2rMtSvi3Ko
FX3Q7mLMTA1tRp2zSkQq80wQvoEx77OANt2hB4CRUb+d7hzp6ruxXKY6r6dJPA3lMrxop1qaDc64
nBOtZCZxf2CCE2CBmHiuXPPQJfNtSseyybvVyjfZqjUD+dQ+I3J/yJSy5C4FuXFUVCe50T4/hVUX
vo1J7M4SPIQFHRIaXJRPGTfegE7ZiHOceH2VNaRO37SHYqtIUDfKLJLjcBvPcb3HQh/HeVqt7GIi
fXkL/RA0J3Opn2jfqYM1jhyksvGbDvjTjP79aR3aNTkMKlwyObTi64IXcignZswO5enyMOk04pkO
BzDJtZgyv7T2GKe1Ogyoj0km2Jg+pd2UfgqcCh6l5v0nu9r1q8EALyzr6VUIwcPBx05RDG6YHlD3
elk0d/bs6bH+uPp9dwgawqEYA8x9XS5+iL3MYUXyZZUAp4rq+AIJzzxXYycPdWT0EzRnAe7f0hPx
u2Av42B8BV443KZdqS/I0qQPbavXSzHKYecYlly052113YX+dNImnG+7ketHnSTh56C2WBzosNjr
cGkxeYC13ZBgMpdOs/lYzS7ogScl3YHHbVigbYfyE3BMelw9zc+cl/pupUn5lADSeR3WZHrEhi8u
MNnY1Uq8CdqquNo3KY/OYN5JkE9t2hTJunQBxrvu9qvw+tsa1MCtcL0acihW/L2e5fCqJhMKNP3r
etZpaC4hoKqBWrT9owjWtMWa3bpdwOrkgoCLzK1aw5vEigCMgfa+eJxCG3deonCt0nxpHWrwghlA
7cm5jgLLpp2P3ItmyppU8fPsKXEL9Ke59sKle24m/YafEQCgK/I8tqhgpGHy2qUSstBIkeqU9op+
NB43c96Us38FCZJ5qqi1w6GkTRDmaUnYZch7nexTv+3SU1smqgC/HK6ZBQ9fJOnaskyuU2qzNuDd
de9Bh3C5eAPDu479edLnIbUgoIjTZD524dDeBC707liXViqPnS77XZkqfS9FZdsdqOilvGyruq8K
T3cRlJqcE+/A7Diu90vSaVMettLDL9LB4YTMGm+tn0V9qoEV6CYnDJVLHrWG2yugOHLMA0PE48zW
fsl7v4nPkBFyUswEJeLlBIBgeo4qdKUa64hWUxSjcBId5E4XdorZKaLO7+TjGiyc2mxxg5+aE8Vi
5x+TEEzFYWiWThelHSPzkHqillAGiSbVmfa4aOrcC1P3UAVQ82S0DJu7fiHeepjRAMvcZwP1z3Mq
XZdTDX7hijVYTgsI99aiB+J2knSqchwnWJ8mb3GjvGkWL07XAK+/811bAD9q6009pmjU3kxTKJOp
WGIZNxTA/9hjPiSgXXNDFtruQmKa8lyXYI2ztgP8nK+TG7osaBcQUszI+qKrwqjfiTmar+oK8G0h
XeUuAhGSpIgTv2SA6qQmx1poBZrURGzJ6AxWPp7odO1FqWN5K3k4ZiysA0CEwBKfifL0F5uiNAm0
Wuih7zkJdsKW1NAcJVzp9Tk0A5DIzRkr4/vFC3uGwswkS9XkWEkn/IXe9yok8GARGpJ4V6pGZZEY
iEt3dcsIK3eKuj6KrohnY/MEkrnlF3JIwjdh7cd1LcWTKNVHkapIZmgT2ocZmpMdT7g++Ng8fCwS
sQYtx9bLZqHNtQ4qs7elTnM1qFVlDPJRlbVt1D7orokLreMlM0kVYn21U/t5Enzds74BvSgcvwLz
mfg5ceM8FCs2m/A2HcvggUHYpIvKAoPCeMCAyaDTm7+QXtV3aujGZDcyJs5j3/UPZhgnsTNOWH4E
mi1Y5rUuPba9HAraDc2+Hnj00NU+2aVT2V/WPPKuaO3CS6pApvZiBKmeoi0qKOU4Xskwc1gdpU0G
Q27TFn5qh3GnSNxfQ9c4T0elZ56l4+y7fKiFzMN4tCpLScuhbYVQ0xzHGA+3WwC+P6wc589x8PHD
QYL3KzQm5ZytS62vsctj86/iuikqifoCt8DvsetUe8PSODedKp9lJchHIIJuDzFReuj9tN0zxeSt
J32d2zYuX/yufWokFGoCjdueUS5f+5lOfRYFff8a+FyfDA24y7h2MskrgLYnrigeWvhA3itnczTh
wY1EW3KyM6k+12XAPtZckJeaBPPZglEuIjX0xwBQ9jNIAVpva5pTWSD94SrmPEDdisVxG4Th57De
mvSla7dd29HxU28Tr9o1cQWCFiB3Hx+7qKv6fNSVm8CBrT1ATDZLkgcN1pEs9ioZXTVqpJ/Kspzq
jDa4h0w2rEzyGr83ByyHMVEuKjq2saGsQAtvG41aqxanVvXTB4WurcxrFQT+R2y8s85SL5nthTfV
cTEp6V1UQ0SfNj3Dnqy2Nlm1eOomipz8ZGyisD2g89z3hkOl1fMoOINS1Jdqgdgl0wIlzdmNRn2q
6eSqfAT8abPKNu7zNC2YK5iU6NOMArr6xYJNsxmYQrvrpA1OAM8FpFyVW1HMQ876FSfWWb5vWTld
hgv6t8xDOTIVDR+8aOcNLbTI/mqj52lsmlemrMvrMRiLxvcG/9rMjDyA9UtSqJVQw2XxNJfNYUZR
dcLq1807N5SlRCmXovSEusTrr4NyJl5u+KYQXFo/UjutLJwPUMpgEOVh2ZYyrO1e2BgUT1vnskaR
pndbG2tzvgwVRU0ddHx96UbT1Te0J/NYoKvgNZa0NO5XlWtiRLMcPJ/KLryJTcCTrCZDFbw1kLN6
XW69xEm+B5FXO/+qLvu4T3N02y5UmVnLdjQ5w4YbLUUJXi1pMgOVebgUnV14W18uCQekk48GDZi6
bSxQqyBzkJ+nZq+NGqoXIeqwF8WMqQJ6By6hoNOZdUMfT3uBWq07mtJ47R/jMDob7UrostpuFw3g
AB+4T8EJHRQEXFNX6CX0fHkrjarxHUIPMi4jobAGN2Ehv8fjf229lPl4j6PsliJVpYteIh3R8uE7
iOypjQiZmnSDbCnhTl3CdLlJCqBj2PgZzMOVfREh9118gN57xXwbyJhWr0bNpVdmXQIAzkNny+Uc
Y4vAcjw9mxKAQnKeUFC6a1+m/hLmRoxmqA8rWDd8LWx5spefgsR0ti2iZjJLdxkYPN6aVT3UH2MO
MU7Q8odgilQV72IIaKvg5BszLD30UdWEGge9gxj2SiUS67E39UUNddQVhcgMpbtKsWIuaYUiKgkP
1cTaZVFAhy0Q3iqH1Ms0c7gTnQurZqdmKIFSYAddn5xXlH7JjntNzMHOWZ4qk5FwSMMdW9YgPICP
bJ9VYponD6qfKaM9THFZaDB3dlDBtF/8rkaVBVV+qetdH49pWVgN/YzLVjqAFF1js3xT/5/SSthb
gLj2Avh0de59HuQ1jc2VJMvS7lTQQkRmUxDUymseZOpmdhxQwrEs6NQSZq6b6+6gJx/qSpeouYNp
yNZf1OrzGktr2PIsxj5qiilYl/ux8maHAsFrdqhA0SFyqaLooONwagveJu6Tt3K3qIyIeSD3SV3V
UTHjTMzPGondOhulRWvQrZ5FN6IlKXcoJ/R4Ycqotl+E5zbEBRU17fK1LsUe/jHLvX1rSALREB3S
Lud+2Pe7cPHHCzL27LWxTQjAknEq+hyAYhWhQ2XLeN0msW8K6kdmeoEkA3KOTCuo/3JoTQaLAolQ
6J0Abl0LdN5tFg6ow68ciECXzUHNdqyOm5Mnxh4SexPB9AHNn2ohKaGLGYuki1JQZd5UHuCnwIdh
TnhZAM3fxaCaQeYGgNmnFUIKjA2e3hnP7/Gcq9rHRLnbBR+7CFOepDsJzcdXD6IqgIdSibOHZXj8
iOZyLu+YbPVWdQW0ukAFE590yKLqE5bIYDkENpT3/RzwK8g3xRehCd58Mq8OMjpugIysa+UyVfnz
U+IiczvrpsQjwF4H1pq1PVZT1sJEUUfpPQF8yIpU9vORALSoihmanQ9zEMLfGNVjeNGFUkI2qaOH
gYt+P9HOf4n1SLKUQR9Z6maFc2Bclwy+rOUaXk9aFdSMFmazpoNwP61sao8i1lDNjd0Kmargs8Pt
ps0m2UA3nKuOLXQP5gr8L45wrsZC2MBi6fXgw6iySTHIHgMxDigKumW8CowyZ0GJTQo/EortIdBQ
j7NjE9TQU4enhEqBfQx1mYisRQF+M3hbxTsmYdJlqKmXKotrnkImUw9VWWBDl1CEAS65XVsgANka
KxXvagvhXxH4bbVbB4efERFkfpCztKqwgfpjHstuR/no8nmKlleG1cJeuqnTqmgGm9yPkZ4MLhdF
AxqCCihQS/uroOH0MimbmkG+xJc204Snl55X0k9LU9Un56nxFhpCmUObRt/g1jEd+A+WLnkVjVLn
bA6rpTDzIses0cnEd6askgbrrw6aS0noEu2neI6ePV4qdw3kqg4ABvTtkjWqJa9VCiVG1kIgct1D
+eLv2BwtaApSCrfFwP2o3bVElo915PScY99EVYf6vCgDPSTbe4tv5mAGDB3Qnl8nTRu8DFB/iMya
5jUY2/5FT32fISED2COUnhBwCYsh3+hX4c2+QG3lvNxD5XGlDWxHI3CXj50w3lFLTOpCVzW7mczU
n6ZogAdFs/oMXIBdeNxPnoEYVwzDQMSfFF2DnQv98d7qhR5rHL9Lc2mTeavW/BaSng4QDxvH5GIM
yi4u1tRD4dRWqTt0EbXNPVy8VaEBbhUaQz3MhyAyO5Qv5LJb+hKaxZm8lHxxLymfSKZG48PSGdW7
Nmn4H5A7+0UYhdNTgnL/QEJOPvVQxr/4+JEo8xxeHKwIL/ACJVcO4oODshNmXWLeIJyebpXxF54l
U+8TzIP1NhVejYqGhO0B+4Hu0GaMQZEwiGbw0+d5oPqDBNhRJA6NygCv85q5kvTPXtKED7IMwjYP
geofleoIKDooQOsg+LwYoP96VyvgQfoTNqi6tQW4ebirXtDR9q261+HYh9HNJMsBq/yI81GhmdID
fNkQL7hFtgO4BhCh/U24QOKzHGYKDwktgt53U3n0TdnK9QiB+TI98crN0eeoC/v6QvZJO4U5D7U/
eUVio3DWWLxqqGzAtUG3IVNSxX4BQSBZUTYm/lLluo61745mcUAxs5i6aB+G3Zx8jLtuwqIyqLpx
DdaxqPSjAnUe9BOFt8RCQGgTQvsFmTTKeKi9Fni0MWkgrw8jSFRL1X/1B29hYwGiFQLC3ajmpS7B
pFaihopJCb6J2zEGB9AgQorVH+5skExoYarAxVo/98nMrSxAECfo+2Blqpy8lrIfTV+MM2L3yM5X
gRmHT6ZeLVky/BZVLfnchyjJslWVWBkuOOybMs2BWG9PEsbCT5tDKZxlwwfjiZVGWcWTGn8GjT6L
3aU3jWiYL+Uy8ibOnZ8mzO5/Tc/9yC6DNUTiQgzvLLKBQdKBk/mRm6uiBdYkUbEvda82b1P7XfjR
1mmDD+71oKV+Q1T+yMlvV4SNG2Tl5h0G5btFDPxdlgBwLpl8+CW+tt+vaL+raoKo06DmR1aGBiI4
6zsPlo9KghT8/sh/5ifcfmcev+cAfO4VnDWinN796//Gqclbqsf4v7af+utvfQtL+J9/e+xb/P+X
fwWHi+h+7P+Y3v+tH34vrv7n3W0ZCj/8y09xDv8hsOH+62ia6T/84Q9pDj+kjPyQ5gAjBcQDf2kB
fspzeH9Syrcoh+8/9GeYQ4KjIpDYwBAEsGmHopj+d5iDlyKPFfqWNNo8yGDVY2hx/kxzCJP/Qr0G
i/rmkEfIx0ZNg7XdAh22CEScU4pzfUOChgqr2r8JdCA/jq0Ip9ETWOJhqNvykEC940J/H1uD89w0
NCPWcRVidcmtaAFoaRjVD7z0u7iFHXJp+7OsiTc/Va4Lj04tpUKlCqjojVW2o6RYfLCjDlB9vC5g
nZB3IC8FhdcWrEiHtRrIjR4Pf3vTf47Jv2dRbHf2N44cB4fjhuGkZ35Co4i+v/NkNHMDx4G+DITv
7kkJ52g0y/QMmNa/nr0F3NyvLwgT0k+XhAaMMJzxu2UX/CRO8ODDVxtbexnH6bmfmCexBsI7DfUj
uiQI0QZvuCDaV6/pPACAzU1o4UhLY4M2PxLYgo6cVV6VrZbhrXQxN+uBTrG7TboK4o2+M+4W2xN5
bCiZ1kPIu/5SjgQdOCLOVgv1N9dxNmjQGtCzowHfixll56UXW3ffgL4uKFkRKABT2wjGA+hLlgIg
AbnPuGwLGDsIKNIYJpY8xhcZ8nYajdnz0VuulriijxrUAMQ5UGGCRGmrA9rfVO/WSZFrnUDQkjNR
LQIq7HQWO7LduQ/UVhdDKegjIV6F3pKNeDZon4dXr1zcrYhn3Iaj8A/sgoiqV2rnes3hxBnKG1e2
uKN0iYIjypzSPekhKsHfD2iVH8EUkvGSQgtOr9d6Zh7Mu0usXqAj78rTpEeMPzE2KySfQFPuUQnQ
Ry9oqPsAEYDzPgZ0wy6q0eF+4Ldz/REdCvTTFqzAmvPYw6UbZfGnytS4Oyo3sYdbB99m6Pplecst
ARsAoKItixAtTwVApIve5Cz4s1ni9NnC8y6ydCa6hcg4vitj6LdzfxzwkqolxFdA4zchYQKMkLoI
V8i3d3iPgckjgN4VTMbNMBcumob1YVl7fFZLI0ouBTzl5QnMCn1k28tJh6rG90NlcZliZyZF1Uwe
y1dr56tSzOudB/AZtOH/oNEDvCjTDmwqJmGTAh7LYCaZGUp42uzgTxJFEw0EXf0/otNrZPo3Iafo
6htC7VlGrmermtsgqMUbRWF9ASdpCFQRPfdbJ2r7AZpAmJrIiiEL8Mbd2tlOSV7KGW+8bXi9nKiL
I7eLepY+QyQ8Tne0Wr24iCzDsLGoXqscrqFY3/iTi4L9GAmva/LWQI0PbjqEPSEoJEYk/TxvbE9W
BSqc/1jkYtQr/rGVfyg3u/uq9ckjIP6m2jDe6G2kkI3kZZ+SR7gx8Hma2hvizOMzvm09r027W1mv
XvFmMLkYvCnrAdkEM1SmPlqMl5FH7j7BEq933sqwOsJrCetM3figlulaKpR+o74QVvbgKDl1t2EQ
DVsnu7hz0Bm8etYbXCVGvbVmBLMt3Tkn8V5YCvwFKIbuL7uypvoRDannPXuGrcN5otrTt4tLcSfN
EmD5hZBtSZ+qEIzfPaorOEZbT4PZBgR2XG2IBWJF0Y8ufkIlhuoH6gPEvgi8COXD7sibpHGoETlm
jxpQ2+TfBnLtPHy43kPfUcR2mxRQ2eO3gCfGGor6lD5WxgOzh+qkjF9gdzT0RvIUC0UiSN1/Zmhy
rss4kQJqiBbXRHku3QXjQsuPQC9mAS7CiOkLkMCp/qCxQpAyd3yN9E3fdl2cAOX3eLpjjfD0jtYE
vwkCP3mCmA3ffGogmZfTGrgPieFD/TVigK8gaV6Ap+5a31J602L/WYeMGiniIyxrCUhsaHV9/whB
8KohyWZrDQm88D+iZxizqhLJdYdzOV4ia3jerwSKZOHmnLS9eVogDN/V01gWGBgbRybKYwCOswg4
B5bdVnbOSECWqChZG114qGjncx9K9C4fBMqxcR+qKO5khmqLd1hkevQaif88RormQet/9KDfy6au
qWH06KasKmcHlrOm4lMzcvbViQDJE2BPbyAOPZtZD8uubrS7i3smPoLc7HYtNimQYGNwnwy8+0iA
3e6BOAgOK2QLCGliGo3SAhGAQjxIRte6uUI0SPNE5ciy1B+n/epNLvOsc3kH7Gdn21ndIK2hPcM/
Z3ZmZs0dlnX1UaamfLBhczsz38mDBjq2R5KGA4UNdhvxLNWDGOPmaW7DUUAA0nXnFBtY0dTDemq8
tIbRIawyC7ssGnHGsOzZoH/EpqNeOqQ+lYVcx26fVH7/oYxBchFsPWmWxJHp8i2v4VrFLsg2BrQQ
nI1/ILFFF6Azwgu6SrGfG0qvIzEy8NfwDC2ZW1AOFKOm9nJAm31ImmFpcglb0ZGVDi7OiNxJ3qsD
snhMAe+aepG1VrDywih07BZO7G5pmbkeppA/ANOND1DbIqoGNCWcvd6a7Jcljq89uG4usWAvF37X
wfnobbQ5jHe7ZdSoyCk0DoNZ5AXilOJHeBXWL77fyMsUHMqlhhG2KX5dofxUzG0aTfwP9l+IB9P3
rQla1CCRUAqc3KT0BdJ9kMw1B9iEQg82Q+nbHmbWRl/8+qrvJJsoxOCbQJIQAoWQMRa+z5sKIT8E
XB+lp6HBKlqFFRYGNVHUGL++zo+NF0pVXCeGMhTlMoUy8r2924InMGMqICaB2R9rqq+xZnfwyETw
vojfFHv/dDHmQ/bKUCAjqfpdl0cwhz2BIvCUwE656/syPI5ljOyYCukLv36unwtZBCIleG/o7aBW
fh/xMoiUKc/58SmACem6Myi9I2B++QjE43JkffKbUfIP1yPoQwiGyRaUnryTK5MEASFd00an1ZX8
+fsW1JU+dowI6uG5GKsFr/fXz7i9rh+LdTxcgkMPKXIRgp+K9QX6L1hNp/Ck4w7VFfPAVqMs4diB
O0exB4YAcIPcay3+2fckto9f38DPgxRny8JAkYBi2tK/3j10D2mF7yAePBlT6Yt59oKjI3OPsxD+
6v7+oSf5x6swxGXiUPAICUTvRg0Ay7nj1RifxASlzoJY4gNL4HL891dBQwlLCo4mwMR7d5V4CugQ
geY8pWD/ihixYTl16v9imERpGPiwviCgg70fJjVEwVAY9tGJgsk+VLrEoLALnFe7BRjfNRzadv1N
S/fz+oU1fZvlKS6Mf3r3YF1lYThu4vCEvMD4hZhEnFYfyYKZafp010EoSbN4XDFEfv1Cf57sMHwg
z4bgaVMkVrwbHCmdK39VET3VBrOb91gnpxiY+Srj5DdegX94RAwOiCGgCEGk1vvFkjWzxqVaCrlh
2UK1RPrLdZzUaxNiwNRbB+e2UfPvnw+CeiTPbZlY0XsjjfXhNi6RFXhq4kFfdG0YHBs/KQ9odH47
07+p5n+c6inQCZhHwu0E2p9nWpnoxMd6clr1mCYZDPnRnEXMb+6RGgAkXTZlh8QqlMluRl03o9Ya
r+1gHTQJ3hiiueijt0bQ8QsCEwJUnWvXlLdJHavmN6/l54Vwi4CD0B4r0pbUuM3mv3mduiqawf1z
jHAwxEFeIebnVTpwvJmVIYaaTFHW//pLkJ9XiBRQHupKhLbD1vXemyIa4CWIJsMQTzzUug4KZ5VN
zk1fEk2wZZaKb+Md6SHXg2mGV2ujlYCLTd39MNKhOQzCrMhagrL4APNgUxa/vsF/eidYKTFWyHYO
N303FaD3LVebYNZDOImi24/kRyK84ARPZldlM8xAv/kIP829GCmVmA2AcjBEw/cXHKpxK/qX9WRD
DomoL8WmP+owTJ1CN/7rp/uniwE3go8eSXbYDt49HZTRKYyk6XJywrlb2dXp2UfeCxIjkANZ/eZi
P31qPFkCjSXxg23Hi+iPw6utPaJG7i+nmCMKBOXrhJGFiYgu8ddP9S5KCZVRjOVyKx4iPBwg+XcD
uQnKysHjMKOC0OV466OHM7mXjFP9xL1+HS+VtEBCQhEm5xL2CoeOhAU6G5ptG+wHd19WNXACb0az
lI9kVa8r0/rCR3zUawrUK9hDA7y150ON5hgKvuV26vq0b//tQgwXDso7AKYpsmx+KoWqbknUplA8
0XWBD6EzCOGaESYi/OVfV124FMZACHMEID0wJj9+nUlAvW5dqU8acULHBGlIUKb1Q7rzoJO7DDv3
W/xw273+tjCG2NYQS4ipz2Bq9H/6St3aBmTQUXiKBxd+3aKFwFXz9PkbIAInK1CdYW2ip945+ptJ
hhSg9xfH9AJtEeDKFL647TCJv691YcOnKpwreSIESNJa+DKJ6/GwxKsJaD47nnyKSV2Hhe1HMl6n
oscMDHCywgWdlo5nlMrl3jctUMS13vCaQbOtscC5zCuYfYwjjXAteTD4/bcgM70Ov2muoovvok9S
J0F/Byk30sS24dV42AwOy6SJOoGTBPtN49HdRpAjmxxiIuB+NYAjnlWDFaxIxIwcDUQw1rrwSd3e
gUGS1zqevAO0JfHtd9Voz7p6SzkB3fddOgpY2u/ykUUmRU6FVuepDhnJ36tI56QiCIdoIigCDCmh
ocjMUEUTsG/fzv1bsMqux5whyD7KjSIN+QI6vgYoDu9RkKdObWDoIury1i5IANwxb1j7Y9wDojyk
Gi6GixjJC1CvDSv+dB3Yn8WnhaTH7dNmq2sGhblWIl9z+QNoOSKCayI0GvdFu7Q+isRz91CktiUY
b+h6z7UY7HQHNRg+CAXtr3fIo1H1fb/62C+0geNhjyMS3T0MQ8lZxAgauGeKjF/c6OMp5kBG69cg
7kx4Bd/QBkXNDT6z8yv8IB49eoOIHaAkchZCSEipDM8Wb9MC0TDA5qp6QoJrrEB5FsBBgFxNmwnt
kLTwru5swPEbTVyC6F3hnTgObvMKux4BDJBOrti1UhjWAeGUTTDSm2620XS/xcGMRQ2NcHmLfrVH
vOXCZpV7yBQ5WqvhvSvMZJEiozo1FyA8MWBWgRHUdRaNBGVzxc6h5VBSIzBuy8ByxFbXvW6AaSXK
jOvBQQpDM1qlQBmF8Z1+JEi/bQ5JFWGAdWUS02uv0tgbvtUBwOwx+lYRA2oo4x64GUxMCLfkAEKS
AWhb7/5Ip5XfJqt1t98hOASs4WaQUkAeQ0mjt4qXJd+NZpzVxfdpFVOsLf42Z2YWyOStiypAb9AW
kEfiSFldAO0FNk+nEMu4jiOMImh60ZmVyMhG+ui4YeaBHM2npepnu3cVcPjv1AyBoBeaxa2QECFq
u6Rn4RtEChsSqwHPI5IF7Y8jPhD4b9sfgzpN35bArtg5gnpkRXwMqNp9nyBo9hJxp5imyOUG09As
IV5syG0IS0JKRXU3dgNuhPjATvaqoeN9t5LBfTRwt3kWQA/yzu6TPnXmKnINeYwl9ICwg/Bq+Zp4
YDJ2Eqaz8A4RCECBywW1cYD5B90N9mPQACWkEYArMFZCsDk1ZvAUsA8ozOtJZFCMbImaTWWh1EMc
6toCm/eaSJ4aPQKtXxqAknsgaGsCSEKG/NT6vgPUBoR8SgCQrcbK+fuO/6940v8XCvQHZvU/Ea7/
H/KkaGdQR/7VKP9EkyKxp9dvX/46y3KjSb//zJ8sKXT4/4VSHKe6RcEWLr8d2fo98t4jODEcXUu4
VQbo0iKGbfW/WVKCEw6wm6FzSdHaxBTl3p8saYAMfVT02OABTQEQ89N/w5J+i9f829YN3CJJttNk
tv0bdO37xtRvS+Uj/cu7hIhokOkecfvJYl60TcNOn6TfMviealSDpTywEeHa0TlImxYuzhZJ4GzK
on4JlThtcrY6uOo8lAmQx0MaJ3wJRVqjq/Fgajk5fqixFlXVORKzhYxrxX/l5gLZM7jWE1SM87CK
TJjWuPJMbAtBEvw6CfOyMvHmHOJ+KPtPcBVjH62DuakWKJW4/T/snddy3Fbata8ILuRwOEBnNpts
ZuoERZEiwkbGRrz67wFtjyXaI//+j13lcnlGIjsC+w1rPUt91otmoeTaEovBLcxP6v+1a0aDc3bj
sYu9qySR6wFFHvem3MVzGzB9xfaWdc0Mlt+hUVrQeGXtVr8Wff9eNX8Zk/NH5oOmqlRh//uq+U/2
8vXlj7DR5aL59Ud+lxaYROjRXpg2kAONsp9r8LeLxnV/oZDR+eJT9jHo+y4owrB+IU3UcpiEAfiw
6dH/uGiIedMRbSFHYErAKET7RxfNp4qT37LQLTQQvYuP/fOUKtUq3WwNU6ECVMzUT9Jp3nWe2d59
9578xcjtU0u3aCe4NI1FCsGEUf+cSDFrrDix5Ck7cBjaHVxGhIid6l7lA4zvv2lPPjXHy2PBukYv
AeCb7f/nIprPAgYYxc1u0krvSrWb/pLbFhbOmX1nZefJ34EXKM//9C46S4qDpXL3YxitLnX9dzOK
UbRsaZ0m3CVTE2KWq0t5xFYaYdrDKGchGRy8BxVWh75RO8SgCL2B7G9tnCDFtrYiFs19bw5+NzJV
+jj8vXKkDpi8Rv1agHXAgNZ6WxSr3naYGfTl9qQHMMGKA1LF/JwJUNyZ0sh7tv3FAQB2tSEkIDmF
k0xOZgTufWVERbydaoSESdSCGZVtftahTH3Dpj0/xMJsHpwqulS7KVmzVCqooaGKzrohLhkI2MuS
2OjOetvl77Mxl1ezMaT3upqkfqGG2caq4wKJZ94HXVkMO7UM4XbPtb51exW+BqDfNcqBys+k0V44
mixPrPkBbyHqe1EZLuwyezEZNcqwYw3kRL45eqGNqEwvX1v0AEd7zkcMq3Pc+Wo9oIRtXHOjtnrz
TFfsDWJFm+i0SJmnIRraZ9YT1tQe46JKN07hoLgeQr7ngRqTU8DeMi++do3DKAmG42PqCf3GQ7cW
B4Paem+pC5TUB17mYD7Wp5KdZJqMm6Z30XuCi4m/ijhzrQC/bHalZhhSAjz+5dEBfHox4Tt4cKcZ
5HSYNNiWFvtwOmP4NTHOXIERu4nHRA3CkWaNPsZet5raPAPg7TflqMqN29uK5Y/QW9+aPI+3cRG/
Tk1arSKmwBeR5+KqR0AS5+uWNydmgXRZZ/n8SJCCcmYANB/VGdiW346awHPVq8pKJGmo+koJVYpj
bx/S94LNKNq1MSXiyDine2M5KL8KbUqz9RzNdrFWZOIdeAtamKH2ay2zYMCocyoy+gvSXd5UYxzQ
z5oX4bKhFCK691pUoXXICFCpXE5FnF7IYYcCtJ+pBkBMWdxX8iJVGhMviIyAzqhu+sKoN+QvO1+M
sDNWLJAm/LJ2fROyMjzajEqscRg0n8Pf5KvN1TOidiV9wwSQoPXfxhzNidUo8hJk8/xVEkAT8Mla
Xyvc1VfIg4HazFLe1JZUAmgFNwDMknVnzU9K1xgntAH6Wp/m9qQ487wePHu4LQqvCyLN6zdTbp6L
IX90jLDUd4nApGT6Etff9FrYCSiDsO8QS9od6InMZzCip/6MPYAOKRfWGl4Cy90pq+356A7ZNO4z
ZltTTuFfq6ofKsgjH0Q7AD1krUn3EfFGlPWqm/o2vTNBE0Yy88Guuf2AxkTGa09rUYVYGJGwZYbA
a6jCVdv3pFsU26GH6PE0KiYQWIhIOv4rd2hVdCjK5G7atE1qE+SkhAiIpCK66YW14GKrpI9ODJ07
oHUALAbUQKzVDL9C/xFfeKHSY/kGBmg96xWuXqg5RajE64GmV39IQc5Zmxoig/PmjFiX/FjCMz2I
iYiL5lbkEEiQE3uteFasStx6PYqlRi24DZe5Y+16VWYPTjgpC4NNDyd/6GzjAEqlVP1h7ofOt5TY
21rSwJulh/VRG0drp+eK6iD5n9CO5zOiET0umUm29fJ/O6Ed3k5TN7zaeoGvqdCKaoOT09iXGRwM
vzMxAYkuM/dVqxYHJL7eWubdXAQ5ZRgXu8vOqTZN2jsHTc1Gs9tyRfWH+6jyZFC0qstKfmI1oISh
9+VjSVBLpbidW0DOvlUoHZL6fsjPo2FW30wGuUeeSBJtBLg7XGoesx2Illm8bgCg7/Hue1eZldgv
GeucGC5sD069dfKzMggH3z+0zCJgzMefWYrM3/FUZw8GApzrTKDmw8idl7dRHqPqaKm9NW4ewu64
bn/bXf9bBf5NFeiiwPyu4vlT77T6lr0ML82373Wpv/7Mb2WgQ0FHS0LxQ7FFPbfISH8rA/kjhxUD
1u7/9ke/tU6G9wvuZLopjzgXB6sIw+nfWydqRwjiFjNyJstL6fZPqkDyVz5XMHRvFKgoJ6lW2Th/
GrSKtI9TDbjoboIb+yRTxImI5A2uPsZZZTA6TS43VT1dZ6U+L1b7PqCA9ahB1GqTkqnDbc+Ytacw
6bDiFIWwifxQh2+jtBepfJwGbgiSOovkdcFOBeRn9uVD72B0SQXQ1WPKaahIIEePlos3MdmFiGdu
UwLCjixe5lOWWpL0j06dd07dhujw8RQd0GQzbyrxzwJLBPyx+DMp1ZoLSB2pb+cwW5TRSrcDT45x
DGj1vTMn4b6kWLopvIhdd5t8SZ1aeUqyXLmL6sLGQjUW247pyZq0A26DVANXOH3cVT62596N3tjr
8iIxYfngxs+mPomN5wnmGZYBYg1Y3FaNxHuF+3oAi40fr1BnIDFVgsi+ltWmnnn0uNfPtjECm3Tk
pQT54He6fk40944z5RIXTeHHY3FLK6kdx4F6JBNF7+ucQPwrP5ZTfjTd6inMsYnMmhy540ZfPBub
dV0y2DGMs5jEl9rqU5Rt5e2IIuZZgNVdVUYcrwSjtg2WjT5IkiLgK3g3GuE6dHDVY4lZngLUJ4tf
jULW2Dqzo14ZQlE2shfcaloveyDnzXzQRgN0RpHBlI9CA08Yd0Z8DcwMVZybc3XNJmTGIaAcJEKw
l9LUmjvuoT1+GvyhgVFlayg1GEQHaxe6s+u7qCyvcDc0T6Zw7+w2KWGhUPFq7QR8JMTPNrN1Z/hm
u4AW3PtsrhREZsZwjzmT3h2Gv4P+dSluvbB7VdS6KQKnVo2zpBA75UkdA07Q49FFM13Pa/act4ai
oXpF6xOv9NK4aTPpbVg4UTMbsQ3vyNb8NOkTJntKj6t7rD3kVUbFwLfSwI8kE+4U6Eu+pHIrT7o2
dhcR1F8A+41i3TtM9C/M3Fa/mLzwVUtJHuRJiq/M4r0sN5rbAAEyxkm9GCaKlH3JQs+3rFRO76B8
ZmXrNsAG3ifPGS4zvcHFEhWmWGdOYjS+lkVBlafa7cft698b/d/c6JdkCu6y/7vf/2/u9h8jgt9+
5vc7vUZXbyzrUsZemACWg+P3O71BhDsEQrpSgOWLvOePKRnnA2IUCJMOPST77j+mZKb+C9tv1mAo
2l0NC8I/Cof8vO9c4KSMyHiGPAhegk9bSFfrOwJOXFK/2Dz6eRyz/I+493z3nvxFv/95i4YziG0x
IjCXcGDeieXPv2uIw66vdaOEP9KlRaHhxUVj4I5h+aVgnXedM57fI4RnT0RGU/X888dePq8fVnjL
g+PVQK/F24ZO5dNLRACWjYZwPZKePNa4TtMOq37UeFxLFTc4ChFNQ/EFQ14kxgqvZ/JthP5drO3G
NqjzFh0zu/2t7N0sMHALHDpRxlct4RmEqmUhgOupqdZtFM2XXeuEN7mdDav/jxfB1tNDpqSyav0T
XLAxKzzPswekb9SxBZbzJldyc584wwSKW8XoDwvbWCs5t3BNRWA3eJ27IkJp4vmhRLi2C9QbJfY3
X+3nZOt58bzpXZHtR6K6aDIH7Y4MTLmZilmmeFP/qaAF9wWiPPapDLY4sO3PooGW6WbHbsjbIQEf
VihqyAthjbh1yvT95+/W55HPxyMxKkOMZLnWnySVFgaAvNJ4pB6byW6SNR+e7daHRhr1GU/t3ykU
Pl1EH68MhYjL3ANFIATIH7/eutZi01MyHi9KmjN3FDy2XeT9jQrp81SJV0U9hgydOClG2p/jpLyG
20U2KO6uQfq0RRD4XhleshOte/fzt+9j/Pbd5Hx5PfgVKNi48LAPfr4ppBFD+oHvIEpdLdvPTqvD
M+I7AyhgWE35kmOhxXaLVluKm6m33GNFutsKzlt4E3fFfEGpVp+bCTSIb/dW60NmYkrQa8a8ixap
a5kV0zbhu3nPoriYAmNWTQU3IcMsuG48yFjRzTMnTXYtO+bHwZ6T3c9f5K9igR9epYtUlFuDQz7X
osljpvrDTYmFHnL/ZtwNxDSRt4RHnLyQdq+QVLUpRYtszSjfx6xRVhY6bp8vb7rL8hSCjlbJDZZT
qDAiGRZNuLGq0Ug+akCvT5Y3mV8cFuGPVm2vQUTpt5qX14BIQG2xGgyzO10VsB/nhEyBHv8MNkF9
VVA4bEW00Qh0+cLtTOxsaVksPHWa4qQsLzhd4l1ehfraiOyE5A4806WVgNfWTW3bGqV714RWumfB
na8KrY5xk0bha8zBE+SIb/dmNfdXFXiVmrwexzzmLtKkPrStddUDErHNqgvszi7Jz9PgjoqmFFBM
iiCrCywFENOvCN+c3iZcsmw/YrmOhDS2Vmim+JbsmLJTVPaKsYl5tmJDvWN5y6Qkiil9tZhdvFC9
aQrITWBnPZSq4bObHZ8ctxArJ9ebneV52T6d0vE4Mwa7sjPhrqSbgP1HWj5cdbKovxYpLicET2sF
6FcQh+KbIhT3Es+JsjKjhJAXB6BgbvOsba1mB+7tx14B4hVW6CHAQkhiJhqF9qDYqlV6XN7PVZml
VYAuSPHbcmh9LTeerRhJuznG6j4STBtBY073SiYkq9NcnU8aiDHmO9Ce1irnSwAox9jCu3D3AOOM
lya02+uU96nYS7Xzghrk+Z0wQWZivG96HAT4Y4yXsm7KjYh1ZclNcFEusO+5BwHQAYIdBz6akRHG
WEa7Yeo2cWyc9TDv1tzb+r0EKuZP+ABdMhH0N6PhM29srTpPDZaB0IoDZejFqo+ybtWFovHjXLKX
VtUDIymGlpFpIpUbo9sijS7DyP6CmVjdEaKr3oTaDIWjsR/h07zoWD1WQ4NfX0mxTkkrZEDUNNrR
GbvhUFiCvJp+HoNcNSIUcDVwvJ7xneMpMbcoKGxaXgBdSktsvi7jatHCBYPnHD4rVTzxZFAQxrow
g1gAQPIbte75cvV4njiGxAbDh12s4JYmKwDD+rZpW+XCmsvyCD5LhapvTRi7WvXcJa3DZGdC8e7D
sKFBgxnCbarV6otp0sx9XIzZTiMfYefQdWxtZSpV4XtkuYhurdMB+AjiUQfIOMSEk4L26M3oKQ21
7m2R+TwZfTMcwNT1e9F70u+jyjw2WI22tRRhYIVqv+9AE10pE9nVXYYDC5ReimlmXyQezqCVVtug
B9QoJyVrHu/NXi02hqpjMBdRtTaz0gwwRcGqogXeanZdHAl4Q3sG9JFNJP8Tj5OoVsgG6oNX0eba
ZYd12WayW7eq2IRpP733Er79iSyZbBVWFAUzaa9+U4KAqvTcXSURJ4fGNBiWZFetEcro+ATRUzm2
1BngTWKlx+p0MUu1fZxJgbpC2KmepkStgQWHZEzD6i37b6D+h5WX0XtPadq8xkBCNnaZOA8x/B2C
qRztTlGpL/AWxFdCDFQnPSVfWQIvsCMv5dl95P117JjXqOjFTRaZ9VOaGmIlVGhxCQ6Xa+aD0zaD
arUfzFpsqsjrHqDoZnt0Pu3brMTqDhY7956GF1lXlF92VoaH2aPFnCajgpw0hwcHcNV2Gli7BbZh
iRU6+mrtNT2vXCTxFRDAYWWhp2IFMutriAfR1exUYevDquFndC9rH5HiWIggmBgOooM60/eSl6TY
YCGQN8xRIEVqrQ3y0a80bgzBjBhoi51i3kFWzgLP6TBAIA0PqtD2fOrI5tATh4tnJp7eqYH7hwQQ
ztrAXnlIJyz6PrWNvtVURqVhoVgXoHGVm4kHiFfgdygvQgdpCWNf68uAUJEdkx3LG6JE+S8RdTeN
qterhqCkJ5UdQYs5C9xgXW7blHGNT71oXFijupU1NwWt6YxTb9TmBkLtuM/h7AR9lsab0gjjxd56
p4WY1AcpCXQQg7V2EvW6CQv4iMBs+m1T9VO85e13xGtjunV8RMxR93ybLYmap+gmX+bADRtDB07p
MccB3jpOLV5aVzfj0whvIZ/3H8f7vw3r3zSsONN/Opn8DxmKRfvSfj+Z/PVnfl9Qe7+wJCVqHjm/
rS+zv//2q575i60Ra2zr0HiWwpo6+PfRpP0Ls0dvcRKxOf6hXzUMWllUrswRWfgSH+r+k9Ek9+sf
2zlCR/mHoACHcafFM12K8e96SfIPdbPSO3NvZS6gWovIgIZLaDsTOHrIotrasTIh7LschunNYvxz
tIQJTA3x9HBTlh0hGG2lvGROBsYM3chpJnhl0TklkW9XnDZRazqnOOvbm4lJ5l3eWqCWMfjs88jW
vpRVSLhS6qQHtvhrArbrr+xm0t2ouA0euXQYcdl31fxKTpyCPJ1Ti9We0G8ZLIoDzJYCIZqRbTuj
Zcgji8vS0pPAy0IwH2mOVq1vYYomOZqxXKH/1JXIOZANBZuYe+ZVWbnZtspcLPMt5lUIjqN+HpXO
A38t1EuNW/XlRPwN1XZp1BvGC9lWK/XoSfMS76Qp4lob7e4yxKkN36lcadjZ/aIGn8catTLejWmC
W4QgEOMoqvegyRsJQl4z2TrRXjKYBnHUZEm3tTK1egOyXFMPMMqtExR5aH/FfW2mNpG24AS2VT6m
O+jjZFSZA3BGZ9KoLfXusXSTEApOPJxlmcyv3jRMT5DHjHME93oHR7Q52UY6npmZkMIFdGkDFrK7
UEe7/pob3bgCgOdsqj7rtw5u1pWGNNw3RZERJjegyxRm96Z4hp80Ft2FV13oBfUvkXTrjnBMKtES
q6EVXuaiyveo+vcAi8QKXgxr076pt3XdW+8cVECyUplgLDGHLZFy4V4nPP6aBO9Z33hKKg4x0BJl
jdi0u6jMKX2IpsR7dpajPk3sCnQj68MK/c+dF5rJ5cyk/ZJyBQ4dp0nySGJpe0w7Nbs1S7PagtLR
PX8gwXKH+M5JfbGMbefJSS6jyJw3k+OA4mSZ6tyQGK9B+5J4T5LW6BdouXrtNXxXykjaYZDOZvba
EXJxCm0720HpNi5sySo2r+zkuXOd5KkmffBURJV1Bvgz70Z8/ydV6Y0LfbCWRKMyuiK7rL1LZ8ML
gOdn+1zp9lURLkDNwnJPel3pz4Wn2Zc1usU9MYrVLk0zoGM5gMnNYHIcZtVwoceDydcRF4uiSnBO
kXyJO1elfgWTudar0HmpjeGbVY/5PpoqsLtTbu3LOjQ3jotFasI5/GCY4pVTvIoCJTL1Z7qGu7I3
5oe2pUiY1UI9l9hQC5hBJG+Rqwpi06MnPMW9ZmnBgHf9Bb5yeu1EglbMZGL3CoUm3hY9PxTNSXaP
lRXMgIHBA4dNfoEnmSADw0j24AHslUt8261jtBI4H4IKXwrtTpbFPtIH+1BCSCpIeQnYt+YFcVGp
OONcym6sMNvZ0yCxE8zFHjgRIB24BcCPPONZll6yd0jq2oBqrFdo0MB+FmN6wxrS/DaDPgwMdLXB
HENXTytLPBFvMN47RaWcKefKgA/UobzDhE77CVZRaUZ8tXZ9USNNSAPP21gyzbdhCwgZ7BE+lOzc
Iyx7wkYPFBDh+TlVI2NXaK7aBtmg9ieMfs2rISG/IQpYgQRwttAix3Wf0fKsYzT5T9KZ6ooQgjnD
W+JMJTFaEzVTW4ot/QgciGmynKDpR3uBAJFzFYXTmqlAS9lSdgylPK+/j+YJfVEmPGhiTQT7VWkT
wCNVo15EVV1dIl8ndVBTnlJdNK7PbM1YJ5nHjteu0Q40hR1k+LZZwKvYosB8lWqKkzwV5deMCLeL
sIy9swUsb9+21pj7AK3lOZEKrabDfgN024udOuOW2bp7rbZ2LhmbG+oJG43KbipnOMW0xV6DBvce
PE6N00wiwCMik+SYz/0Xb5b2jhNxDgCV9ac2MhO+SkN6bFN6T6T03jHvzOZapmF9mapDDa8syWDS
5hWibxzXmgfsctbjam21tfGIcF6n4edVNqFbbuIx1b/NTtRd4tGtXkyjXg4XesunOM+Se6lr1IgI
DryNkXrRFgAnQMUpQkuohfE1cv4lmQwuVB/V463a8dYXsTWvpkkyqBx19wJrK+jiMWOQaThoag2h
DaR3mBYoeBW7CO1Lty2Q3e6FN1f3WUf6glalazJ652vRGyYzgx7lzCTVGSigUpiQixGXs2s6aX2k
HzwtEl+Gms5jmSQx++G4TbjEL9pQr3ao38gYFnXjPQvbTlZ5MahPkGHCHXemeB9KfTXptnU9d6ny
WjFDP1SEvG/gBbdXWlJke8tUiMMzo/acTYN7Hw1uuNHUWr2N+wToZO+ECpxmxd4YsdOcmonJAZPd
V3XuuP13jZwxtY9mtB1RHK9mQnt8feksC1WH4Vg0yUjKWTkQQOxrRQe+PxeJekbM1nD2p2l011kU
In7agcoOCsOT5zqqs10JsAJsSuUIgeyjATvphG797sGV3vdZrFP3DsoxAVsN9ju/7vtC7KTVPcMe
ReFULghAF83QVyHtZwjeL2rYvTvZ/OyW402hQZMjbLPi8ep830AVXDd1cqfXUXWoYse56yuhP4h0
KF5ZR4yPTcgP9gXgmBc7wbUhDlXEq+jASLT4ELYZneRsX1JqgZuDwClUa53opTSBiibxcWQRDYdv
7NzrWtaT/dTa4XtHEpRLBPfAB4fiQUdX1s+0QqW6JS+0QnYOhwxkQa2UzxU3UGovr19pYyg2NfvI
/ICGvIElluorijxxoUVTccCO4jxbk1V/UcFPpNfhGGcXTmyxG2RAF4fbDA4Cige403BF/Uha6Rv6
11a5t+pwtBCSEQmOtA7C+r5mC7YqFHXaNl5ZbHqGhwhkBr8ZaYnJpWdYF5mPQLeGnZ1UZBAzFjnx
N0ccHQ7lJACXpDGPbHuRlKlKafkCrv0DdFllRy1yX8xxto5t3Tlwgii3MXAKoimY60WFNp16dDyn
hk/zMLOclnEyvCxRk4fGs5ktmUq31YpxAtK5lFvGrHfEAhvNRZLsRbghsYzM5TKUO+JJzEDUbrJt
kXwGU2ie8xmbBeOVaD+bBGiTMBEemlxPDlJlD6oxglJJ6jgizYKVTuLal86g8YSPyZy17hMYki0u
KRjS6ybJyvUQmtXIxpPBkAwr4PJ8zLtOrcCIZHq+tdRQfTc7kHdBJSoQ5T6bHe0NmbLtPrZqVzjt
a2c6tbDuwxpqrwySOkuwAPzbxBUykdPfNnEmw///vXT8D/6ssnj5sYdbfuS3Hu5Dfo9tmIBtSAjm
h+b1t52jpiFARn289E8f3R3t1e89nIPImJ9CqOIsfd/3ynztF/T9bNA439lAaf+ohSOZ/scWju2e
xfNaekF6ORMb5I8tXM44FL4T9BUtqZgD2eBSZZ4VLPvtUr0oq97V8yCtHTl3W0Facq4+kioEfVAU
Vd7e6bkpWRQs2D19nTWE+wwpyqyirtzbxOZot2XAojHRuqAaRjDryAFwpaLim3apMgwKsFx2r3m/
R3aStwwcZyiksrossinFAtcnzNQ8tyqOFlavA5rdXt1Tzk+XkxmGd6lR415S7CelLfvtUPbOEnJP
EL2VVsc0Z/KTpyOiK8sS+l1sJ9y5khhVnO/lw+LuaXqPurJmfpM1M5pgmxvxzQyq+oXrD7lZIdv+
MgGzCVUnlkhumr7Dr+exy6LDGvtsy9osY7fnldSmeVQ7Jw8lQRq03N62JNwwR8XkJbfc8vvOVzIl
C+LcFLsqbIZNOjfODMuh4BdDIQsZ3fZhf6VbYfEsh0m7Gey46Lclmp9V3LYIESPiDRBuRtPsU740
q9Sq+ydoQ9NDOJeOHVC+VSOOVMI2QStbvFCw2J3+FGZpTSw9DSg7HIysmujXNsWd5rdacxzKUlti
lkjNYmOMnzphtLS3kbk9eCkMJl0OiICS1KzlJm4bYq96vuorxSDF8FzbYq2jsMu3hsxCsGTWCIwq
lQ7JrmkKU64nbMfHSNqUK7WjDiI7IN8RcRqvSB7o3I0+DAPGibQMSIzro82kM6f3IcVXVqC12fDu
hIn6MhNeuREWV+Nm0e6usb9NLzn7dJq/Jre2XTlWtxo6kQthy+yJEtT2GQRTSVVKJDkmcYqs9Ma5
ImS4WXU6ljKyQUhWB5Sp8aXBONavoyirNxMYI6rrxrsarZqZcth0QQfv8xB74ej4pZGLWzszmJxZ
cYfWNlXKPSmb+l7mpCjZmMC+LMUJHWGqeV/DvNcow1vEOdtI1vpdSMO+H5rc2QDnd+iMirC9hef7
qg6Wsuond16FbgOtlysg2ZcOu2bifcbeCyLb1Y4stM2DiC33edGsb/s2tkPfarGjoFnR4cYhv2Rz
HtZ3JFc1p9pV56+ZzMMVCeLTA4qufBfO6D5xBape6lcKZS4WsPZqKsfiVFspfGJZMoHx9T5hmN6y
+NHisLy3o1r6g+IVe6JVokegh9igsfNkN4IZUADehwQhmW9lSe8FLs9EHWoKlfVT3QWTHA1vA0RE
RycGRC+8AOcEB96S1VWTh2h6bDX7Vmhi2iOnR9S2BED24+Qh5ZKvqZqYK8LOh8AiD2OXZp4XlKb+
Mg7TIwnTVgAi0RtXXq87jVjVBlF92eBXdVx19vXQEpTCwxIw3cFW/PdU/H85FS32fz87FYOXLHkH
65f8cDD++lO/H4ycfogQCP604cksI8z/Djc13YTsCV0AT86H9JIx6u+WNXxuGjtiYJvLtf1hzPld
d6n/Yhn8Qkgrvx6b/8h9o/EY30tVllBSTSfdmr07Rh99OdK/n23S/hG21MHOKgbDW/cDiGuu/XTR
/DpDf8YHMB3Ska5hrapCMkAw+3thtjQrrVfUj9+9e38h2tGWBfh3C/KPiFREMw7wXHUhPSzP9rtJ
K6roSnhx1zPoKbRTJBiU+p1TktQx9swu/H4wu2eHCznxm9zFKk2KMgdcOAP1CmDvFW8e+8QrfgfA
Lj3LtPvZUlwN/7oVftMmVHabnz/jD/jH52cMp2UBwyCQpbz49IwTMkdILJcnY+R6XNnjnN33iypp
w9CCWh6nt5auEpoy7O82zPNJqMY2R4WC/bov5RtdRasFiVJZKzKm0E3KPEa54DSWiNZRicmZ/c8h
bz2qcUhU3kMb1xcCteIIslKxLyHu9Pn256/qzx/Dwh5x+CDgP3F//TTwxsQXkYOVtadCAh4oIxfl
qimYHPjVgh5l4OzdVqGWPf38YT/JTWgXHLpwjEw630X+tTyt7z59Sx0js2qj4lS4s3bSRNydAMIG
CUD/h58/0id12McjsTYAsYLwZAEt/PhIFafqXHMwntxKNV/qAe/3NpTupPuiitesHjGgG+rklgEJ
e0P+d1+a5Uvx/ZeGV6mruqWjxYMARYH748OjjUsQYOCOWvqZF/Qd1ovAGpttrTlvEYFRTk0qH/12
APu5zJZL5xvRIO1+QOhxHG2jUQPMT8R2pQ7pPkZT6dhW3Gn6Vil9tVIV8sQCijUThYMBuuHX4wBb
cfSt/KvL9M8fFKoqbhvk/LKYYQPz4/NX7c4qLCtULrUuzF+SRrJZY9AvGckwzS+iAzAO8TVyPUIU
5zpmUWsSgsMEyXmXWFzKYMIvD1s97b8ljeG89RbThMPPP2IIZZ/fZbZCfIlYKyFr5+pcFOfffZ3s
hvFqQ67kJRVdFXooOxCgbcePM1pimmGXX6vnPp+szidHiAGiVlA4NtU2W456kdX5TYWVfvSdbIge
hzQv91Q40q8omO4JwHNXYV2E2M2WOoIYFGqKMG2L07AUGvVSckRYeFC2fVQieh/nO4uq7QY5xDVT
CANWROfUJ7zCd/KjnrGX0kZLJqCIjdnN8CkGNz1mSxlEfWsegGdqx/mjShoA6uYYqimeWANRRw1L
SaUtxdWcjq9VW8vbTlWovIZcOng56o5thK7foT4exDZ0FOo1ZnjhV++jikuKWvnSLaVdVbWw/1lZ
77Xay95wzttc90s5mHxUhv1SJCIYptxZCkcNCeFVDWl1bQ4NMImPCjOjFySJb4hcUNFLEZq3BuVo
5V0xK6dC1bRS7jhq9CEolhLWlU72NOZqfKE3XnVrETWz7bxU0amY8vnFtctmzQ4jRT8o3GijQMt/
ITNreCfbmPp5/qili4+6elxKbGMptqePurtZSnA8f/mu4K+SSr9U6NTmVOvpR+XuhAOGnY963lxK
e+Ojym+o9yNzqfyHpQlIPvqB9KM3MD76hNFwxqMNiDULz91Qyzz3iVmbiuYtDmNdn5/bQRmXVBCv
4VZevupTnkrk0p3suko9SSEJCyZ1pp635CLLkIDZBPdMqmfl7Qf0IZ0MzNkdn0EI6Uj1Rj4u1CCr
ImTzHmBbHOq1LYYITUomtfAqxoVFZKiYnAEfwJh58mi30uAbNYTMf4eg4yzc2EqchldMUw07CjBp
M3PSDNHmmyJLGs+Hpo/5fD0SO4a1CE0woP+QJoQU6YXVEXsdlNmBTSbWv5CqYMMkDxqxO1vcMQtU
NV2Qxw2MnB61fHvdJgok4zJK3Helg9+rrtRSl6Tqup17sqhYw0NhONKx0qAY23qedi2tWUMKXQQx
dR22PRAr7//YO4/tuJFsi/5KrzdHLZiAG7xJJpCO3oiiNMESJRHeRcB//dugqrolSi2+6nEPSqtk
mAaICETce84+Epnsbi6cEoCmQou0tU2SPbYupaZiL9M21bbcVvO91pQrBMtyYCDzn65dkXumEXOK
tPY9HF2/PFrS74owTzrndukxdO041sBRhnakcFq6CcfffSSHprrjYWydiCww813f8AnCuiugn0KM
XmgyZOgSL0qPYNxQY6pIIpeN/iQt2y5gj1pxH7igWzlivlCuqyWzlq8YTX26OnwAYChzmbRHgx3/
gYwAvCqkErdWACM1ChbUU8RdjLLxr7NozMTWSluIwGWTgRZAYyR2RhMRDeomICFDY06gyCSpATMm
90XCkYB/h3cU4yHDJ7ba7TSmpDkRRKZ9lARxzBpk1dwzL6Ewp3RPvEFo1v1cjGZ/6TQ+PdqKwIoL
jP08kmJ4KvyAv7LPdlGaGNUHJJogTtq5BBOsRntJz4wu7r5hTIBsguPxDAbvrif63AoVSko+PJHN
BH1bba62ZD6EqZG2H4pxZGcBymu4U7YzPjUysQ6DCzY79HJ08sg1Il7HLmr4N5UcjEtC5Sxxozob
BkpHdNhmfKGUdyBg6BiZZZYeJNl89LNxYJhXqeb6D5XeroMzy1q1dwuFnXOaBaQTvV2LIyC3+WA1
YarGGU8w/4EWHqO7ZJWUAVh+cOAUMiPzOpPE5d6aXuXDthfZ2F90U7duPuliXtu55kxhTUtlPNb1
AmJ5MhFPk/i6QpDK9aOPrE98LhJjLoVd8S36lkbcJslrICt+PjB1moJy+U0lXaa87NkVxPwda6rZ
VclVa4iZEBOrSXRuN9bH/qLUEpBIFNhb8v90/FvhjOx9XTSYTFu+EQsI6WfrPrmrygf8LoBKhzRF
Ck9OFOOCWMlPY7XCpSeJF9jqJmguMdvcjJpYlWd3Hk+Lvap0MHN+3H4Ad0ejPRFJap5qxHX9WYTr
cQhmiTiIDe5s7RuTy0ppuJ0/50VuX0+9Iq+pxeeTI6otY3UgB7F8niGXs4ZQxMXygmmHXps5J2qH
Pd5/r+lRuQMzHLfkX7LMzXJMblOEWGeEzWV2YJvSjFn2cCpsEET6DzLToNcXZsU0WbTI8o+iqo32
a8mCPJ88gyEVwoxijGQ2yWk7mJRDyENmbM/QIqE+AiDTDTxprUFn693Co/bJB9dmtumou+BPfUGW
igi1BBI2EIdr8lJTaawpx2PsxMeG20IrjCSW3VKj1bqY4NTcZQN2cM9VB1GSVnJYRty421w3IAw1
Bc6bi8qZxLnWkcQVJm1VDmfxPDbJ1rNh09yzE1FfdJ++O82lVK3aJ4VW1B8Hr+UpMLd3aE+M9NGo
6SbB9GYHNr9rOkJSeTE6z1R3IGyftKgZnygL4RwqXOXQNfd144ZeRrTsZU8yS5gua7UvNbvMup7o
e9iXJRRFOGfNoDsXwkiIFp/Z3ahwJDCUFjUxBLjfF7dk7VCqCPFgTTIYClyh+8WDQYKSbYKINEcz
XV6q/U77/oVblCWUQZgOqf/AWC/VdeVTDdn1ZuNnO69cFbBT/8GkI+UZGLoH951NROcI9CjuBBnK
hTfctpECsT7HjOiwSS3uJgcHynep1cHacmWTWNfmREbtMZrWILl0mrT4IpcaIu8S0B6O6arsu4sC
AQzHSB8BtEo8vHPjBAZ8bgXzHmoz+GkRJe7Fy670vyKxN/oLJtoDjnP/vsFw+XX8x+mrVF/n73sM
f/7Yn7UU1/qDQxveVQr44HxeLEp/GZvsPyi7rEk76zJHiMq/Sik0EmCbgOSx18IC5oLvLaw+L6dT
djAptOgwSv/KgfnzFPQt3ebXpyLr5Xz63bEOIZoNMoVnAm0GF3Drq1qAidEPpZAtD4Q4pha0dKtj
nBIufUa4hn026bId7mJb4UbQqc8fMa12NwlHtnKfZwY2fYlQmzzr3GdzA4mA0HMspGZDqHUcI+a5
8Qel792cyOzYJxhvmbSRIomRWIFBwPP9ZFb2I7iFT4Uxb2Ne6n5Yo22ZFsuNkv593ZBGS4ZcLja1
U6A3hXaPtMrKcBGNPJM2XuYZt8qpLSLiOv3RR8RJAIKWmrcV6YYnJYcurEuPLOWGHxwdVwuxDU+X
JbLhwNAM4zZaTI3NvuY/c5DCP9/UK6NhKBd5RDtW4rWY8uaTNZA5sYzK3y5Cge9YL9QL1Bb96BP3
P6Vsq1b3vTHIo51LwtkpQficxsv+uOTsiFyr5weVPSqTEF/4cjhtfZ4cQ7a08bYqPP3R5fl74TRU
lG3TXw6lPi2HblTyOGg97254I3F1mTbvVNr5JErUFsdA6NM2lAzySzejwjsC/6BfyXmx9qHvLfvO
Q91SbpzeMs6lp9Dlrt2Ghzmnk4vyvTceKUtRnMonnVcrymS68ppCe16SEUGT1UbUtKfki1ao6bKh
LbZ/+Xys6vLIyJbEz/Pr0Sw6bkaF6GPrOm417nTZYwcGybCtvWbZpTUXWXlzhw5mAJngdql5TpEG
kh57XcTP56DjkuQQFUa+HDgESGuX2ORm7C3KfVhFI/aHlVbnp0XUx0EKPAZdNvS7Lo3Nx0ajWskO
c/b0PUMFGk9XMha8Jj9lyDrYo67qQaXsNFxFm3ekkRQPkkCVO+J+5lXjpc49BAqouAZvl1imdAIg
0RbS/T4+o3mbkLq2MtmIcznTGm6252Q5pt/OTrdDzZfMOKiE9mKqirawL6hpt/S2Hb9zNlPWLB+W
apz3noBHUxSm9Tw6FhKFCFJJzVkGWnkQm1mKITrTu+SSwgqv5fcFeZG1g+x+KyxiGckZkDXJ1V2c
q9uo9OeLdGHfYhFeE6BFR6cHp4egPmQee6PzjR2Rj9ZD0Xv5nnRODSWJkwDmn7q09Pa5oas7SqOP
dlf055j83lceMW9bdmNjgmRj0YhNIFihJNy62yrDcXapt0RbEmuaba/n1SmOsHoht/HkFSfK+ppN
c3mjNMvZjaSPXtupME59jC/FQHwRllgOD5QTu9BEeX5K0KoTUmmO1nYsbOvdhPdzY5czTmhygJio
E503gR+HExrwbBiOiCNWH2S4ai9gDEYZwEo6CHv0mOqit/zsavLQSlTaaF93dmyGQzKAAdFdOvHg
OwoYE57mi/MCBGG/Pjjdx2HR0gtOQfFKisnwrhKjM3Prl8bPgwoy3IhFuSZoeM7gSdK+1N1PC+lH
HiJUOVWHuC7bu9bHIROOA3mmfTJYKREh1fKOc54eLlmboBlvJKzvhow+B52B2br0Y9Ge1t3aSdO1
sCIeiO1S0QlsBStdpq9s0gBZKAwsEiPReI4zn41RU98k5Hu89/n+FoWRZcqOTVmvUXZLTCB2hAiO
DLyVczh6OTbVFb6IXpWqETEGNXBQDn3sQM3k3nFjfdli2sq3piyzs6HL8nk7SARRemY66cZykDuw
n5z2iR5DAZrLT+A3W2QRhCzWEc1UjOzafZ4XLP607JadP06ZxVsUXbNdvEVegxHNT5wovaAeWcxN
Z2BVUk4ffXhZWdq8i579qcxPRc0MJdzJ0L/NogYDwt3Ege1BjrgxHLJT9c1g1gOrxswTRtZOtZ9i
luemKkzBdBjNW8Ne3wiTxhRUpuKTFEO+XIw6yT4cl+iNXfK0ny+VzOs54LRDfhBiuwtJI/8bKP+/
26U3tks+iPnf7ZaoN3Uy/dz9o37+B0W+vnz6sQX17ef/2jYBOdThfUB2p5bPg5LN0V/bJvcP9mU0
RmBPf4N//HPfZHmgEQWAQt+i/YR7FsnEXy0o7w+EGRb0ZeDYxCTwV39j37QyRL6vhrNtYt8kYJrR
fbIca/3m39dpZ6NiCzNP+iGf1ub4Myyuq2mOjtla7BqrQ5nqJ7A2ITSFRyMHb0G2+XcX7xcFbf9V
qfjlI4A9htnGd8byvP79d6XiGtJd43k4d2uMPZeReJwpXashD6sSUJEJrqvDjuQ3cbUBkXzRsJHa
u6aowtH8IAZsiEmARBZ2GQ9WvO27zs83DVlY7dq2FjaJbE0WcERdzUyfBeLQtOZRXSWsbx8zvK7r
/8744wiifaeWep+WwLO0cLb9g6i7NaY3d85bfSC0ZtG7GomFVJYV6DlFWKt6mL2cg4xhHSZ0jyW2
OMh0Z3FPXTPNlhvRqZUd6W1ST7uA6uBtLBBoocrPkYfdgJ/ow4lwd1NDU+j4HwyLzUXM4ozxLYTr
QMnU2grHBU3kb/SElbkucLOXW+oht5OGOqUdiUNVZTh0zUdkbPo+Lfpr6kZk51ZPC2w5VsRt64zF
3ln4GNh6cBsRZV1OQmfn6yHL1sfPlYiDmOiW84qa0gap/7ZxFG/Gfie3ruI15f6/Z7H/T1fbxRPz
3fz4CSW0ravq6+cu/dx335/Fvv3YX2uKATKIOoHjmkzZdVH515piQYugF0q6A6TDb6Ch79raOORN
ZDB/GXP+WlOE/gdLDQwiSqQvOrG/1dYW66nuh0WFNiItRN0UFHfsnwMKqBBjK6rT4VBXscFegGT5
ZKk4C3Td4+zkT56OlaVZn110NP0tECu1maY5p1iUN1u98+49UAUnrejyi6kvzgf2m2iYHDrTkr2r
rlEtzjhbgKBBH8LjD8lXqQcoYy0Qq62/a3yNbbKDFZc+600DWzVAYFVtMuHlodGSQB8bvCfdEDa8
4MGgGbV6kOXqcSh8xL5pTf2lNreOnT05WqMHBeD0TY7hc4v+i+f1IB8JWmODYA/W5mXLXEbuA4HQ
t5jLnwbJ2zt281jUSBjiDtxd7XKsdMwbI0FsZlZ8H6eZupBT6aNjZP6mW2GDo8bXq6id4r+A1DNo
7lFK7whRqKMcz6UZaA/EXWltlix/NnNt2jgOl7L2pAr0lhctBi6BAMbHV+Ay6N6xTNmUUFVH66Lz
GYZGoOuPTArziVkfMojru7pALOu0Dn+bi5vR44S2/iRAZpYtv4ftZK6miZlL0BScFu3OWG7iurjx
8S6GhVrPE/Fin9kCkghSBpbUlg9kNUAC9CV+lyv6J5G7WgHq6nmuWkqSljRx0WJAHfOZLolfxJ+j
QjO4Dv49z6wufKEKETWB65s85h01YwylxMhtJZEf95EX5VAxcb40WrHsGojqh9Hj6lkU2ahYuUfP
0O5fBknaElMwi1YFjcs4oDh+Uw4co6Xu31PpGqj+80up2zdDyoeKs1wccYUAEObEFdRxOZ1cH7vs
QEEu0Dv+LbrJy1QZyIBqHh/uirdyIocWEYVJNrr0SAAiXDKen8HCozRHarkpxvQJOAz3fuF3WWRP
aOQB8I+dpxAz1vxMyVVSBgYY022WC0zv/lYq+fhyv8uYrPcBC8S2G/m+ccKQIeyQW9/ygOodrzjp
RvzMJGdUo9ulxszo9FyGSr3OBYRV87si4bdA+Z+stfTAzEM4D9Hgsudyocy7n+nKhCNJdRuXU8pp
9MrlImGvjaFVPbo5L+i43GGvZzB5zMaXi1E1TIpR4582eflUwjQNIwrQJ1jjNhmWDNoip+gyYxy6
JQe+2ZrINzd4jweafU2zW0rTDNnM6kEpBZdUp8wxxok685Q27WM0Eucc3VOK6Nh1c5dJiS3oPB0z
Duk9lQ8Lsh49liq/8EwmKgH3egBxjD4TrugQ7vkzhM70ZkhsAmfXAZIt2HSNfqWqoKrs0TFu6h7n
l15yu0Xi56c40dmXo1cPB2OdhjlShJd7q3GSJpOyOnfw6rOEMASqpvXpeHJtXkY5pthlVzfS32MR
yQmoK/wdcsciGDUgWS8DYB3hTPGbVCyws2aWMX9gfotlrZOst7nrYax3kmGEj7ALBzAbn5rU1g52
wlfFB40loDe0Q+RbrF52+oRIn1tg5M94nSyEo8weXWM2lxa1FbMyotNawzinAzhd2pO998bsSQM/
ARUBvFqUmytNihnRL7p2iG3maY0U8nymxbVzHQYZlbXqXFNUC5aK5cvNSkynLA60sKjwir2fFAr1
/MSLGZi/QQo7W7fTrYDuK3Z1kwrL6ABQezlETWR/Aoi1gdcUMYtiTDkqGrl1mpv7+6g3bxLYDPvF
gBlCQd0MGzEMWwCzlBkGPsLYG8wit6kPILD5xS2oyK1rk+mDynmZtDRQB3xj8NyMLrm2JUNC2uLG
JIZ070Sat7HRM/HYoR5BRGJDnzvl/tWFHtDHBTjniOmyd/NnX9hcmpkZ8HKtwT3hVy95yd7gvoqK
NrWYOhVons0SuJpp3EKLrjkC0gOtWyILova5dfnjss9CJn0DLoz1RGhFujOk/Ozpmh1WGu36unUf
yppWRK4l19rYX7pIcjfWSLzWnE6wLSlbFUaAvlAnfBOX/qaaNCCPS7F8zO2iHDYYzIUT+p6htM2y
yOzJhMIQsPf1IdXq5r0d50WgPFByF3SH+1M66txCS6cPvIliwvTCTEcRmdRpd00wgQPJGKMBtkup
JtTGc97pIWpJqUKsUQ3u+rbVTk3Uf9K6uv4Cc/mzIBySCoU15c9ea2kL0gJtWdSW5X88dBXwCzpI
k99spNZa2ybDJF5mYtCCmEcRB2cvuvA5YWs7coxGdYnmyXNRggpVHrp56bTHORbDNgGhXJxHiW9R
dyA2wtm2c97CYRkccw5jSJvabUWp6JS4zv13W7FfHFVen1TY1wgHcxANCB3V2WvwT+FrJkU72R/c
dMZxsiTPac7Dxaq8+15SuLWhym9Fykj//fty2nu9n4ISSk3bRJToWvqrQxq6I3P2u6Y/GOPLYscc
tNL8SzVqOe6j/Pn37/ZKYCReviUSI8dE/7im8f14HiP+RCNatuoPxcwAWXcCfo7pNcZk+e17/bfC
8EaFYXW0s2f/9w0ZSBky/fLp+xPAnz/z5xHA0//gJUCDUQ4WbPhXFdufZQXP/YNDgYN6FpEYlYKV
JfeX5YMwBn0Ng7H4ALrJaP5nWQE57JrPTvcEoYoDW+hvRda/niicSm30dTj2UVWsJLwfh1BMUXLx
mro/mGaPWwjfJ/oVYSb+uaDAyRPEltU5jFqISH5Cveu7a/WLafpqAKNNWI85RFToa1In26sf371t
SeYGUtPtx94cQncundBIzQJjcVoe/oO3wt8CPEsILt2rt6J9MxiE53V7YYAdIVB3ZAeKyRPZYfsf
fCsupW85KBg5w62LxHdlksWgeUOZAiPfNKUYGWHMSDKkt93k9sfff6tVQvhdL+3lAq7JcgKmmmn9
FF6J3LfPC5sL6KcRut/ZRBbRO8/T4ARxFWG+qQGdrqzkLQrO+ltl4N8KHBmDv3hztkLrKEbj9Op7
dji6I6vpur1WC2eFXydhZYj279HV+Io2biRQYDwUzZVT9+PVVACuFQ26fi/hYkjGZqXg7kytO4RZ
U74ZavdK1PvydlTydHqqJsPk5cT83c3DQmNaidH1e3YqHU1G+dW1zGePujsIz/LMiUgY+f09/Pky
4mkiNpEjv0F71Xm1ikcJ2xvyvPrV8ox7AY0FN8uvw9+/y3qZfhwpvAtFO99zaQbZ1joVv/teeAYp
IBI4t7fSYd5YmnbOY+JqNkyOsHppv/GdfnUVv3+3VzcNKX/cxnbRkypASyECSx4P4JKaDAZTjSlq
I/P86fdf8HUo28ud83AD2BZScgbkq6VsTnKHZiXTDgSeuILbUDzEeg9mt16wUNYx/OH21sVTs20L
ob44ne6dGts69LGs90PvD2E/YQ2Ro9t8niZLO86O8Ddm1LV3Cz3Hwk3irUEI9xsL0+sQy/VzWzpO
aYOyjmv+NOI8xdGp7phG6dgLItdWljhFFnsINc2COgwpa9t49RhYXL3QxB39UV/cia2t11xixbO2
MQSmK8RBf5b+/u0Et38xNGGCkpTBDLf5b/377wZN5kMPRLPYIQdOQpqldoCOfkIQSU9NtbF6N6VW
Riq2Q4+vxgl8mqpMnqOBhHBWTtCDYWkhcqEH3c6VvrEQ5AVR5bElNuOZ0qspL01n0WhWgz3A+gyO
xLVBFHPyeuhR4z2A9oy2PsK+rRSauyMako6kJT0KntOpyyVdO62gchrZPmAT+ywR+TtUMWxJxUza
m0XMuATbxaGuu6qhfR3aFJPdTDdrQyRhdK4ns/5eQ3CwJ79LAyE8P+ezddt5HQgyiBQHyFrdFa9c
7X4/Wn+eIFCl2Bgw64XvuO6rwTopTm82Jd59qpJLLe8T9Pv60Uin+36JmrDvS+NvT0neEakXxuS1
G/E6K9eX00BSet7tZRQdDSVCnG6f/QpYmoVwFUnW4++/4c/PdsykrDakSfmrrvTVsqZif6i4N90e
blaDf0yMR0iOxCSZcg5+/1Y/D1MPHJFjgnUgLddyXg3TuLdJH8Mlsvc9BCS11hrHeuzdNy7gL99F
OB7bFEScXMMfJ0NJZlXZjVxAzZE6cZ+g9A4IR73r33+Z114j1gO+DdAjpDhYPXj6/fg+OSJUA32p
2k+TUQdokrOdM5WYZlRVI7ZSLlsKBj7HDwTm3ns0fvta5G9hOI1V9//jAwMXFpoglDo2jUrx6v61
bS2WdHDVXkC8odjkFztUtt1OjF3qUSBZxBHPvB9Kvf5a1KN7m3fZuI9tfbgol4VkiLx+K1na/OVn
Qp0E+548Jfv1jiMWmqZFiaX2VdxXR13aoa/3KCrB7VxG8Fu2ids3HwpkprAxtfmqb1KySzhTB75X
1VQ1iq+FMQ2XuTcFyzJ+BGJhbtu0a+7mqifOryNik5RC+IlzcQkT5y0e7a+/wEvqEVt65v8rS0tk
SB/BwchFTebbmPSTHZKi+B3tYh76rZsFERkzW4QLHU8sWZ4QLX/yUvdeScc/9k0EAhGbcoi21b+p
F7e+9wgGWrAInyyPGhBa0Jk6bQa3MuuKHaLv5o09n7He9p+GxXff4NXoHLuCD0zI9H7WsvgULX51
6uwJFKSmB10qWeR7ggGyTD9aq0hFNVCHfj9BrF+OAk67RCF4poGI48cJ4s2sJbhR1D7Tkm5lOnr2
E9uqa1coEtZ8/UtdDNN71zSSz/iiun6It1ltgtK3yMoeYrUzdXJCJGm2mxE9eLlxzb7ZJrzhngiC
FYoZG1/nyjBYKt07l+qirWe4ITT/PT5VeTAGWz/XUDQd4F1+olR958y8USxefO2+st+45j9v3TyH
0yA5Eg78N05LP35f2/Rcok1ZENqseF9FAAPhNGoLICWqf9Yb+8RfLNsOOxJOnshq2Cu+OiepIneo
/xhqTxf32cdUxlObKrJAz//GO62v9Gok8U6rJVDQF9Vfb+wJyeqJWrUZSTK+zw0rfk8i7JqXN3Oa
sBGLoSRxNO8UOcZbSWC/ePo6ukDUaGHmhNT+6kt2May6KCN9u3fnDzjarie3vdVF9Fy43RNHXif4
/ZB93bxf13TIDiY1PZMDt/N6TUfpqKY0ZchyDK9ue4t9zxxZwVyRz2ENy1eU3PfkuU5BPDdsbgQ1
3kHFxPOyW/n9R/nlYALOx5MFrvxPkeSAxAc7GZi/o1d3gd64xGhgxdloUJ+3dvIW8fsXD02QhbQ+
UQusss/XBwE/I2Cpn7jJRO/u48aItkvvJW+cEX95fQ0qGYwkLi9g/h+nSKbgIhuiUXvOyHLrEUUN
iC7z6faAkEOiyOzEORBoc0uORQRnnGpAgX9HO1sW56018udDuYeUlt0yVmGXgvKr+QoT2AYKk/Nh
BiqxePiQTsvlYh5mFKqloW0bVVb7xEVPWOe9/sa0eh1y9zLW2A1xsdm3Y6l+9faEXuFgqHS5nw2R
PDWu1Gy6OHF3pVLDxgGHvs/Z1j0vQDYSLafN4LSFTYY1lKINCJAkp0s0jxdDYlFwNruuN7Y2etwv
vx+Iv1hoaHI55A3q+FldVMU/nC0SzUtnu3LavTNFctcLrAZCkRjOXj5945L84q1owgsXFDxlOO91
7SfNDNWQsN3uCRcun4U1uzdLlSCz1Rz9P/ha7EFtoTtrSe2nVY0wZZISPNHuoUfKG6Cgzq6e3egs
kx1VxH8WGq+/rZT/qPryukbgrP73f36xiPFOlEXYIuIufV2pMBeQTHXPO6UE8gQRSUB3MEfISNMV
lsipRCdTJ/Mby8cvLyXna2Iyod7b/qu7Fsd6hT/UbvfYZujF2siW06w0A6mb6o23gqj08xOCnYZO
DAbmY1qdr0ayl4u6j0lB3uNG1NudAyUNn3MixiXAE1QVW0cibHbYkxfb1hpGbcfJsZ/CZXKtEnii
zeRKLWqMx0jNxYMJljIJZJV7fYBxA80hntLkEzQx7SInsk/RrS3WcLJqxbRVfCXUhU6NvsofUEbu
RvzY89lLyhn5ke4S4hxGqUlSuXHv9CD5g0IQebfLjHJyQuCWifnoj2QtfnUyiiXxpuEEk5yRf2hF
gUxzmbxTRW3Mx6KiurbHm1aKUNMb41QuuDH2qs8HdWmX9EguRNfP0Y2j8JTt+L02YvyRKqeLLfy8
CiqMUfGF50J4DnrbqrNdb7fF3aDReD9JRMwHQ+ZQAuZYmnLjJ+lDqRxLYCPBXgxdf4zpQfd1ne/m
PJ2RzjZYNM+zgeMk+gi/QZSk1IhEFYPOPAX1gN3xrNTwiVB3KBszaEp73VylaP4/ubhqyLiNuglZ
Jl2Yu8bGYQa5RmXz9Ri5w12VConoX2t991ZHKh+HqLbj/sgmdtq13uSn9OxiDLXE/C7LVqnM31dI
NeqwiNbyn66ZSMdaZXvvsqQtkJWWtbVVIhlIAGoam4Zjf0Odd9cPdvM+aszisdA8/barHMzHUIAO
2pqfaLX+FUTwXdWq3UT//DZyKaKKBIcglr+9KfIxyP0ccVs/nKxhHmmJq0+osGHq9SYUlWyydjj+
vghLG0NkZ3TQhHT3DlzH0Bepsxf+UqMoEMsmI8TqTAH3enI7rDqiR4xfuQPiXocYAWvF5EzzBvns
AySM0AGLeW37pQwNEviuyR5Gekya/JlXFskFvl2QkS52apVGD9Ni2XtbM27SFPQAEsHoGPki305Z
3rOpIGap4CkRKOUuN3kxHdtOdJt0mW1+ya9yqkvTKOQpnyYzWPS8DaeOHIkMMwZwC3ibo5UEpCp5
14ivb/HSTaExesmOziWMRa3rg8iczf3C1vU2IkTiI41n/bxKkPoT8OEEk97JZ0drCcbrcN17FKxJ
FqntoyywHbmEox4tPTWPanZJipqGE7lMu9RuDAA/82OJa++xSqODa4u7tJ8fcU6iJ9R9CnV99FgS
gCiZgaV3HHoXrJzW4gy1kQn7XnRSkZUGTlx7qAuIsSiI6NqIzF+ChHPDbSq14bqNpXererSGo6XO
uzlywQ9i9py16qtqCZn3rC49pKrEGF16w7NQXb+ZUwIPaTAPabfMGNvbCsPAhp2mxJJZp35Hcq6X
LBuTwfO+NAngDNyWcwQPUxYJQjzHD0SM5ZftyCjLZmQcXm4cSZydscl2Nelci3fG/9ThxIQIo28R
qd63wFQSJV3VbmYzEoSpLsqUHzTD2pENiklZw1bY7N01jHVygfAcrLww+6D0pDts5hqR67mmOfSr
c9eT8aaYB1s7UZ7VFUXaFleo5EqBUK2KYPHK4T6hqn9tFhmkorLK0+OYAYyysWNfkp7h7VCOjcsG
Hup0SlKlPzl6xH6S+m4TuotenDU8ZD93yosdmvMxxpTRTi1i4pRzJ4YcMTbFfTJ1K0wEmxft14Ia
/x19pvJZNhIp01wq4yP+WOJZ+8a+IiO0+YBhdwzwp877jh3LvQev9MOgeJ1ZKzCXdqDal5rzdDpV
4ghcQr2nCrfmvSk04xANGAnoFtrHBNv957YR+S6ftPbRbQk1yYj1Lo7gn0k4wJT33q7x72J7H8fA
ieyyC/pFMTkKU7NxKKKCiR0A9BkbriM+VRimlJBDTqW+3OWcm0piQQBWbHCMDA9tNK7OaDs1vI0f
r/3hWhdoUkpag+jKE2TtI+vICbpxckdIerGpXdnj7edyag901/mK7gp+OYtNUlcyJx8eBpO0h4s4
iuKr1MMkQGbuclGjwDoXieBViQzdCz117obOtJcNO5H25DRJcoVNsflI6Y5wgaEmzEQyVcMKk8pu
6ad8N9aTKPcAaOKromgGd9vYMIOZRC2TirtLEb495cSxX7nIl57kEMsbsUjjXqVc7xRp/37BU7r3
Ei4qMbLzmcbQvGls2TzZ6wlzWzlLQ/pqS34TVzY92BMAVkeDm2JI0Z4apHbny6Cap25u5CNhLMQC
uG77uTZiogOXPuGy4gWNTjHViH3vd+qLj4HhSiythpWq9uOriej3hv0ukK8vWMsF+qHGHC2sHNZo
RPO5wWO5CUYfyayGGLElri0BM+f1PaYvWM/GfWPMBAHbdfSucRKiV+2+/ujE6NYgZC8JWuAlIjQL
Ru8Xu0f/EndkGc1Sj4IYH//ZioE8QAKc3nlaxroYR+nhRWqHBSO+6onGWxBB2uzAK+Ior2DJFkeZ
r8bwzqeIEwBei07Eg/APXlIa4ngsuiBbGrQbC/OcMlal3gP1nZ89d1Bf3FjY2yiai6Mhu3WU9zCv
6LmY9l1aJsMDGune3Y41H7Kw9fzW6yQmsyxx7jR/gb3cVGNyNTslQWBKVPKxINLq2nNU/6A3U36b
rrebpADv3F7zhFox8EY5zjBSzFYTugayViiumpcl87Uea/OzvtTpXptW0xxF++gW57k4tnqCLssa
ecV6yW/Zsk/vfJ2OzDLisD8tkpI4cVkEMLgk01bbqIc4tqHeouQGaCoxxY5Wo8EU2VICctec6FYk
HLk2Ta/a+VgOAwavpGckLSQGsfQ6gpHGmpVckcKKKaU0lvpaszKKuMO8Gvx05SXDkVAhr8Ky1T3X
JF/CJNLLbNuWY/sMtt54eIk/GkZlfEXIicGFqdfesFoszzWxJnJLhO3qTczs/ivO3MXmnhGOqTUN
l8XhSa72+pgbEoOWAeLdLLRbv9NZzVyHaOTGa2+6iPyLvjWby26Ymw8TgOIbo/Piq8hZc7J81F4I
Vqwj69jq7PWY3xU0u/ctwZD6jdQ8xRpf5yuhe665eJ7lXnAmjnZNj+sLIL3pUjftcNy1keV9XJTX
XUZlE++HohgOwiG0rOWxeW6h7gPX5sbptSNUswMDpN7JZsBsj46mi2v+SDVNE0RDYz3ZfmzvRAM6
oBEgEUyLGBmkts7eIC5qQ0dTBDkmjWYDW2S+NUo5XbMJwVMI4vDBJF0EXHR91/niAjQw+kBdTznL
SBmMkE0uW+o/Oh6nU1Y2krfNnSt9BA2QYKreOxbRV//H3pk0R8qd2/q/3PHBQd8M7iQh+1RKSnUl
TYiqkgrYsOlhA7/+PpTt48/fuXHO8dwDOxxhlTKVDbx7vWs9a9Iz7W7C+ntPx0z85MZmdQymbKAA
JJMLkGCWjY3h6Ecn60/jPBdUmAzjnZ6o9gKqnkxZSlyAUZ8RMGD9h4T6PQBTd8y9crrloMw/RyB7
TaYbXNKAZC1W12xL18D019vnaRL2G/O2jjl/qn4Eat0zVZARUZaPTVx5bMtSBtJRVPObP6nkppep
2nlTfaDPqYkCBah2k2G09dXyHf1PvueSFk/uObxI9L4nXOg54YTePNtpKPK8O+aabm3GWIPgJW08
cSAQzjKGvW+DiH3kf3iI8rH2PDSay6UuSG5Dx4MMTuw9DCTlNwjThAmg8n0PssB9JfpYHLLMe52E
LvfIpSlzIKPcRq6NmVWm0rvMR7ipDPMY08/6I9VjRUWdRk8JDrrIz6gDVyNfxq6m20rlSIXJPLtn
hgv7TdjOvnSmasfXiQtwJTidJi7VnAHkvl9jPphvlIoZ10AGC64FaT/XQLbDiRl253Dt4k/rilfD
8bzHeeRdckawajuPuXDT9i3wL1j6XwurJjOskz67NoKPASTqhFjcVNLOUNc0J9hSdOGEkw1eC7CZ
hcLUwXMZ6O1EfAdriZeUDE0Pgp5eaFujtZWSg0U333rYLDu+ijsy9DhZ2bExkHnDVdpO/AKdgDHD
HkEEezpGeb/Pbr7eLlEuLf/czTS2xnq6TR2KpXKrde5l7VRVSMzVYGlRLMd5rsY719G47ZCIzfnC
uSU06EnAZLFSvO0CcA7muZJjaUG3PbbESo13QdyLb9K03T0lkiW3nLWQqFlqJI0h06aHILaay4yY
vTqLxwysfUslQkAVwc2hnL0V3nSIxz4c/S6/K3iXz11JDKazK7qzWPDgDe/6C7rvvHE7cTAmLfgW
sDPlnPO9pXgGeo2zhA3wzhWtleJOHnvjG7yQ9liZ3g9jcb/itmo+mFiLj6KDCCWIybx4BWgdaxyS
be8N8nF2mViKuTVYegf9EiYTrCPGoekAomTMTppVKTsaPb3zDl5uwEApbbe611QCT6Scveoe+QZ/
pekLaK1DUXARqgxHfEgpykez8eUjfG0yn9nMBVSkqv8sOlMHOC7SzybWFyzOGr+wwQVwclpRPWHf
89W3lomH9y3jkANrgYK5UXPpwax97igBBY7cLdHOlsIAU4H90iKdmJnPzMecTHOZ2qckn7pPmYOt
64YOEaGbB/krt9cq9W7p4w+9E8aPPF0hD5UNFqVrpvgDnD6HcDvOtCCsl7j7pGVJk7jQx4Au3dwp
n4pm4sLQpZOqdl7Sj9XODhSKxjClfDxSc1gN0iVgpNQdQOMESRV/OIbDvwlqgpeRJ4LciexS52NU
WpSIRWPHswT2gV0qKnFpeRxiJh5UZHbZnbPF6Tk36iVB01DVil50hld+86IBiT/aCvkxSu1g1vba
vI4APRtSSISTDC4i1e0ycluS/mERQw8G78WtLiymIf4Y2zElrDXQfomh1aEnfRh41KGxwP0p2wo+
/vpiOqOWDBuL9SR+5k7HmeYZC3h6zhPV3gqcJLQaAGMhWhAvPQCq8snBP1bui0wg9+AsyDhg5hOE
XQMV6N5snMnY9Q4JiLntqydH4ajgLWTfGqq4WXvfPQc9pKXFS5w7XAzjXs4YP+4wfo+/RhdtdEPt
X53euZqRPufzaFKtAjYJ9qz3mHtBQ8yh9vVnbObdTM7MhjhlD/zRB3PUeY5M5TzrrIx589x5KjX2
f5VTgPfK+O6i/adzhC7DqzhqPT+/kCz9zDi90PCkmIjnbuy+MohcxT4YWkg9Q0BFMfycDBJwofP9
2SjezuVQov+dFOhDOlWqnonOSe1aHHW3RURp2a3go6etq+WrbnPg5ibM/SuUg75yjgnqyNBcgDTe
Ey/WwUcyQhaUffR4p830xRDkiZui0k/spNuDkgNJjcSf8Prm2etC2PZFmRiAf+ud//ag/k8eVBN/
3x+k4f+SRNt/VW3yz8lW46//5h8eVN/GkIjJyPzdWsy+6+8eVOcv1OMgTdC/+9uvyP/1dw8q2m9X
DX36f/+Ppf8Fw4ON1xSLEo4A819JshKC/WddlyMPOVt+mY6EjHrtriLzH2xFgVlBrKr84mD5ybuC
9bDpO65DLAm/ge9+akH6l6vu40vjG6BfYzd48CeQhvpVI2KqN48WVUjHblWQSmh+x2BVlQilAq5e
laZ+DNpfc4wLslp1qGpVpLRVm2KlrN+033rVqlxZBbpa7WfZLtbKaTsk3o1mKf9BLRnF6708lypT
/LZhPTI2zbbTTPovVrUMUStsRnk/dyYQ61VRE0hr7aqxQS5xospTXmjMang2syAPk1WVS1d9zkao
U6ti1/XJm2tL0Mqrmuetul6/Knxi1fr0VfUz3A6xZVUCGeW3NtLggEQ4rFrhvKqGEvmwAhiGI2qk
t3fVFrNVZcxXvdFalce6aBgRVjWyXXVJtSqUykYlob7os1/VS3vVMbNV0WSo+W6OaJzIdCfuFKCl
MoRKsSqhS18mW97VjVpVUolc2iOborLcx6uOOmjNdKgtNLmJ0P8tWPXWflVe8eXsZKAeqb2XtxzX
yyUr/HbYCDbaOQe74q6trURtTX/kKlM2+beBE+Mji3qSXZ3Wh5ZVMgbXydg+NZYWP2GEd852PnNP
0yQIGSqVGq46dXZtq0J9iwMulxhVg9dJWjnVExRdku9A9UrHAI6WIjEGtdR/9JTiOldYDBKFCXOq
t/z63csEdyjhjcVrmZek5Io02OtmAYms/H3HNwoE8kSv2wtikR+BVTJ48QJzMDhvoh90Zl2e2i6G
+0DLZXkCbsmU2vil11A9lANgNypwpkSTq/PMwmNnKk98eCbzRTTFSbllZxS/ipVt6Fux3E4yq55o
0TKuljtVZ3u9AzDuio+6jrkjUKrNLSvLF2MnBQ1aPULjw+yM5MQgrpWbIbEn2GFw7xcl2wNARrbr
DvbPqG18eK66BZMFmetHO3jWUYOjKMKERP0BQyQ/k47UUleDFiJMA74i62c8oxVh8uv5lXgm5iHS
y2R+MBM+ms5ARvDgdCN/fDMn840aN56jrHROUe7AhEl8HHLIzPtAVRq/0MBA3FATkJXw2OQMJETW
7ynfv33msljDAsmJN56yzgXh1xevtVFmV8BT3BBhZ+2Nwaq/nInzZDxU9f3vZyZw5/q7cTD49YVp
eo/JkiIROC1Nu3Qm+o/2tEpjWi9/QZ2xYa1QotgJW4WVC8wqzNY//PdBlR1u/+JNkh8E42EenZGL
SIRNd97qQYddUNni4/cnTTg9j7Zgdxs2xsx5JZtUsKXGp7pXNYTlDcMZGicCyyvjmvmmynWP0Uvb
e6Rcxj5WeTzdDGY6MlicSsxk8OxDPfKmDoNdnsjr8a6Z5K52BYzSz95LM8qgKvfeN2B0NLFh3mJd
+DfVaDQO84mk4SZw4o/ARCdTjkyRl+KJXzT6PKI3Q6MsklR7qhZcj4vL1EtDTrCvij7Y/n63pJLV
U5bMnR92eVz2oYELM6zgDBA0s52L0XR2TDqxSEfEdX79oFhsewWduAuAEPLz4OiR/EKzqbKwE8u1
K2GSNPPDoHXPY8OsPjo0zMPXS6Q7h4F/Z/YD5/rkIR2pfi162pRF+8tRwTmwOJH0TMSl6d2mzuL0
kO57d3lN2s6NHH3yLy4CP+Kxs82JU5n1XIW+WVa3nvvYsDFXX7WRGe6N6eelM4RxhR5rRrnhJ5Hr
1VZoeLgfMzlfM5oiAIpAy69OVunFD5ATp3tjMkGuUYhNEtJ3071b5UQqg9HewuBGVGGvfBhHEoO9
nzd0gILAKxOAOI351ZRjdW7SrD6LZei2pSmNIzbbn63RH0rfeeQ2WYT5OFjMpQm1u0CFOs3/OQ9Y
zekplTvqRkGqzCVGYGnNEQdnjpEw/cawdt3qaQDiFRJpXT7l6DCusX9bfQe7up8oDx7qU+Dle3xg
aeg4C29w5hq7qaHIVqg5J9NhvLgzQztD6zGfZnmEZ2gdFBfhSPfpoJ3KPN7oAa1EyUKbUFW9N/rA
xrCs9At0bu/U8sFne+HqkTPG77ohm5DY5WYw5l/WXN/qzPe+MhMNDDah/uEh2kVGnj/3GBq/0wBl
bfmug2W0GhiTQ8kCAqH7BFbVXluwF64H1lgcEkruGF4hwIcL6lIQPzWy+0znPqb0wZ+vLFMVIY6E
VUxY9ibddeXSDttlNMtLZbjXgmv+Ix8rOiLc2HiwaDfbAvAsQWgMmjjkJc29dkcrY2eY9VfnkLAk
53qcZZXDkKy/D0VFhxsMq0gY4zc9JkKrV9ztA84SGEGHn0Qz3pvU2utzE78oeFAby8rHjYO+SS0B
m+XWposH93Po8jXkZFUm3+CidmHZWVGPXeFCjDvZMiT4n4CixpvHGesln5t1hvCCdavpzifVx9Ae
RjP2J5ws4kV4dNXZnS2/utgTX+hlxYnmC2/NpMesZzUkCddWu7zj3yYS4iW0pqsXi+oRpi02o7Rh
srJWZ0jd+td6rNVHqc/FhzIN6+pSLxg6TFiblpaUCHoUBn7ZZ6jHaek0Ycy+Ldi4k0guI6sS49SZ
sTFt0m4h+B80w85PGqnzlUhee3fS7l2j9cPcQjDlTaTGLW4TDdKTGC54rWw+MSURxqpxavjpi+I2
OA3VtQJZcLLZ829jCKCk6pv4FY5Sf0NfysR26ZqSBG5Qatc+8Z0jk0K+N/Sq2WYTeGLI75W9hc3z
qyS2fG/IpH9RbaYOILSbN7fpWctyLYw4FnK29RTRULum0dJbjrlkCkNF1k56xQWshiV1qPCphXXb
C3Y9c8zey/B5WgU2CLv44XXgOro2Vvc55KA7GnhbgpFVu29M7F2DooaameFuYiuPgXWfmAnnYH95
F21b1ZEoRxbYqmnDxciNTZbS0ChtvQ8h4tn7pVrupiwlw8hKa2MO8cp57caHBeTYJh+rjjvX6N/P
im1/IzrFvjLX3q2eStGy7r6URxla4879LqjdZDcUcb3RLEpXWzDK0dAufMUx1a87jBt30Oq+pD58
UwdUA3e6cl6tetpPakoiKG9Ps2t51ykzyf77vtjjkNzTbkk/odFuq7FKvppppveFWx6NxsV2zATI
FH2aTtlodBT/dPGRzPolS5qbHTtOBO1fHOfFnc6xwL3KakNL6Z1E1r0FOVdX4+wNpKPXnA+1LPU+
l0okj5YrGqrrhk4lrPSUTRFOoGkJt4Sk0TntBnoyIxSoYqb7hvl3uTiMKjDgE5k727kTYzT5dK2z
ws8nQbXhOAxVJN0M91OXjOn8M6W8cLQ3rhVX5oG74Rtn6UdND8adLINV8hnUUwygfWvMS3dNhFPt
xOjYdwgL35rFyrZL7d6yoNKAS/X9LWVrGRWUEN03Xu38oDd+DoVZLj+MzujvlPS0XWaMX20ys4xz
zPHOH0cr8nyEOlrp1Hp07x4QeswLgktzSxhVtibcw2jWvA+ibvGmIbT8XfXJzDaktSE70EEmtczd
JELX6SvrypDupAnEqJ9yq6RsFOk62+s+BAeNbkt6eM+LxaCNLPDpmWrc2I2k6NXIQ9rPf6YQAtDk
s+A0J4tbboWxDv0JEsoPHbHw08sdcVEKjpjpd/bBcjOW+yJ40gnVrP3f46KxK+/z40LBOZ1Oiz1f
bLbvj1BSl7eCCqG7LpU/OYAmULBNKnWB36waTRlXUVamPxspuetrjfz0Rqo2IHX3/W6A0bZrDb19
Z3xxtyabhxs9DEvIDHSzMuHcAxBIOlBwhXXS7YAez3nhmzaU6tUd1HCG4lZelmL0CZzMfXGfl40H
JN230h8YQnSQxSKbdtBruRXowUr94GhYMQcUgf8JBYkLx5g4xo1dg/8GFaR+XywJySdlCYs8b9ka
l3xvpUvrqnyG9AZhb13sx+uKv+PCCCV7OWbr+r9ejQD07ebXbDUHGKtNwP3tGHDKFAAGPTwVMmfF
RyhhKBG/3QXU1/fPiHar6aD/mweB6Xm1JEx/NShYq1kBlWj8la4GBm+1MrSrqWHC3ZCvNoduNTyg
ql/ydpCcszBDuFIfH5LVIEGDJUr2appYVvuEsxop2tVSIVZzBU/shYNfHHlBWu2oSPaPxW83xr9V
n/8Nfgi74hrJ+E9D4H9RfY6f39Pqn3LHf/0Xf9N8DIMIMclesr2UlLgojf+p+cAy+4tpQRIjDuj6
f0gd2wGpY52DHOl1FnOujxj0NwXINuCcYfdjEeY4a4eL9S9JQPafzItEkMg187TWekKbbo8/pUty
I24GyrHcK7qkdkxo123OFGdyCaSIZmb5uJLBc4vDJsy24mnJaif4QUr0K8Xz/mR7uUUfWEU9uGtM
b7mnZWfcsBP6JOWwMZts15dsebqgophsmfsb66EEJHeiVPOil00M2XPMCkueoch2eyZ4Ia4esWeO
TE3h71hBl0cZzxgAxdCEcjaSqJSFTSWD7+xw6oFCEcHwmNdQrzdCV/GlYFy8dAPc/tkdm5MZtOoT
ouCHLXsmu6DT4bhX3l6vs/qjlbkeMtu4LJ2771YrDP5etF9qw01Ky5Y5nQ56Xdk73ijtCn41Zo3t
jbuUsF4bQ0k0UUQwgwyGHHdOV/A1NwGt3Gtpar7RpbOGt+uINFkddlmq32aiQ7d+aOjQ6/W3wskC
aJHTfD+V04oiD96myXe3oz6HsTXKR1tozcEeWvMKLbQ9DogRoS6y7CLHSh0dN83uAq34HvQNRywc
r1sHgNC5kVBBikobf3S5Fx/n2LF2eWkUXxTjtoApfeNrzdw2od+11SEws69hMNstW6npm2P4CnBR
JhLuFz6VC7LwP0xzIHrhiZTXpnqTmXxrNB6aOkH8rakace4D5WDwq7bkn6hyqdeOZ0+VHCvgbDgG
7IVAPnnLRKCAPVx9XD+RL83YuTv2mWxjUKDyA0pGk23oaSWwDTOKklLuv3udHfaMTXSFgrq5kdzs
3Mgf5rlb7mOV6mG6kHROLeqRIctPDo9iVUhknr23RYH9keK17Em5XXFxMFNeUoanO0J5ZLnSWD2o
tml3ZddNP3v6q8sNFACqEXOt/gUyVoDmULaxl55QF0a07DA5ZXfpYx9Jb3JV8pliHwiLmr0yUWWg
dDS8emcDtaHaZL2nA9Gf9Y3bBpQlt6Wpl2DlxmCT+Fg5rGkmMcWmxcShlDfcK4BNRWaSjjsY8bia
NKkBK5JmcB4lLfGbvrYxYTDRtStw80LHgkL+okK9W+buJeG+KDcjBJBfFdrd1veLAOgGHL7W0T7d
xSEQlKYCKkqcsIxuNYp6pgUDvoU3aecJPXhDkMo3Y+ud6xjRk+6OFIHC0X+MQE12Jmf3n3kTL6dl
kmMaumPq7lXLEMAxWn2jvMd60PLYIylB0fAALQZ8a67mc6U0uw99dOaTT/9HHcHTT7czNt0HrITV
FqgqRhKX5BJNN7gPWb/dCuwKe79Qwytupwo/ZYl/WsTAFL0gyaDwsjZ3ZODL0A/4k+jrIcpq0jhE
YkthSmrHeQt5TDBe0aydKX95GacGfpRqDNDCOtsyQFysre34LvXL9sF1m8ig4O85oxjhFljDoS2t
5V4xMYTV5J2cga81yrI5HbNYMtwrt3rAbq1hwTQ6iGq1Pz9R6V7f0ZZpPpsmSH6MCk2kuRzeB9Wq
oz9naXwsIWE9TaIxw4AjgzXV+h1zJ0foSj0mdtNeZlEDvSYRf8VOUIbIfHRxyow6QL0JosRS+nFp
jE+0dvda2015xP5tHmU3uJvM6GTIph0YNG/yviUnHMVZ/ax59Yzj2LT6Jw5Z85fUazBsmjcfZsFA
TVk54ndLR3DECSQNjczJ9/jn6iiLuZDr5tKfwX9PL2Wh27umLpPQ9Uf3TmdrhrDLhSggqRfFWFbe
rUpPDzMu5VCj0QWxm55v9BLHfecmuODBCrQvg5LezaRSKyTXPfwSsVbRMJFVt65xDcwrcsMQpX9P
FplsG3p7I/CvI/n1TmvDGp/4u7kk/aWVxa1DFaX/ETyv1bb1GRNL/7CUnALU5C8PupEF913a5s2m
H+Jlayduu5c2J0kmVD+iD2mMBi+1v5JV2VHe9JNuY6y2XDOLTZyrNGwxBFxSDR2kqh31VmOHDm2j
Xm7k2wPkycp9J0LDdwNkLmZXHxtWlk93ZTpoXLASPCyAkD/yYsSu4MHbMeKy3C96ZXxXMrHRWZcX
jg9xaKrZPDijW0sM1RDQs8yYIurjQdEFxW3RjSPTg74JWstwt7k+8waX4OMjLxsfVZ0nb9rkkKQZ
oHDObpk+iKKby43WJOpVT9zmFFiNd0qA7/lcQePgwHUTi0ivXzpPs27LMjwMSYY7p8Apip8vDx0+
e89iNuVqSd3wlaC6PTAwiy1Jegx87ZajHnNWbitwSFachJjE/UM2ucMu8SmswQQqQ92PL6x1832F
c+24SqNIQpiKVI3BiS9UuhskrrSkB5dnckDEYxvLS+K0XL5VrL6nmV7vNSodztgPvZ+GVxQ/2q7W
rk7XPnaWdJ4wtb/os03IPIgpUlUW8L9eW/b+4A3bxvHGF3ophhNenu9iEf0xFSSAmjxbKQNo5MNS
YJKlbaE7ZZzjWOwk9o0+t+phWS2k2G6dkQDlIwYq8x27m7pg54BEjLQ7vhlZph2KZXQuss7Eycyc
HT2ETUjQC/XBfoV1b290XOLbrLTijQeB6Tnwk3o/4E28x6Bi0NZdYxdu4i+fJUGIgpvu0bc4c6E8
HDpi/JfUttW5plnv2xh0rNC7sYrqBbeS7TrLL4IFz6ksS3B8wnuif9XZ9UbOrgZP5cYV1t3IVXVb
p8ZH3HFsgJWF3bSuLgWpIpxa02WODfulaOB5N7gyt7bWjnu4AsEum/L4ox3micxx1n5wSuEIGwwB
6oI5Hj0lhl3hdh8KjD/rCGnsEo6q+XpqLIb0uzY4bC1mkAmeL5ZTEJBByJPiPPVnuhHhhtuVHK92
Qc6NrCcuHN0rXoTmlk8MVVC8G59bvWNwIMpU7ov7quqNPRCA+opLbSddq977k97e4SAlcDE52j4V
ttzpqZlcPOz929YUwyHh1IhSh1H6AUFrOqZ2gezqD7RlCOGwfVMfoANFiLfXqfcc75f7mi1QmDut
caqWttw5vpq+D37sFxu6nhhS8s6l7ZwWk3Ljsv+InGqZfpZQ/j5cErY6Y+53mQRxxBP5JQfZ7AQ6
Be1xpdbSxKb7oRQ5uLilzYG9NbkUG8POy7t6MtnH5KDI1CgbQN528onzzsQhsihuaS7mACdY1ze5
uGfuDftML3YKW8VOhwxOM0FM6wvXAXROps3U9/VDbGn6L59Q3KaHOAlmn7VG5fbJlhRMu2H0oKCs
yB8dvOkWCtOM9BN36+rPxJvAW/1B8jQ5mFMcb71yqOmUn7ucldrQhewsuqhRBRp048XetybVV/Tj
4K05Bv3Rq7khbdhECKzpvfFzqr3inhgNF4TRLNj+5OYuLheiNk/+FA8CEMXop9XPbJAj209ZFoF8
9qY0z+1TTLNsfu4nP6ie1TzyqmHlmTRtpp+XSXkjWhz68IMLwxvDEsNFhCU+p8iFusJIo/63J2Y8
T181VutPFfAMmRGcb/yb6oPOyJhW47E+IiROlGWPZNExoGanYfSbu6bmpyvKJd4tvnlWPrc7HpF8
UoCAMSAR7TMIGdUmqafys411467KJv8IfHHhG8xh7uoN7vOCKXvTsPX6tIu6i6kcWuozjAy1Mv7b
W7vSEYUrW7ZLtXzUVZriOqlmRNhUDQe76MEPY7CPmPrMqLIZYUzVyU2SZPnBbQt7i5PLPOtlh5dM
bxkBcBRuWQhNkePOoCs9jcfT87oCEDLabxA4oWh21A1jXzI0qhr1gvIjXrmbIncVZkU/vysnvk8E
EJONXgTTE0u0JBpFQu1wD+7wbq4TMxQ9iNTWopp8Q/bHHXAP1f69z114LQimu090eHs3XV3K0ySF
eE78gjZWRk/OTN14ncsleZLO0u389cWOZSr28Jw5fTmmhMMRj6rFQjXRhz3UtNyIrnmKY6n31Dnw
owOLtWPeteWtTwJiJ43RvLZpa3wz8O9+K6vkNZaefrEBZ9IaWMJotMwaC3YZoAgNo372Alk/4WXv
yiiO69K7w7plP5Zp891bWpY79TIBv9ZSSPk+GZcszJbExkWLg+o+L+biTQD+f/GFivc+fO4Erq5h
7jkK9S8IOOpzJAkS1ngaMS8ldcQzKneiRTyKprZcUPN7B02/wQ3cN0SgI4gu6sfC1MfErwGAbKtp
fmi8teanDIrs1ia4Z/VmYZOI59ncdr5mbE2PQB2b9OyYLou4kCbOjtKCtIq7jwPs5PJh0rUfhV8t
L+AJY2fjGi5/HEuhaqs7+fyWc6kw+eQrPVyEt9xrc8WWAbwBftKxuFH5CKpv4XPVLqxajEYHNGDm
SPFMvmGGsnooRWxghiX1y/lzHWQNp704FsM1XujV47bgV5gb5eG4I5/YfKt65ct7IxedRRTF5TDW
GNwFCArQahQOqYvcjfHTXT41djXqwQjYDrkpq7isHLX5rS+nenpelMbid6P1HHj7h0HvLA+E7uCZ
Xg3Ns53UmZek9QnGJDDNQ6szKvY0/yFtmrlt1olXWin3seY1z5QYTK9/kH/+P3nQ3/j1PwTqdR9A
vE53MtIwZAnnz1nrupmUKCyDshutcyItMFPETzpyJ0n5Jav05MOU1n4U5snKnZ1mtzsnNba+B6l9
WLZdBeR51PbBIohlZPv//sn9KTf61+fmAvIi6g+l5c8kIWmMTanHprrWdXv1ambF+JCN13/9QXAU
EbpGz9W9P78AjugnDr2jumYm3CT+42rFrvSq3e+H+bcR7X8yonGcRRH8byTJoshKEoX/rEr+/kd/
d6J5f2GtbQLVc3CnoD7+w4kWGH9xVqLHCncJQN+soMR/ANHxigWEYCCp8yRWNfFvuqRFa4NLbRWR
ZBfIgO7+S9Y0OGR/sqYBaKBZme8RZjkUw2DVLf9gTcvcDPnG6NLT1OCuYTtKObXDkvtcNx5SDzXV
NtlNlht13hCZWcPqaGOj77BT7ThAHlpDQmnxq8I9LYtnx9tirBa16XV9emRjL+29IWiOfswD0b41
GJqdkBgFjVNzXBB4Hc2Ogj0l/WZTxJxWNoPUF8xZ5PUvgaC5dNOpdjkuxtLb9DJVwZbThNXCPwa/
F1qqIvXYxTUbHF9rfgRi9n7+Nmr0foBVftGtckM5Xd+Fs++YTmQgNJmXwOzTqAuke6dsjDdyHG4d
Ebed10Hl2DDIAQh2XCN7qoWYH6dU769tYsrb6joqt95UaSQT/ClxNqWjJ5z2RH0rnBqPTkItIXfk
+ZDACDuZdUsJZurvWSK25JOqrKIZFW+O2aXYtHsF4DuaHMz2du+Zb0XASi6z2uLJMAlUB6n9kZCM
uXeqOYiIXFoPgykoqqpmO0oN8yF1ly4iTOhttZnl1wRw/MHytOJqlerm6My0TlEQG6snL/1JUKTe
2/ARQxSs/GxISTLEnZrb2HJRh7meJXeMnfZVpaXFcxuW4aKrbWNW1TWuW/lLjG5Az66NM9EBiIQQ
1t1MN/jpxGytjJi8BCWyDf55/gu3/FuA82/TolDSX+mcRlWxpCTK+CTazrpZUzCdrdpTD1mnk5PL
0x8CDuF3p3JVxE3jjDQ1R85adEZplc2dvNYex2qSTxTqSBQvWshNK6fwllcEBnL+2Baiv2oT1Re0
pXYvbHuo2OjM6ToTZo1qcupbw+GZamRSIn2Mk+fF9zBhF36DrV2UFSdtykDxTdS1cbbALZ9mffgs
+Pn7ZLCLR28s8Z7jawxuHnHdRx/HLxJYLJDfCW1fbQ1JU9TcUXKSMftFG8qbbvKJ9tyhv5i5bZ/n
wtzUrUVRKx/7uwpS5js6IPgHre/Tky1SIyKeWTQc9kc7aqjs2jO4U2zcDGcXOulJT927kfZI3Phu
SR6w8gWlsxNzV0kZDzMiwa9JJ8E5xJgJ3aV/1bgj4FO4AZ/Qd7F3tseV5d6UuCEG8ZBa7b2G1cyY
2yAKCvvG7FFsS7/+2dWed5Siep1XiBAL0Q/ptcUO33U/hzIzQeqjPmH9ORfzp5awZq8M2ETLoL/Z
Q4AhaA7iQ61G7U75QbCNhzqJhG6/czHs7s1aTjsNVRz+auJQrtjZrzZJNyLcVC3JuMU9z5LeFdrJ
Y2TbEDd4Jy3VbAdPtvsCMyKD72nps0sP83oDgH0z45UrY44QmHqpQbElPD5BJ6Wqs12uxBTajEI3
emOLx9p3kiNIITLFnMqOwNymx//H3rl0x22k2fa/9BxaCEQAAQx6ku9MJskkKVEkJ1gUJeH9fuPX
3420tcp2364uzz2RvcpFUsxEAvGd75x9sjGd93mbEOzngb2fk9G5VXVP0kQOFFZBi98gQA4Pg2qf
MfwYB6OawLZTgkkZLvOLGkw8SIZKvU0lmIsvkz/I7IzX/S6r3W9FVdhbx5lpP+NUuIPpmZCEjPzL
JN3onn33e65K1BoK0VZzJN7pf7OBcdZm+9bU/MqkY8tNXabWTZDSPQPPiEvaDNJ1n6mU812YXiZu
u6tw5H4HwZfMjc6nt7nzoJ343J/Z+bfnaBqnN28ayUZRnkOtVo1xyqS5FbZ7dl9gEIQG4HEuvQS2
j3erZCZiW6I47KU2DajNHBfHMulJJ0Z5CwGxzL3HNtY/ywL9NrDIGgyhmyIquNT4AhthrCqdPCuo
NIuyjr7CorMR+8vIMXZiJp3sWm22m0LiINzckTPH7jlMp0aow9Tn7YmqibDj2WJUH4lBoIyK2RjE
xRgylN8ntVvgrC1G95B0CCDnUdXOw8gD+0nW1GdR0cWlh1LV2y+NiOpTOGdTs4IfaX9rufqjtYBm
hw5r+FqRmi31YwU0gSGBHfupsKBlVpNvUNoT58HBr9rjBFvjPky79Il8q9QrfNt6T1c6F643D+Er
GJRm21sqO4goCN9dTv3eiig6iK1gatU5kDXt6lqVyGHzAKmzL5l0B9n3/QqTM/4Abu0/80RxNIfj
NNy2fdNcptGiAUSTnqhXoOdLXCCEb8cVhKruq0nw6b2qzeiVZzIWWKIJt1hXsnuaJb2f5hh2hP9T
Xz4aZDu+GrS43mUmnQoMKD+yTDrf7dyzaakPZdURmOuxOcBxONpFf8y4264bzg/TZkrrZb3o8yoi
1IXuc9dP9hlpKv1uxGaM+aKzwKE4ZTQ80OTnPPMc8bYle49dx4rTQPzRpQ9MVITBsaZ59SNhqlHc
jAI8TkneLzwqDAjZFBqXKHYoJrJkVr+CCkjuZFoGAVdxq/Ta8rIZ73uVfFdtlTxiI3gCPg8sHyq4
f2RhlWG5C/mwltQj3c8V/QzrZqATcWVBjsi2k+WZt2UaDq/2MA0/fDes3lxFni03YgZcI/ACuJrV
ZJxqEfcX6CKoOLKpjQ9lTtBjyaXBByN5esChX9YHbQzlmxeMubueZr87lqKVWMijuEI60Vn8tXIj
pVZuIdtHSkuw1RujrPCblemRzxxJls4yy2k9KSZ8/ubeVurafPW91lfbPDITMPm9Qel9qqJH3yvN
PYssTclCl+M6dhWmJBki+NqiZ8OUWPo8DW11EhSZb5xSmZuppzoitbjgdFpSR4dPdVuZWNqIglOX
EpKyX4mmfBBd024aNuHn1OhxRmhMG5tRx+Wx0Yp66SzN69ekjlvEwqBrxBrEVfFCQUqZb1sSURWx
62r+Aa9F3vom2ydpOd9UEHpfdJhTbBc0xY6yiZ5qxFj72YraZ+xCAFa4I7KYNY+RNvWtNyv91tt1
imutxGNrBTY9DpOc5Dc9sCdufSGfPQxXFAxnckQYq1l95gVlC6Rx+Ndk7hL3QJJwenQTv+rXoxWK
996jnKXM7fKN6bx9sD1cdOt4tMzXbuYAuQ3MoeNaMptuhXVdfPcq9kpbP3MC44QHxX/BeJJ/wVHo
NDuZh+NN13QTc6VhEBytqdTOYF0c4yC5mFQmv1S5vgumnihG1pM4NLYYHlkuTa1H55Zn0t+wVFp5
GWtIm+jAPYk7Y+WKQO8puqGIwa579Q12qwWpjG7W51xNmrVcNiAuC0NS4iqayCROGgR3TWvN2wE0
0tGKU+zNym43cynTXWea3VmwAXS6OvsRxlYHSahzNGgepOdVj0V5kzht/SXAlfDNUYW/6wuKRVa8
mxQjlLXqbkNrTI4Bxyy8qr6NpBPVQaygj6j4e4k9LKddjD9KI0y5tcjhltbC8Gvqj+lnBLJwby7V
ILXwu3PNTgcVFmDxTVJn3jowOSNmQ3ByibQ3dLhX3cGNPApjAOUmL42rCY6zN2YLEEY23teytJwt
W9H5JjFEeRqwf5z5DdOzRWfnhz9HLemNtgU/UfW7wJP5sUoDubGS+Ws5sdJeC0vU7wELmousKpZj
ZlT/hib/Z0r+v6dk8lH/bkrOv0fvObAv2j2jdjp+/+//EspdvubXkKw+aY+KLw2eDwOPRkv5ldZy
P2HK4wRGq/J12OU//ZqRxSdtexq8vbYRWa4IvF8zsv5E/BiMFmfi30brv+PdQU75HzMyXYd8N4Bd
FgTOv1L7O6a1aA5HYwmDjxuoFem7HYMgIXtsUgIYYr4GNtNMgJs6ox/WSUA1kEPc9XZ2fErSBSRy
qoei/rvGwHI/k05488yYrHlAzTimNMKgm7HwuYbzOX/LbF8SXBTWPf5dh6AVE9otzhp3phgmY/nT
eKlDZsR90gQbH+ux6+/N/j0raj4zDJbPLfbvVxpre2M992k+M5CU4zuumWyErm1MM6frgBjU6KE8
rmQL93lbOlXyLeRTHGBayIjXTpAvMCdOEWb5auQOkHrd7RLrktxb/JmtTG25QJULVzNS0g0LicqN
5b7yFlIIqPzwLGPdu1seWBHppTylLzAxkuJjgSm8Fq0533XNZK47mTY3gdcMH2wC81cFk5ZzrQsv
m7VU9TCVcfBuhRaTcWwVqwy3NQ8oCp94cuL7c4e7mbD9BS20IK7ljhWx0mzQdBFEyZ0rs/EB+DU9
XFO7mZriqPUAKgEu/LrPO+AUatoPVqQvhDw8iw7J7GOkzYbjWOZeHFuwtWjj9klOGKapK2u2kFjl
wZ9LkQIAYaNntxTax/RT3QA7iPzjDL381M8pwVkzgBXBqqDSZ9fMrHxdG1P6LLOye4J7zkmqE8CE
YJ6Jlwjg6UtrsD4rBxvaQu4Z52HGs9vmDPYFJv71MPrzeQ5E9zVNprJaL7Cs8+DX1Q2LqP6nh/kF
NNvUGsmmSdlA9ipPtyWmj3iTDx6rNMHy5pZxtl6qG7vkvbqaWmEL2PsgyhB+LRg5b3FMrHwJB1fl
is6m4JK7Xi4OyLLRY1gm8qsVZNGDN9v8NGnq+klgLd51VahuhBUzJIRdER4YhXGiTri9rbavDsMk
+scgzADYwUR4NXK6dKWZeT8wbOh655is6VdCDm60JXXoPSL8zAOb86AwXuJAOpdQRUxMsNHp1/Oa
OflQNIh7S1FcwtObTiPPZtFbZSL/zPuYkEtowose4+a2EVN40mRIvK0oBhxMfq5wi0xBtuFyhScs
K3OhAdHXZVT8d1EE6rbqVVdsEcPLuxg5NYK6nvEpfxlzESvABAF1obw8I4sEUid9ZPKPIhdB265G
r59iB8uEN5rpOUcFy1sOn0ZLhdaAEcnvQU08TkMvp1MIfvRQDc5FuDFHVqXntZQMZ2AFvKcx5dOz
bSgZfPV9Vrsi9Tk96Q5n3ToprQK3SmM/gcLAPTxFol23aqqIK0TmnWK8PrfY1vYKOMSqKRpyN5SO
UZVKdykEKi5FPi+PfoMXahVhBvwyXsdVhAozvuiI4I23USXD/JOaG7J0KSJGbt9ZojIOQ1c/K47Q
D0biLoC8ZUKWjMp9kDu3xTI9Z8scnS4Tddll0wMqhXXslnm7WCZvd2rSh6GW2I9+n8tJo0ov3dIt
l20oglkBwIjYgoR31OuhBzLhm4z6fXxizcR3kka17xY1wEMWcBZ9wEYoiGNELCBGK0HPFN9mURMW
XSHEMQoOEa1BLKqDXvSHCCHCWxQJgqks2xeVIp6Fzy6bu/WEhJEvWgb1U7zJ0/e66W/amdfQb82b
+CqACC8xd2YTfhmv6ggyiasn9BKEE7IcgFYj69FcNBV4Oc+MfffOEMeXFtmF9RDLxemGniZzl5nF
Ux/JbJWNul0Pi3ADM6ffWFc1B2uQe9AhpnTcJin7tGbRfVCAKhxIp1o2N+0iDk1A4PfWIhiJhrop
iAaacdFLwlMdaBXx69GNzgquufXGQe0cDPYWl9GNs8hSZlBbmGEWqQqq2d6wc2OvOOmuW1ZUd9NV
3WoK0a/cRfKqpsl7ZFHFugwjS/pAzeMA66f+rovQPCVRIG7mzKu2RsPyCYTWCCC6z8npwXubgs8a
6/YGQAPVB4scNy/CXOAE0x0EOoxTvai/zAm9sIaN18TyogebOi4+Esh8NaoXSgrSH4ak7KlPff/B
XoRBXJskGwpz2kjeJo/ZY5MsQmI6+u/hIi1ai8hoLXJjtAiPziJBwiDI1q10Ts0iT44dlw4476/2
Il2Cu+RsGo/UMDj8Ta1EfwyMFo+u4WlQvuO0k9PsgTHQ6U+n8fO7edg2i1g6tArdtF4kVO4xxjlu
I3TVKsyqR4K16aZaZFe5CLD2IsV6YxN+qKs+69HOvdZJ98hFmN55hZleYLqwRlyk3WgReYUwF9q3
2ixy5zFbpODUld7G6BZ5eBBvdl9zPhZG8pQtIrK9yMkti+xdc9WYuR0uejMmnzU+7Hw3XfVoapf3
YpGoDaTdk90MEzm9aDw6LY/IMZmdo0GJmdj8s036zwzulEP823NyMfzlkHz9gt8PyZ75ScD84eT8
pxOy53zCysNC2aJ4QlsAk/51QpYsmBxBboYV03JABqrw+wlZwTdwljM3oJOlxJuv+htV3QBJ/nxC
BtgHAVg6nN49k33SlWD/hy3SlLVtn+sIdlWVjTdG3ICZS6zkcZR28j3L+/lIhAX9BhsFWk5ylXWu
As9V6/F1Y1yYf1GAGPv7i5Kt/5zMfLxvqkUsClt80sfiqub4Off/NWAYpCXhIyxT1vA82e3w0BGt
Z6NPsSUQudhNv/eLSNVXnfscEkVDPLuqWO1V0coXcQut5hguchcGtHQbXzUw56qHUSvpfCdvnP7I
UcsCQDt3sTf2wJEq9Yjgh6rW9aX/s12ktsDobxMMWSgVeRS/zoskp/yg/zoGFViRqQl/kjVHt4Mc
Rmi+HvUFkJDHkX+SDZ/0YLyddU0/l0eI+KfODOOhyOn3WOk+C+56w6LS56oZBqhxrOgKqc5WGCcU
0XDDQK8aMIPN4OsPqeM3W8Kp4StdsqRypZu5+2bZ+61YdqVPk4CEyIkBfY9+oEM0pMGeQKB7ooO9
35vFWMrNnGXOUxYGoMZgRqd6NU3oAKj7Voe+jL+dYIAqvO8TGLuSrVqt8YanPQsKr27Xlp9Up85P
6JRsBLg/tkdk/6rRu6khiF43iznhotK9A54G9RZmXPfY66w6BFNYHCB9NUwhvtuuvShLi7WCVv5U
pUN7EtpFR4TW81B4KTlho8zTe4ExygSPM8f3kTMVZNVwI76kHbFYp1Oty/KtwBIRztO4kHe0x7HT
8VuoW0NMPXBe32MiRRgZqeJd4S7F8TeMmMrNqGlPbZzJcOWEY3Bx2/InNM2pO5jtXEXUasriJ1im
VK2gV6TDisrU9iOvOXYcfIxsz0DJ4mMv82o7e1O84C6d/r0UHkPFUCMNoUbtPEPWmpGjkjtReAxe
I+UM93PbBPFzZZKS7x8AD0UkC8XMgmivRR89DnSfXjCrTyL9zrtrDYoW4jritR1VjmPsbNLdVMBc
cHTm3wUNZuZMFJhPVNtjORoczl/C+hK4/AwiphsqCJ5UMwbbIcdisW6F6PODn4slAY1Ox0bModvZ
0icE7GQHPinj4w1efipwCQfJsNI5Uo3ycJg3Zpmtq1b4uzhMlgpXqokJmZPICmS2SRNxY7Ue/i1T
aFqn1SOehkM6mPZ5LpW/nswaZd/MpwNLSV73DswZRns1+ZvcrbkCVV6Zdwa7UGfTNJ3Ei+zjoCRx
eLKyOttGrH4BmXrDuQOTtxlIZ+wrm7UH3v65unGaqjvhV8weJ5ErymELx947cU5Sxmse5pAPZlLE
P0nDfREGCYjUTb67daE20OjonYji5rPRWeldOox63eQoVdFoiyfQgdy1XNx0zCWsT0yHVRPWu5DQ
eeDCTMTP03fJBQvls6fqdB0AfVwZhTzEbfDo4CKGQSDitU+4dx1HZm+vmD/dQz07GH8TZ3m1i+Ez
mdVwY7JTO2paaujEcnBqW7H16MCA3HB7otBX1fYRp38Gq9TjjBmopru1OaduqzHGg4oL7KtMlXrR
mR1vwoQz/QgY9aS7Vn9GY+luysFJR25SDfcUjiko/pHtGx8mBCpEjiSY701Ipqx+gvgy99wbE8xo
h2JW6tAZHolIYXjjNmiCcedbMyVVuZmtQZRSAhAl1V3WQbrQdbZIgNa76TDTYIfud6MPttD2qnaL
px8cguRFeQDzhWQys9bEsJvyalsy5oPKIcz7iAB285rLnh1TNLbjOmQsPEds0e7jxsUUZtqkrfNk
ZhCxzK3plrS1KN3t6sbNXphG3EvYBqjuAW//S0y+ybI77M7JmN+LnvKsKQ3Mz2RX0p/NpNpXLQL1
pKsxf6DROthO7Eh3KSGR235u6SKH5AnDAWVjC0co5aYbRt1TpCQ5jLCR77LhkpayGs7scfJbV5QN
cURb3DeNDbO6Rc9osmF6CkTmuKRoRAQO0+NkzrB2bmxsQ2Zox+s+bhKciS63zDS4Fx6UuggmClmQ
TrsEo13NjkkGSw8OUonfhvPJTMtwlyEZYQ9K/S8hLtdwBZCveeP4ByNvNvrobPVJcyDOXpFTFeO3
jH7F9SzL+bPsJaK5H+ualGzUBitdNV+wulvnGWH2jHBOEDl1zJjrrQofbacTT6S0LCg5cQkzqGJP
TA47/FpWZQOHwBkvYVMs1b3L3Z4n+vgeQh/8LMOle7wj1sayVuKStNQMk6ZrT8C6HtqOADPzuRRt
+2JWznK4nRhhEvNlAnCUH0iN1NFXxSwAuKMtnI4nUWLiZp6LEH9sjkN+2wliJzRRj5BYzHH+7ra9
s/WTiTG4jrgFh2QKexLig78KwqnbD2b2eRhHigaSAVI7lswjb2W6AXyWPshFSbJzfeoCo9xU8MX+
wX79Jvz+HzqyZXN+/Hfn48uPPKe2oH/P/8z++v0Lfz8na/WJNkSXmiSXWd7l3/6lJpufbBDPgrJE
jCm2XFpVfqnJ1if+J4fKI0tSZCptTri/1GTvkxY23TkIB3TGLkLz3zgrW9d6yz+4FikxVgo5W3Ah
ayEoLPmz4yrNZDNnpTkdbAbCadMJ4AobOx3kneWP+JvIzGFqzbKoznZDCzgU+aiuj8othLmbq3qI
OW+ZIGIqMKY2CSvbMVYNc/Om9j7KvvXvBwdQDhFOc6OiboS8STOE4NaCfEmUXW1mJ0W2NnBrGmDL
pxKBKgSrs63jcN4bwiqe62aqT1OMBCMArW2xNxOhsUj4rRR0wG2Nvzde9LHqKUjqMT+QmQJtKZCT
3gFPExRKBP7hVQGCDTdviUzE+p/+gDA/0EcY/TAEXXwDuMLbka95saci7jae4akzIiFAJaEbs1th
XGvQPezA2hbGYF/IdaQ3PVLzPe7k9hY2sbEXfjzDrvSBXBdtT8R88JMd+ZOYYnZelPXI6Rg/iLMk
JDOsL17pY4JNbfnFrXmZBdXu/AgL+SJ3gm6ba0cdiJUFW7ge3kpFSpyG2csurSGdHSAe3ONzSiat
c+v7kIIAUBLmIgNrq8QSNvtrAk16x8MDoAVL81v2iYG5nbTDvbdOyjleYxn7KghfnrtCvfB0bJ9E
0+Tu3uU8QwiLlrFylXVuQgFEJ5/HFB9/3El3D7mYs0U/+/6tQtznhmZCgizy+da20Se0gxkIj4lv
n4Cqmz8bgh5blYlH3V+IN+Ub0BHVXgXmRXVdVKybwpJ3wmg6ZoUy+AK4crzvGxIbTAoIOJzA7WwJ
AoZttpf5CG4lrf2zV0Iatc1W3SbK+hoNytkkhZlsJqdbaiUC/wmQVLUFWpAduI3CjkGZJE8RP/od
QmtnNBrE1VKNCNEyiaW7zdQw0JxuFht/Bha28vrCP8Seb+86J6Pofhg+mPOMXaEUvhO4WOKRizxY
Ndygj80sYAelntwSU0b5oaNog1D5UHC1rfFj3hQgIrFgUMtghM3LnBFVoSzF2IWM1HRuufwtm9Be
Bx17fQFG65T2ofGi4MAfsQksyk1Z3k7K9k7aXU7LRjhtaxr11ilVKHeyxyWWc9kOxFQnaw94lxQi
oIDF6rR0EDudDfTAHhF8W0IyQaSKYO+obArEF9dnRbFrPDFIdr5iVk63iYcwCN3HwRnxRsL399zu
ybISe3iyG4der5VdUb7yDOU6iLGWx9GNU5v6oXVZt3wd1UzlLHy8VO7IwwAjo/Jl4ucDSPPcyfrq
SYw6qzQWdb+GaxDWWyWwwb+M7Evj40BlHEafYo75bWJMmPnCYKl7FMpIDU9tEnUsp4OA4/9dIs0+
fk2Stp7zDYNdTm1XaDfWeiodGAo9vjvubF0UBK8ZXph0jbUt4v0xiozLcygmjvrTLAIM29HIr+8y
1gSbNM5dd1tlEprbYWpd9doV+dB+6MRjdfzKa+R1/YqKzeIUtbnkkJv7ScsKK3d89u9mYbMeCM2u
9T/nSQdpy6xY6K0tMj4+HyxOGP8oWf+RksXukafq/+6LvnnPm/c/u6J/+5JfWhaV7i7ZcBLASx2s
JXja/r7x5bH4iQvZQpha6qGVzZHg1zMa7/KvZzIuaOzRgtiEdNBhgD38jWcy6+L/oV95LKtccp22
dC3nr5XUFZV4aRyMzk1mla5YL4cBOIoCj1C17hqjbCtABRh8BnjHsvDvinxiWK5t00Djn1vOj08p
YVojw4zskIvYGvNYK//g+pw92XD2ZE10lc5UGIRgKPQuq3HuDXctIFtooJOlmePBcpEc27VNmjnn
XlXNRxIMD4BrNPcyy9BrFTp6lxLuxYJbBZvSmqcnw51ncZ5bsGvriuwoxgoePvG8x++w1NKMIqWv
ozGxmOgaNuIhrdyuukBYSJ7qyvdem3SW6OuMx4LjcB+XN7RVhKx+J++FZ54q+BGTM29HL7WiPa5Q
Go7llGdbGFnufVLlzmvFUnVjeMXwRviJ2RD1eVd0EzknwkLL/toi31xIGtCIHBtwjeYsPcakgN+c
xq5erEay2OUY5H0UnvuRjtOda9aU/fQJzFP+8G/7zpH0UkTmge4ssW1j6a1HNoj8f2g2eehiGPNr
c5qo5BxAo62Qy7xshcjF8KJ8+jkHYfeH3JizS4fV6XkMMxwz9TTs8axPD15jTSdG2GV3HCExYXcx
okOYxtF3rgf7IU4gJGz7wjLuCYJi57ad+tAUo2AB2+afw1kjllEndWEY1uueTBPKldtat8rura9G
kTbQlSpL3heKY5pXImxlGn9tH4n5JiWj1G+iTnVbYeUdbSpLrg8Cxk4Ocj6kKh7JNvrV/GZMWblz
o9TYE2aajyq05g8Wy/oYkrB8ms3JvwNQU5wLKNLZXs0Uwo7d7PSCQGavWstBJPr9n2zoVB/eGvaS
11pHJmYkuFm9Rw3GKS6bYMhPbOGGlA5ZOsNib4d/nRUI1ApOTwOQuXlrcmY0P/65o/5nd1RSHv/2
jsoI1X0k059MNMwifNEvEw3AGu0J8uiLnG/9wUPjfbJZG3Cb1bTKsV7714ZAep+EIjcHBEc6RCYX
cPG/7rAK8wzREEEIhTjZ39oQiGWo+dPQQxKKvAoFy4xQwGKWGMofFgTS4bTB6Tg49QJtgp2e0A8D
jHKu8ZxO8Apltje/xcaAA6IijY2v1/UgtPXtgQhBv5cVrXhsgcF7/eFl/P+EyGyL3/EvfzV+OZ5E
JlOh4vFDQuePf7WxsSc7oc70qCH4Fvcektm9Ozvc67lJ2gnHQuigQhlqG9U01QT4DoyyJy+MtOl/
d/NcPDQgpKt6W04601/n0gju8DQPLTfsRrxmlG9RIpX2JV1DPQWvm9SOSa+zvncbg4h5a7gHmHnz
RjFJEEwR9Kdh/CyA/tRfQnriEDmMLMZkbKcVFvYmnTZoJqyNMaB4J/jCYjHqxNux9j5zdw/hQXqD
Ky9g3rsvXkElBPiVrF9xB08xLQ1x9S2bMhMoHUUeSKykSWkZZIfKmpad7Y4+zTA9wV1IaYWiMYZy
NJI8D0DCoGMFA3Y9Stj8wNjX0VyfqiAW+66TzUdkhvW9lxENcuLmhqziqYRJ8FnnESVHHqw83XQt
AWjqTUajNzaMgtxxU9wedxUlldSThDuDLiXURqbiR0N5r6aMG6paIVBs5iQNXyxipHpldvZwa+AO
ecDvSdhAh1OzHaJ+PAd6fqJXLL2vJ/qt6fDNSeAOjgh2bmIouAaEwekpbFajDSiDJzNdUY+mm5SP
PfwAwPpudrH7WQOowKyd3CJANvJLHGCZHIUR3c9ztUWStnbUgw+fJ+wdqzzEbTg6pb0n45jvSt1S
KCpqp1s3LBu2MxPgYZR03BMjNVZyNiEwwDo6sjEY1qIKnAde9eoGaEvN4JqapwAZ4uShHJxCYaY0
XeZm+lK2ovlcaCTqahBg25LOYDHSRDNhH2s8y97U3wMdOjscrtUWlxSoEYvGCxrP6q0VFS1EoLBX
CAgDVuMyKcP3hMt+Ja16XLdcaauZu/6jqUkTkmbsb+yh6bapijxMJGG6hfeQE4oGkEL5uHxkKqTD
1JytVVBHIZc0LE5/NyAmTusZB/iLzTdZAyfhWep63damF/LdCuKQbP40/WDA9m8rAgcbdxzrA9kH
bHMtu4ZXnsQzgR5sD0erd+J6UwxyCtdzS55hzxMYT5S2m8ZdWVWmLVxQYPlXpvSmTRqkwUz8iCIY
e2wwtigjbanGqcWNRwuJDeDVTI89weNmlYk0PAeo2ZRTwviRCnDJWvXL1qqHxgPVmLJC11cfmG4H
4t7pUH+ehzI/Lx0uvHxzlTB1x/5OFh5cETdaPl2hW2GO5bzR71HHJbN8CwpcU3Vg73VSOEfGpS9e
OMzfdD9TqjI06ujBI16xumIbWAoALdwJh1eYjG69Kl1wtassmHOxSaI6wTULG2MibFLrt5zmxm5j
k+BAZYFV0N/hK1PHUaDLriD2aDSUvg2z81Swhll5U98fC2Zu6i24iQAxYUlFrqxwKPuIAusey9jw
4NRwK8lxA8Jmldmk94oPBvY4FykHubcwUNAFCaOS7cSdw+3gJgtJTRM2SrNnDkIVaEDZUuIHQPXW
X9xUBtzRZqMXj1W0uK00R6h0I7pIbczFjeVwjcKRWDxa/WzXt4MVhpfIGpIv5eLlchdXV0CZyCYr
B/T1q+kLWSf5iIOWWS+62sJYozmXJppS44VgIcaxcfGQWVc7mb5aywK69eqdWhxn9UyR25SJ4RVQ
Cz7DxZkG77k6sOTYzIZjEHNfHGzm1czWLr620IPqroe+fqJoFNubL5zwAcXQ+lr0WfSopzETh6Zu
ggtR3ZJII00j6drSYfPGoAstSpHasKH1A5H0F+ddiFqG+oCMcNviecQGCmYoxOfuokUlaOb3xrj4
+JB1+HHQdvqf3N+xxRk0KVUaIgjV7PyIwDPnM4kYuYsnSYtHYo3bakB+4d4wHuPFU0jqQ/AHFx33
eT7kCW4amptoTVl1CyocqgjGxNjGoyiudkU9WYt1scHFiF0I5btnQ3HTuo5zfdsOhhveZEwTLOgk
v2Qv9LYJnY9YYrwZXFVC3xzlM3608hgzLFw8GQp+avZhYczjQrQTeT8a5ZmGIW45dnoOJtfHc0mJ
lSZ34NgGwF+RGRvXhLNWliq+m2wwcorBgS+YR+s+54NOYGexfhIYNddg06xNFk74v2r+iFzTeIsX
62htyfFG2ZVK1xQ1YS21vf6jX+ym0PT0pibhsl/OJd/SxZbKVWrLNV573Krq6lxFzQnPDVSkEGOp
rG+kuxhhbRnieBXNrBUtrgZ6KgY5T+6mGs75hlCO+ezEbZtvq8VSS7ATd+10ddoGanHdxlcHbnt1
47qhHpil3cUqd/XrAk2oX4HxJc8MxbxdUF5U3N8bVC8+TqbzlIy+vY+vLmBJw8EMVTmUt83VJ4xV
x7r3E0ogOWIVb9NiKG4XazFeW94vyEA4jqmBy9+kXWV8TwzJ1mJNZiWO700vhmW3asS54XbGp2gx
NAdXbzPnLgTj1AUssdLaSt6xorw2hoBIPgmJNzX2ylOMO1OzDncNluL4hMM19F3gxkZRZY8Q5Nq7
YknTUrQcYW5cIrZLWgQy75K87ZrmMfAGHtbk/W+BkYUYovmInSOEOnuDWQqL1KAi4m12pnAyLjB2
f0n74iGsvrleRQS4ng10OtWAlELhB7VHftFjX7dEh+slRexeA8Xeki1urzHjMkoJaI7GrBnw47g/
V2JG5BquAeX6GlbmeFJ/teIlwtzLJc5MsoK84DXkbHIN+FtvyT73cc2TgDBCXh3At6lxMw5+CMuD
uBfSdCrdp3HJUhfXWLVaEtZunXCjDVHl9m7hpPFtHU7JuObWnmE7dcfnGg36EVusfqt8N94XDj7V
VQI67UMJf4mm6CrfV02NlcUIMjrSQjHzyKDRvNtHWSkuFjG07OSWALqCTsPay00VUZsTmMfSjVNz
nUPOXjWSbvTNiIdXtjcOQiGWjX/Guv9orGMRhX71vwtl56KjjuKv4YjfvurXXOd+QuCycBTL35xa
LK1+18o8BfEU9gPsAEdINl3/2mdJ+YlJxoIV6uIM86wl1//7ZGfxDT0mR9xipN04Gv0t7Uz+ZbIT
gg84vi+8aUyKGqPQn8cnisGHjg1WfbS5cN1NHBvi0QyrGapzVO6KKnahKpXa/NYY2v+sqXIENp/7
J6OOiO7z/McUpsW5MJ18D+O7X54pNMO6nNc/u2XG6SEsSUgXZuutBb7Me5Eb3Y+4JmJBDVj6rCyc
A2XmRgCTUIqomIXK8//YO5PduJWtS79KoeYE2EWQLKAm2TdKNVZj2RNCsiX2XTDYPn191D1V8NG5
ZeP+439o2E4mmWQw9t5rfYv0hJ7QD3QqTF/UsNeFMR9Yh+R9V3bjHygcn5qHXAHXpXQUXIYF9bDU
178WkCmbNQrVuj6y1RxvkWAFe/YsAX1nvZwX3/uXW+Tflax/L1g/jke7krQDmqTMET8VrDSyzTHK
svo4GMpZjVH+uohK1knINfj9kT4ZX5YjeY6NsorpCa0F59OZzUzlZ97uOeo9aj+b5ZudJBww+KjJ
PZQpdz/Fafjl9welU/FrPf5xUJgZ9Au4mRjILn//S6sgNW0U5+w+j51kPVwZi8C3RXUoyH0TgEb/
86MJOhygNnxQLQuf49ejRYE/JGWRghQ0B5FdSkUiMFAVhFhdHjz8/ljW0uX4pQuynBrwKw7iOfA2
kHL+/WAjdLYYEm5ybOIxR8EUU8tvmqaoNgwjmaCAwb3pKOevhjbrD4AuSB4mDqb9j88Z3ocPmtWk
I+Qh//z71wD34U1EmKXHpiO+b8OLviXYJAwfArkMiH5/0v+8h4RpLbthn7gj0q8+dX4UhbKjlUzx
xs7zXeWrdqMNnmAcnlkMri1BjeSVpEH84bj/vI2E6UmG/ZaUtMTMT+tSFqXk90ki4Mqh6dmU82sO
TjcQxJoAQvz9OX46lsuIHbHa0kfj57XMRWj7603kJsZg9XGQHBPqecTtkwfaylTTOSJz4vH3x1o+
65d76ONYAmywi5DAdIX16cdLC02Nwt7tOE/zYG0qdgunPHH6v2TaP8b/Fb3RiF7ix8v/UXbFbYVX
v/3f//NzW2w5JwTgKIdZZLhd7b+fUyfzVslqTCBKkmrFboZ6YuVOJeKi3hH3cZIwbBwxzkD+ooFE
PEkRxZffn+une2c5VySRLHRgcBBSfL53KM6ypBGa79C3zDssUmZW0WxEl9CZilMV+ZSz0pn+sJ5/
XMJPl9j2XE7cAc6Dz//Tz9lHkt1d6MH7ghfxVQGOO0nHna6Zfcd75dRkt2ijGnHbT2PkrcOhm/rj
IMvxJ4rhRiHCCIoTSUIYSpaRUIjz/BTOqXH3+6vz776n4Idh5MHuABTQp0crE044zJ5hHEzHk6/T
1Llq3Tc5ZRZonUEy76AEW02p4UGIqYbsAhkQYphDXMKxyyr3jBE6POKhc64DQ7beDthwleJbDrx+
//vv+s+71je5mozsIB7JfwzYzIA4AIz6CaRVk2yKDLt2Ru3S6u3vj/PPJxFaEj8ZVQgYJu/zuzEx
bC6K0SbHaqjmuyBZEjHLrBJnRjDi/vfH+rycc3v6Jigmm7ejoFf+mek++a1o3TFlOSe6ZBP5Yb9B
c0f+J48KEsg6WtcjZGarG71vRlFGe0oa/YcLa5lieRL/frv6DtNLE0UTPzSKp78/qbmqDZsnIzx4
3aCmo5fbLKY6YK5+jLp6vmOKZ76KmLDpBPjjkroZkwCfJAA0VoQfiDMpIOEp6LrpFuWh3a3aJiXf
u4GyDsM3K+ZLHrdo6gHofZlzJ3zvsTg9+VM+X5DUk6IRNEouAskMJa4vzr0yWXARNdpfiByR9zKu
zYNGXXUVY2UnQ61ODGDJw3w3RaHTrXIaTjcFrJOXPCScbSZT9cLMFZtqMJbhOznBoj6VRYNMtER0
f8Bi6ba0Sol7XzmeWvYIFcyMVdnY7ksMpeIHy57zOKC5b1Zj+JHTDGDkPe+1O2wK8NcxYL80vuAs
LEjcYWmxVJ+8djGLd9VG4p3Osm9jsGPbSDlmwmcfkiDqQJ9Kdz+4JpshcmPan74HI7BMG++b3wzK
/4KSl/uNpz/KdlkVcHjscAakoJa1E7yA923G/7UZsyC6eMv/bSl0MdUKqLBNMrSoqZnuPQSVM114
z+RPTTMNNx+XN5SD3tplbN7VThNnkFO9PD6GViSdkw0e5pJBFIDGO8cpneaP1QpOzVnpmRXKJ9D4
e1ll3JGVOVrmOs+t+dAlNddugv3ZrpVpxg9AaN2vnTJhrduRWd4uQIlFOsvnDGQ5XsBWEIzTeMmr
MgPw9aFSUwQ/L8jnFYN8cY9XE11V2St7Zdhc28Kxk9c8KuydhZT6hTYTmT48NEQMh0kx34mBRtda
IyG7NftmvEkmhpIbz7WS77nULE34oWATmTBunOU+LBbcl98hrV5PMdnTm3m02MBYRTXvSBXiXvIK
PV+igZR7WPdJO6102893hTAYHC34FyRoLcrflBOgC5wOCLZabrAtXr76JR4ik1mLz91LQsx4q0KM
I4cOJvc1VjDjQSJrX2y97nSJjDw9ZX6+DWYadcz6xxvyipodNBwL9hdg+IZUTBQ8lbqLGM4fTV+V
Z4YnS/Zanmyk3ZoXyynnE7IoeXA8ET5E2ttW7uLMlWV2mTjaGuyCd1PM3j5LCG9uCNQCqpA633zM
xisQ3ng2JqwQGeE4pjHONB1te20xwN8FIxY3yB1wR7mq9lOQ9DdJVE6n1Ap2cYznANdIBbIa9U1s
dBgdiyFYEUOQnvLMV2u4sDn0kCVoYUm/08L9ppg5XXD/3qgRsA8T8XHTTz559oFNSFOTPMpQglhp
a/ucY+E2yWRe17oc9llAOBapjYsRw5TMv4lySoL4SxtPrwAwXmpkYduUzDdkZEjzbXpOR8P0n5vF
X8eEv87X0+jzVutq+3vhuKcZ3h7kuOQ6louqyJUPfR+eq9KLnjWqiG1MyPQpzgsWYHfZIxX2dC0T
x7lg42zurCRvT0YPenqe5VXmNZNPTGkBeioA+N3YUfuG/aI+TBaqRCRGfQgpKnLSk1W5lbUKjci7
6kTOF6pyokjo99rzo5hdZzcOOXxr3ZMlgJGiuWGj5MabQS6DM8/MHxVQk0dalsP9VAn2D1VL9sOK
vKDpknmzsyBHvJ2bkZ+RIv8kzUnCU26CgoOyi76oyPyCzG344g3TtHXmrtsu7x8sA1VNVEBSN8Vt
q2kKejxp+ZGRJVsBOwO/pCb2IpnPsCorZbuWppewFJUDLoGQN4IXBd6hTil9UCGg1WSbtyPzm14X
uVD1WtV2cdOa+snLZ/j9DNqu3WYGPRbh/k83WgIEWaLrMSvUbbYr00zcmgBidtLroq86jYaz040b
nYTDKR06E70pYPfvTjqC6hUkPicgAZVxLAMVn1DKY4G2Bxg7c19wY6bsHSgRcuOO6HRvW0wK8iyi
fbPA0UJipP+u3RG/iSwt+8EuhPd1RLE5702RGJh5B4w/Vcd+jMSVQz3PwfVoNBJcHJMqp6rqtaEb
70AFHRyC0bL1qrY69VbbKNHqIZ1OjXYuXuGaZNAriGduYF3RR0bhGpUeNuQ8uMvDBpFh6IQOxX8a
u7QplPVgEE21tnQenPhRsXMLPGO8hHEukbfh/hhns73zsPwfx6YkaLOCTutLbgE8KRi6SQnfD6D8
dhKxOgCZxH3MwBfcRrp18Edb6TFMG/vCFUw2DpiZpg+tfS8EN3ZQXiTtg3VYBPZt1OTiQHffuQoi
HPmqJkwmFI21Kfyh2ucmSYf53Pov3YLEYaFp1n3LkG/t60pBpAcMvY/70gZ2MDAaImsPHI05Oted
6Vc3JlrULd7ASq7q1kiJNUXg58Jp6PN9jibwmyAf7oFTi844HnwUnsh0j6gapzdNOX6lnaFD32RA
mHbqgJE682ze6aSGqqUzKa6p2JcUNJQyYW9Vp9yaNE+Xri9DWuS3tRT6xkcHenCaNg7WSeAfinFW
x8EnMQGhgX+uIItd0g7Jjhv1xeuSeAXZvw6ary5evJ2UKQpTUYC0rD1Gsvig6SURZ/LktfX3go/e
qqZifBCIGaZ2Sxrii8lIAhu/0ZLiU3fsZX0LqW9DTuDGJffyDBSeWL2Kabzokm1W2D8GIyDjAdov
/rfAIRgziqYL47vq1bPK/kSEKNOOgHcgDdh5PwkcTwze9K1l9u1rqjLW7CbnrcEioLJIr3sXqLl4
1IRIeu0P3KE+BHy3HOP32AABoJM2J2ze1SVlkjbeGxmXl5GswetkEN0jrL7+1VWJ/y3qAshOC2sC
KhMpCDS+Be5JryCvvSgPhnSnE/NWOJqF7L9OGmeKmRVkbfg9hIy0WSaXQ2at2UUheLAnb6Pzhq6G
3YQYDPPR4Vvp8eCWqXlxhyTHAjbwzmCURV5d3nXkz7I4xaTIpsQpW+Fi8lPQMTbatSuWswl2te+k
NpEtwsazGIy8Riy6Q9yXdOWJ7p2NhyQPzF1A5Pu25qWwd8xan+o56X7U1EbLdCQn36bgKig/+R7a
y61MR8m8xF5tk53D9PsgTSd8moTtvBh2bbzbSD+uQh+/uiiRa1vkMu5HdwweiePtSSQU6ntYuwnb
SXPR4CePbIwJJAsl7Ius+SIdgvkWatXM8hrmITdV8WSK0lyZBDp4/ZitUq8k8drzd0i0YD6XOGWw
kRWrkc3JxvPIE7RKhcOJGhsDC9GUwZi8Zrkdl2uDOhnsha54VUYHpGo2MunhDahdsKeWd9cNQ4Nd
hil4nRXyZLcFsVHEEa4KsaRUEhaDSckgiZDb2UxH6zyJAsy3hX+UD46rzt/bU5OtimLK96BYxvtG
klVid350Ibjx3agZMzQzsUOy7+1TQmN329LNOiVqyg+BSXvAHnu8lLXq9nWszddMYyejxuetw0bo
BFjDBWCTNLti0LgV9ZheZda4z8hlWBFZPK4pqiUyvhEbg2lB/BvlQShw/WbRkzrZ1ICzSfWz2Qre
jlZrrnSeoorTLaGgRrWtjWreWzJZSDHBdzUZxU4hSj7rmt7BzOADyAlcWuMlke6uCmNEwl1wDUuD
AMHm21DMN10WnjASPdYqvLDk0jDC/oTOen5Pm+jJCoIvnl3ua3bT8EIJhTITVISg0VaeJrFLmO16
VovKz7DEY7UkQZmV/ToGFhsrIm83fmyTG6f0BosAwv4aBYI34ISTP4qeUAq7oKsNhICKIBq67uvs
zD9GgOMy7RCdeDnx7FMwRV9NRHoAzpWfndDvgB+aJjyNibO35m3fJM9jPwKp0/GVaB5Nv+8QBjXB
Nm6Te8+J4oM3ENKumr57Nmzlb0eI6oeeGuaq6xTMLpJzeMwn8yScxHuWLVrwpGgkaS7xoI5JI2mP
DulSThCGN+4rrH9biFqZi4mMAEqQi4baxcX4BV9N8BMvKkQ9o85p6JBX2frm3u7twTkz/Sb9CUZC
P97mtlo+z24y0nJpOg80LtCKHSNMfAHj94zxL11Nl6wBE2LxjtwEjLoZ+6GD53QeqagYGZNNa1Qp
6MmApqlsB0pO8s7WitD3b36Uhe9tKHkAOSojBoEGQrEVoZDa2Iu7Zh1x23cbAqrhtEbLTGOquvAb
cYfGNjQaaoyKuOs0mcfrhnfck9+E08UgU2cNQcjYakLqzevUECR46mCi7Og8lqWhTZ01sWBUJ4jd
+7d0toebVE4AzKxs3lmRyk5xNoTfosKgyR3hGvpitUJvJSA4BPczwjjSf6S46LhfSt5AE6gZi7oF
p9yzdcgNae5ry1FH9vZ8NMYPA3MOBTrjWSR2nuVRX0GS+i7zwt4kiu3fyo3rW6EgSuH3PQKVTJHY
VOpoZy0v0tYJT04saAqgDr74nUePYJnUfByvr11jO6EcOYbSYWZD7s7e9Nzi+eOfEBYF+kRS9lde
Guw9IeYDBLn6pS1AQq9HZdMl8J3hZiDyeWNQbDLrmUt5H2RcTATDgqgz3ew+GsWkkTFGGSt/02X0
jfMiqeGcJ6TUGwFfsYiH7CRnXe5lIdqvVaI5gSTlE1lHZlR53Xgrktx6LjqTX73MTL7zMKqjEuV4
m43sd2eyBw5z1hE6W0+TJhyM83IhWj/UgrKv6eOaZGCcUHu2atT2XZd7atNn4ZCRwkFXhOYliwGp
BMzX0YJXbi+Ilw7NouD+N2fjKqiiGlOUkezNLKWj6M/nQKkWR3YeaFoyaM9jUoznaqcBlrpXeUNw
sUAQcq7SmQnZLGhehXN2+rjvjKScd33KL+DMoGWgO893sW6x5fbkdfD9YqgEBsNjmiKUWXeYJbgm
eceUzeKP/FbjdeX1XDaalOslZOlil1a5r5ZWXNthJvIg195gafc3hAHPO+lyB2h3ibYP+uUD81Te
R3ZggKfufeKX0Pdor/Y3Y+mZz4XJf0GBoI5eufxtpblalhy5YS3Hmy49H0Q0swoEySaG+RwTVwV9
XxOkl7Tc97HB9toiXIYncin4yc4I32fLpamUcjc5Mx8K7rh6oZVYgvcr7f5R2+iwcdGEpz4Oq5cw
NkfouzGPjhHzCLtOx2ySPOlTWFvVS+a1iMKa0XAgtvW5iWogD60vFAecYYlEdMnYiDJ2wGgX9kGZ
2FfULeqrJnM3WRXkeJwwpcyXHv8Uycwa5tbywNptFv8s8PW9QPzk0GPX9qdcT+FR03KFx+wb7csM
0jIy6cjphv8XKDJXWHxfO9H2a/wxlB66/lGafgD8IATc0KvwZGp+Ha1DHvaRJzDspoCORRnster1
NiIb9+LQAr/UBZnkakDLup7lbJ3zyLZuSkeGJ5E7fHNN5SM2Jcvh3nQEzQ/Gov5GLHfBgOXhStSC
lgJuDZK5fMR9qyHouEu82XyNzLTGr+0bQIXjmme6UoLMbapTFICsj9ifyj0cH+OBvNvw3SNvF1is
Xu5BZRLY44k6PCEyK0L2AdN8MLzO35DpQNlHwnz/5kvqZGJlrPG5Jdzl+9j7TKFaNuSKVmodbWO2
FbwZIYxeWW1fXseD7h4Sc/B/1r0bvifViHpYAA4mRpA3k5sMzW4S3gRxAzjBsQ+a8FsqhSgJrYYa
sPEqGtybvE6q6V/t5/9mQP7Bu8uUxmX68P8XOlxekvLtb+L1f/2Pv0QOEj+PI4kbcewlEUEEzA/+
Ejl4FghI3h8I0S0suAsc8v/6gchWED6Nfg/ojE/wL1KLvzQOLvIHsfiLGCMHDASQP/wH/qDPQwWm
CRTMfA6zKNTr8tM8aAqAVhKwh4IgRMm1FdMFf/kvV+PfTNv+eQhEHgIuNsMcxPYf+vlfht6MkJbN
YTAfyFGGYuuvSGVZ+ZJL+v+u+X/hKMu3+OUoGEzHUcQcxSu/t8b3anzT4g+SgT+dyKfxpJdULqU7
h+jmO8+8m5JNM7/+/iwszAmfRh6+j6YVFyZGArrB1mfRSZsbUCH7Rh1w/KkfFePfYcuCYG/Z184H
EYLFxB3E6pl3vKJbs9uNrTNugXNY+2nsh31SK/Vkx7NjgY5u043S3h1Q9R4/dT8OV4GSCdWBMjeO
Hntw/WF4jwaO3ZdH9PjDtLTSvNRLz63saa9XNAt8ku19vwWIafWHjlACpMkxHHvm0/gevfiCk3QC
qdhVK5moioKiYztg5t7ZxG3AfAiQCh7KKb6YjSFZv3OU1CaN0dgQ8OciDNQQB6GuI3nvrjpA2I8A
b/NNXMfkRHnND2kXHrPGgmAqo+k3rTfjAbLbKzez9eNYTu7dgBttb9Cz2lZE8LLNgbaRd5a7I6MR
/dtYWxefCn9LSN1IHPHYf3E83L8uL4Qrb06nbTX79kS/s7UuISzUQ0VzYB1VXXwXpv3wI9DQ/vrZ
IbxMhiO0px5ngJHMbwMGzee4RsmxwYo8PzKcFA7wPetNqdHI14zR9LvRuCR6kFCvn8jKJRR1lNq9
6xG2E0fGBUbFcako0/WKuQz8z0lIZMGhhkNOnwMtMGTUEDADvlnyt2jZaA8FYmpcp5H7pltUicOk
u5/pPD66s/0WAHr6NtrQSdzOSJ51BrDHnGj8rlTcWPtycN+WHXGwiodmPqQNSv+U4R7h8SGxCp3J
5xUj3yMdvexUBKJ9SgzQ3ER1eefC72LeyEO4dYTCHIEiEaIJkW9R6fSbQNVqh6ra3CNnn2kKSRmt
A9LRtj4kbDbiuR+dBE37A8UUB7BnuW6aVO9JSckOqUj7+6yau3sNnYNaMyAXNQPPd5dH6DuJzspO
jLUh4xlVt+2ZHN/4AZeTCFwr3BT0cjc2a+e1Hoh0PaaMaXZ1jp8M7HlChken2A0hh48YziXmfVp2
2biCuyhu7NxK93EUmXvLVeFrCFYK9pRthNf2ENBjzmJGWovWGSg/jb6bKSZab4omuQbW5Z6mWjVX
jbEUN8XcH2VQy9vQcIw90lzn1rOK6GpwBYFiDfsjtNMIUEVvMn2hAXFslEaw3I3gVTBMhq+aCSQ+
jqHSK8fojH3FOOjdTTP/nfaWXrcACM8KYNprHJjWNuoaF+gpOH6M7TqgHxws1yMEZ7Ox5vFnzqwm
Xbf9mG/jiFml1VrToYAsfAVi232gdpi34YSPmoMJa+97pdoLjAHPvh32SPFFfGcWjXno4azIjduN
bOu9pKdRS5fzh5XBkmrIKbyG2j+8KPKbL2UXBTeI9Z0HigBmShgajO3YWOI82NF06/QUhojW/Vtg
3eXLFIvhTk3TeDumsb4e20ZeWSPb6bYJxDmrqcKsRvRryCTyvkZGvtGIQyCL0qlbC9PmAA34rpgY
D/Dnaja9cgWFNPMwTkuxYf5f4fmBGeAmUherOK9isiH69KeYZXsAQN9uSUlu99waDC8ha+zqqW73
uhqgqLZ10pJhEyOGNt3mnA8SzXpcNfHDzI4vWhHIyWeKMJabNMDJykhxPvFtowfbqubTlE3NmdnB
tM5FmDTrVJaEs4kiDY4+O4YdmmHJRDAKjoJwcwgMIz0ec/EexVkCn0oSjremS0iZG5h6C3RTHf9V
VcaNP+2Q4MK4CLsQEwwxe2tiBLgOYzUD4aRKui1z1bzCqtEsY312l0PYIeWSXHDNKvCdkIKZLE7P
O8Bd7N+wvs47G9XJ+aNmGqok91dEQVDcZpX1ikWFgWPO3v29DZiQTy10TERDFLxLiWWXUgBWozZC
NVLQjBLeUgWjaGx9+tq9n7Ed5R7+YBX7G9eKlsnMckhmf3RW6ML0626y2bs7+dJYy3T7lQj4dsPe
l3/qKsfYJnhJLh/lvN1G9he6wmx93bh66pOi2OugK/dU5OE2mS0Tf9sCaGpoY5rjstmvuhccgfro
w1bJsEGQ8+iHmXlATJ+xeKr+OqDpTLUaA1hSVpBcZIaHwTJIB1wxLRsPFb19m5RmyzkivgcQROup
OIGCoxbwyMXslh75fNBlzRc2RzkfyJGU9xZ+neePSW3iLp2ZDzmnqP1y7w2S4mWuOw4LjSc8jbPf
rixFQYv62XggSgRJlzHy0/sORujKow3S5U7886MizJZqtVBSnEMQaxQpxCniPULQ34SGv2c3qo5O
bWRPQ4DRqSwb+hCNNLbCVQEzEDoL0Uf/aHnZQWrAipbSSxkk3R7HonSqAsYxMT2lW4eQmBeraEjP
qbnBUdRnp5k7eo2IC7KVa5ZvKe/wI3Pf9qHN5PzEjRTdytiIbnTaBaTHMMaRLuLRRNUlNBBHPms2
pBAdSM0lIquMpn9VfnZojLdaZ/PdbJj9W1+GxmOx5GvMWqfWxjfkX79TpsfwfTL5sqPrDDvTra1r
+iHGQwT86BYnCJOF3MZxLMbkW9m1/l1Q9QTzYK/76nST+7VXhvs1FfV0zZtK7uImNjYTgbwbegv0
EAl+usyRob6QdFBubYUpHID4eP1x1bVgMl+1vn9jL6zcsqx48bXpmdxhi+AiHNJlh1en4kbcjQBc
zx4zlG0ZkB9cTNrZ1tCcaReZ5E3hdZpOHXX0Tehb0ZGRP2OXj3t59i1UPobrs6/w3fMMvfTaa8tw
yxgjAnWKsWdF3ZfdmE1aHIlQkc9BiD9Lh0jrYNryMgR0wc8/I1jO2oqOAzYVjFaBA7tkoqYXs7W0
JZA8ZNN4zaIwHW1y2288Nc+EZApIqUy8pycinwRxYDNcwRlmFU23jCwN2H8Avr30BoYtJgeH5pfb
FfQQhxlLpDfQV1T1eNN4La9ukjKA/DUVrYlxLrxsg4U/JOnCIhaEd1N/DBRjylXotgzANMGu69Ir
q4cOJdquY8FhD8RA6IzjV980tA1pe8oeVTQNnGkgNKFBQ7JD7kusK1nExkNrmlTYGJDYMbugM/Oe
LqAZtTyaWhAwOn9oM/2+oeNf93QhrDJ/Mmm1bouazpQTJNbrhxjCLRhwg3ExX2ER00AZk8pZGe6i
GWJqvE1QhzLlQu+jMs87ycEFSqInBYmQWFi8Ij1CmSKQmCF0j5JnVZJgc2dKxiHYVXJ6RyF/eHAJ
2taE0MT9VacNkHn809vUwcACIL0JDy1s7n1iOvMRJ4rcD0Q6Lmd048Wjvab5ActoTux23SXFvT1m
asvsutzOdWzstag0OS9isr9P5eSTk1029wDQEMtliXFmYnbbYe5dAdSNMbsYb34D4sByy2enYxSW
k1NzxWlkm9ysWDlF1Kqd76thW9GG2YchcyOCY/QZ8Y9CHtaY3pYdYsygijxxHU+3Nr2IddbK4odX
Gj/o+d2MUBF29jgUy76tOWIUIkhsTh6GKp7XyjeiA6vVngvRrxGklpuIOT5zMP/ZKFG9A0iomM61
Tbjxh4W46jBwMH3NjF3UQPu9mvPFlAY1qbNJAwaRRwOUXMwyjtYZJO+tTHKUnZXTdyAS0vh71PXi
kEGTIGqrIy+W5PfqvkYXP2NQQxC1Kuz4HKeyvi3LrH42oqxc8VYvsAnVDON6D4WYhUxmk/t1duz6
aSbLO8j2kMS7gxHjO96QIereur6ab9NIqvsaauAWBYDH/G9UxUbOUm6hvYXrUBHhncO73/VNRklu
5skJE/JEg12TAajm4kycqUNfNxeB2gxV5AyMiLoxy85t+cr23vo2ytK/WEGnzbWyRXXXNymIDLvq
httwnqqjnugyg/tpd9pHEmEXBfknGQ48DEuKX3GDEevVjd1mWPeAQW9cS6d3pdDVrsMS8U0q9ldY
hmP7evID/Q3vsnciQrb8Gk6eGa4aMLZP5vKGlFZR0/L248NYlt05Tnz3Ehet/orNVhzgAw6nXET9
mTDx7Id2U6QGscWPW4G5ue29uvhZtCBYe2m5LwxTKjx2WKRPFoCHK6Vpp0v8AjQ7+9Kl1m2hTEyG
dh+d0iu2zPct+tgY3K4rY3rLes9/tiuvZKg/k/AX5fMOsVa6TvtiwjEdz4xSYqLeV50xwkeZFCtZ
mqcHUu9IGZSeyc/L2/Y0UVUgI3VmuBs+OZH1vMFT9mDkzKVKTd4Yq/yKxo1P6i5zq8yqvyondQik
oa/L1Nhr8LayM95XgSweqqyorvSc20elmOCyny/QR2DVy2q/I/quHYziQLkkjbdJ5yhGBkiYVif9
J22Qe0Dd6e+pYoaVbSThI91QfcVLMb9lq5i+jJZTPaZN1jzXHTmJ+9rA0rZKwibJsBsvFG7I+USp
G7q8cx1rKAFn0aPMlCTzowPGdurt7i0afGZ4tHeuxsAvzw472x9lbUq4HQTaSSO7nqseo3LrGPle
IzlaMxWqrrKeiDXkk7W+ZoofXadshlapm6ft1vdFg+BHok9TcD55/n/C08R1yTstWHWY8JiWalLf
q7a7zTBTbFzMBU+jah1eXDBSrLII79raqV4do/7upu3wHVXU/Uyaibvz6LtuDFqu+7SZWdlrwyFK
bgk2Czy4BejD1Bdh5m2xDsk8kuC5dnPfE+zGHY8FtHL3MSwaQg0JUliRxAyCBO74AQZ/9EoLmkwm
VsKVcAx899HoPVDq8D5Bofh9CYze1FHw1YUCdjZr4pz5FBvRfKPvwa399HJf3fSVnnC1hD2Bk4hf
uG5TegkIWdv3yuOKwfDcwx0YiewKuChO6H31+th9SPoKE32X8MCqANdmyZ5qismtFIRoaSe2b6lB
nliQs5uxnuWpQWK20lD2tnVehi9VkM3rnMY48X5Oei2J3MBvaFDF2IrdLaiIZh31Q/mlxCzPDte4
K4pCH7U/FXdhYshbrzEj4AfSvrbi3nm3IqiuVTrUWwUL6xQCG74pxRhf5SIT926NtAkl4wxP+lta
4pSPs3ZfsNxu+5qA+VmP5l0YdhJKLqriSmfVfsK+eq9ZcVfdiD82CHpzr/LuIeog6I+eKU9OVE17
PajvcVB6hzSKeWOxESSizTMOxFb3V2zlvNPgItpooyZj/1uV751O+2ST6/rVQfz7rfV1hwqAUOfs
tTLT1DxbdReegeulG7olAzdbaz90tjFOa3KXRXCd5CSkrquyITvdUVUtdk05zpRmsWK8Pqn8oSwC
csTEFOzjZFHz08J6QAb5No6IDE0wNcyjHXUy5+GHJ6gaRG4XazZVFEkNioKZLOtjkQTWQpY+GAhT
Tjz/ApytfCpQ1KzBw0UHdoX5hnbHj9ZOmOSaE2G1Ke/XaRgO3ShfPEqQkaxAocw79lCSzhltIqPz
rR9ukA9ntxLOVjYOjZQMOnQUWoc+MML3WDriFtyTfdeOwXszusZTxKP3aNueijeirRrmYwrEYetb
S9iNqPZmMHaQF5pyA9WJAAVEyX8wKvyzC4qBzxMSN19g+fZnH4/EZ0+Ata8Og0v/rjdoxiV1xT3Z
7KnHiz8ozf/R2fWXowUWIn4AM/KzycUbxcg+yVOHqSL41kQnvUoKb9zmUZ1vft/h/XeHwm4Gv1PY
cDg+K9rNVta0Hy1OLPajhzF1eWWkvXUxNZzr3x/qs8UEQijONmx7AHICjvipX21lwpzIEFeHUpXd
VZbr7CBVypaTm3fVRGOxh3M7/adNcg5qW47l0IcDSPP5oEQow/MiVuYwEX+6Ir6et7SiZUdN6v7h
/D7beJbz44FmhOFhF3TlJ3NAxuI/17WhDmQrOiEZy8S8G43/f9g7k+XIlaPNvkpb7yEDEBgXvck5
ORZZHIrcwFgDMQOBGYGn7wNKaiOTacyuu/4XkkzSrYoEEIOHu3/nS/apSUYT+4nqm1QGGcRsii67
bBxPjH8o/HgbX2DthRJ1rtEc1k5CS0Z6GjY7L9dIwBc8oFMN919/xPkh3isg5kGEycScdW1IMsyP
dY3R4LhofbPetS2pW3eIiCJCVwRXmalPu0lBD+872NRlTZD89dDH5o8wkSrqPsUbY66CvS+p+LY1
GqEp6jlJouhBs0FTJnMi2NX02cg3JAJTEQ52Xw97bOkLSyc258sigaf09X5Y0fhO6cYM61ZJdmbk
/T087WkXOsxa32X+fj3csQWJUBhtDfhbMLgHLzisK92gH4jhmta+q8xqy+Uf2AT0/RO7zCdRzdu3
9JF+cgNno9EPX+g0/edbOlM3/Gre5qYKut+AvseFhjcXegn6XRxv0l8iDAF37UAq/uvHPTZpsY5z
gL0KNKifFo0r2gktQE1ffmjd2PBALmXIFvv1KMdeKp9wLl/pFD4P1bUWmpQOQCsb6rwL9Hj50F2s
RlD9iTzx/Y49kEXjgGcJsvKIFD9Ol3TsCjhOAxvqUMGlGcpnxyufv36cU2Mc7KTYNJoOB3W9o4ka
47t6a3n5KcXb/PEPFzrzDwASU9F2P00OP/GGGp7nThK7Xoadbp6ZsBixuRviH5HGDkOLkj7zwqHU
CLr9EPCd2tE+Lz2BKJkSCuvPJ3VxsKNZtqR9sPRxrDBg6LeQlZaDkVYYpyZ0/ki/WP3te2U83A99
4ii02Idrr+Ja5SlEP7u8GAlQHHUDHMk9EUp8nouCGjpwOFK7Jo2yBwvcD40WW6es2kF6B1wly3iJ
puDCTahlfP04R0biITzbBfSBrsk9mCZ+E8eTUl65Y2uja0lrzjEIvJN18vD1OEc+k+Fapo5gbo6O
3kwd39W6HZmnwq/dcjfF+rrOXjQPCm1azA1XZ1+P9Jkg54GrezfUwRlLjsqZlRtIhXqfxH1h4WQ8
uP82g0OS1RfTvbKJx0D3BfWqslpvpcPefIJSTtfghBFvQvV3azak0fJakADPLRq+bC+RUNjwnQyH
aLoMMu6BVlUImkWpFnGvateZiTvhmdtn49VQdmSwFbrdJWk2gE1OPJ14UKiqh8uPE5y6ns4CMNCu
HOzN+Exowi863mkTtY8+9txXRu/dKseJX/Kpc8+6LKN+mtGJhNZ942JUSM3a2TvogmKbyqxRyZRm
4vs84GLUOrjilvmtHLzLKSCxlJdptW5oEl9UMZY1QZ0I+jCHkh6tHgcSLdG65WiV1o7a9rBqWzR6
jJOsSOG5F6lFL0OSAmEZ2a9XfjgsJzccVzgFZj5vywSB40+N/tOdG7u+ngFH5pqJnp8ODs4sQv45
SHg314K8r4g+FO8lwYGlBzC/56uPuzCpaZLHMnPYfT3g54BHCCTKlo2CB4LHYcCDJqHvB5mXO99r
oX7FZb6ugMNcOEK228AL24uI1Osd9Lbw/OuRjyxfojl9pkV6aE0Pl2+NsbEWdU6BelCpH72D91hF
vecOoXry5+uhjjwkDR7sRuQ6+Ndh6EhdlPum6opd3tdURRB01KRr8TtBalLvnSaNvWVDgR26q0nS
/uvBjzwncRWWVsCIecmH0nMXnj5pp6LYNUEZb6uhuAtnrbeXqPqvwwBr3qQMBLxcr+xDfAg5oCZE
OJrtkBw9KlUMK9MbMc3JhPjraUq4QcMUjVHcPj7pxSUUxS7su4y+gm7ABYDEq0iuh8F2NiSefv/t
C7R0wYOZhgWBAefcj2sijDNZWFnFY9m52CHnLUpqiNR0mmw2lP56sM8LkMEIbQgNbArah8dXRW9I
5HQ5T6ZZd5HQHpGn/U5GcUdD4IkYZF7LH0MQhuJa6vBo7Plvaux3ax1LqFgVGo0YyBLXglypX9rY
Y2b9BDkPNU9mnopGj48I/4c2tnnRHR4vlnQ9BMnprjL6s9SXL6Uy7kSdVnT7OhmsTPPi67f5ee5b
OoH3TMQGakG19+Ons6GtoL51053WdWcYcuwsK8VfSz8xzOeAcR6Gq6GYARPmYUKh9/QRsryV7rA4
mwXhgMvkyIn49cN83kUYxdAJNkA5OJ9E+ihkRkysjHRXCzJaZHroKe1e3cK5SaqWgjquykKVJ3bJ
GYf+aZbMGwf97TZkhkM0A5ZGKAAikgm+jY59yHzScIVMaTP3qdJPBUXsRsFjXSCYw94SNKik7KW7
23aswn1GHXkDEv9uUnZ1SyMudAEpCQ7msKCaRQi0xTn3vgnkAUWgfeLXH/0ws2UgxUA0Q4cfhpaE
KKOyke3IThfrRPnJmTaS5/z6wxydZfRVklICTfwp5MytimMkLLNd0boQ0sp+p6fGnee2p6KWY58C
r066KgFPcIc9mM1uJgpZFWxEoxQ0sgTRfnT0cfP10xzbgRxCAPALXMp5dx9HmcAWjWGnpTQPoWjp
XY4pBID01DfZT/r1/z6K5s5ImyhHxsxIOryhon13oDqyRFUa/J7fXR07N3kdPH79VMcWzwxGdmnJ
5WJwOI3HBr+/qWTxZLHtfUuVQYktsH9TbCk3dWh7v4YMwg7ZwubEUXVsz3vj+pM4OnLpIXWqR8Lq
010InLQtNBQU4UYmDzKZvrMQT4x2bMJz7TGZ7NwsPyXJgCHQQop0eSdDmW5zx3ZvBhNV5tcv8xOv
Bf6Rzkt0TY4jQZvzwb7qd+aImU2V7rxu0B/iSC83GAnSj5aIPqM25w73ieGVyw4nm+tKFemVnbli
G3n0dGLT41BYxlrLqNCYo8+gH6PrklO3W+Pom3e5YbMyYZkdBj510Oj2kOecNqNFmaCtXozWB0Av
vGYfu94jxoZy6eIcd5EVIn5Ih77ZB375HNHRMTmz+nLIrT1ZJH/hKE2CxeU5vn6RR9YaNW1CUBcH
oDk+/LjWMpffEI+E20Mx/ZaT0W50STNlkNG/ol6+HuvI6zDeeoztOVFL1P1xLBP6hA7Kn9A+MH7r
JBxWua2/NArrMRdvdURaTnsiwjiy6AyDih0RDSfWpxC7rzM11mHJ4yX2jygOoXHQtUMdo54WAnXm
fVUP1YpujH73988KowyHLCIbQxzulBYOCHHtNeWOu9oVGr+arHR2QzYeX9Y0fFC4d/993MaAcxrA
NLj9HgLRWCuIQK2q3Gl6WC1h8dKVUIj2ZgB6sMsdLtJfP+GRM4fxiKEEBxvB4sEKzIPaiuKSVzv2
IZULqx5WelVWK0FH7D8Zykf97jkEjOC6Pk4c6Vpxmxdc0Qy/LL4BXUat6bbOedwZxont69gcFSyo
WYcwZ/oP5mhPS1wxkRnYNXl3B9Xjj21Xd3g01Is4rG48RO1/fTliA0N0YQIio3xyuACNkVqb2UzF
bjInevzc4bbu6pUkD3BioCMbMyl1OGSCzDMyjvl7vgu25YRaTw+4Amah/RiO49abqrsTU0LwdxwE
9B/GOJgTvoaTrmUxBg39Bo5fsTwDUWPfmp0DRCYbGt6ijjRqqCW0sSS8L4cazq1NrRYTsJTkX0c3
ZBFT6bVwGNSEYQBsQA0di7Y+wx0zujF9zHgLhUIrkHqxzRuas7jdqiVtsME+sj2KFPqIWNGYaUZQ
bY1bPMdotioMeBpl3tRbvces5Q04dg24leiwnMXhcMGvo9GNtpi9qH2GYPSqF1F+2ePbtPNS/y4u
02bJG043ObmiehHRKLijORFzlGGS66CLbJqF0+GitEQM5SjpNl+/3mNz0zJc12CeiJlS+vELgj6p
WuUwN2kTfqnG9sWL5LUltI3IS0S10Mq/Hu/YCifmJtgjfU9B6GA8O1JFJUJV7EB3zzmnq8FM90Nb
nAheP5fVZuKpKUj8kSPAcPDjYwEciUQ9+ljl6umNlHFNz6D3q0rvKUJf0pCy7GzzOayLE1emQ6Nt
ixCCccnS8ka5XB8GZL4EgyUHm5xIqaYfEX65C6+2tBuELnq2pmeGO05l5/AI0r5aZZhTUNwu2Mgr
s9/bdPnbyaDthd5pG6O1imVAYygTTm6pd1LB9pOftgGQfBhpBQRJE6781nDIvbjTKjSC72aKjt+b
7GqB8tFKURUiz0v4PaAf5B80H8Y3nLeBWY9I8FB08b/nk72MmjZZu7ALHiphn/oUx764A4AWyi1p
BjF7Sb3fI2K9sfMixbUYgJiiurRQg75NjbY/MbOO7UXvxjkMjHrZY0gN9mrn2TM5mXzDEmuP9dfT
91ho40Dro65AvQ0q6ceH0StTlhXYph1FJ2+pZsmiDmc+hcAfNeqE6OzoYOQrubPgpvUp7HVqNqMi
Y61okYOZCOAEaD8bOkDppW7jE6/v2EbgkPbntECy9yn4zZQSTkIX1a5O6huAaM4SUspjmdV/2pie
hcg58SaNY/NirnlzgaWFwD2s00yNzHi/xGnJmEETmUzjzJvqYW+Si1+VQot2lqxQfEtf3MbYBO5U
iKghBJd56YVeuvFLS927SIKQZwQhyKqvv/TRn8eGSBqJ/C3l649fehiDRksjwpyhkn+EHz5EZv89
E/SR/INxXI+bItffWTL3cZym11Qk6cfbcROVZHPal0Jpw6rs6hMH6bGwdUbbkmKZ/809WIdi8FFw
0Hu5a9GMRA0trkNxU5c2YHjjGne0uzzzTyQqjk3gd0MeBqzJZGX06On5Dt+gLbYNf3wro7ndOavL
/sSdQxybvzOIm1w0uG1ySR/fYzubG0yjm7PNmOq5jeQrTEC80TPDW5K+DZczHwBTIL1Yx9WsNdCM
uTOzpukPtNEjLl7RY1BBtepMFAuo2tAZRW39PZx88L9FlmE+03ib0R28B89m1wRo1dAwpTUj1jdz
arM0X/XBRM4CD2GU+nNSdle04sg1tP8/sdcPi1yJeN3lyvwuabrmsDftE7Pp2FvwZ6UuKQ7m7WEB
NsskXqXoE3aTnPZTOxmLVrceEY+fkzN9bGM1nBjw2CeelVk0yrgkWw9fu0yMUFUEQ7u4gjnQy66W
mzc6gQiB6yyauSf96wXz1jtxEBDSMWPygCwXrpkHXzrUVEaVNMt3Tj75y2jonO9WZPTLQij7PCqz
7AEeGhwCi87JN7mAhyvpQ95NwKlo6dtqA2i9E6/hyHsn2Jgl0MDhuU4cXHl9B6vS1hTZDnSktY5q
5VwWEWGjSsrmMQEejU1W9PPEiziSxKQrgazPvGu7n+6+4WhPMuhZ0c0U0MoqQmtDQ6rYNEHdbGEu
iwUzhc5JGwwiDklLRU0G5YV1CkUsjuyVsy6cdgyY2RTazI9rT6c1wsnbOEe3nIBRedM1xAL0Bb3V
hX3Om3H3bUI3MhIrKGUZSWRDy6mjwhPpvw1i0DdKBeAm3vjy7aT/ICwuttHAlEIxlW5o6rO3tOT/
UTRjs2X3a8tJojW9wtaq1op2FzmVux6jzl154blZpuJ7iinuNcsWEZpiITxGXuefZbr7pAMFO3Ex
P/b8VMDQoLtzhf4wcUS6LcmaVvD8WTp+B1NKL6ozxo+xoUWbrz/6saFovKbXADU6x8ZBAELRCR75
fCwBIY1WsvJmNd8o0zM/ysLHr8d6+26HK23O/gpurxyDh9f/QnOybshjLgc9MJ4FNlQKsddkGdtA
lj2M1cw4N7Dw/daO5nBlmlp4Y7Y4X1sik1tZgHN5+0H/g284gW+gLc9jx/l/KIHVS/vyv/68OVxc
veR//s//vnwB3/VS/H5PcPjPH/oPwcG1Zy+KuTCsc50kOcBG/l+Cg/8vog/6jijNzXl+ptx/CA74
D1LhZWb71hy6vyc4CPdfxBJcr0i2Wi6nofgbgsPhKYLPhUOaHNMLnTaaT72rhY4gP49SwAehYU8Q
zK3ignquus9nL+cwtE9hEOZl8n5mM6ALi5kTi1/+OaMM9jHCMc1Ru3Ek3NW1Hm2fM8Tbdx/h27//
vi8Z7TzSbDlBhMvW+OlwbKnU9ZUdjZglo3YazLG6ScsaKwjXkmtdG7KF0ZDisqpEu20Gd7z/eng8
ID49JmlKExWi5Zl848NrMMhoaDfKbXdY4GQj/NNo2mAQjxSaRomL0Yzqs5Eu/WaLDgKKqQSSOUMo
YyKlhirrdzieRrgooe1xacbCFicsJEneNKQbZab8s6i/8nwpMm3qF6NEHIySuIFxQ8u9eiWzkN6K
xAPkihxpF1looAPXqSBu2tUP1MRqO9Of44UMDUXGo2JvW5BwnfCrH407evLkVQ3B8A7UAYpKASti
cBr54uV5rKPz6NVr1PBEfZH1D1mHAV2TjMVFYIAsQJmHUfBQmsVFFOikv2MlnzAb4Q8OY+xfNOB6
1kTkwa3fAyXGElvq5Z5XVeT4W+n8WczjLbE1YW8D43Eb2BXI0+5UqYDjjGV0baPMIC3j02SGigx9
jRvXN2XWY5nUzyKNpHXh4Tl0Bk1ijElE5MMKX476LO3M6gbcVnBGS864dSoj21e0Ga0N0fYPCRy9
hyqZnO98HXNNRwwIaxNeb+eM1S9V4iQSukQ78VCoexpXyyds/vgyFfvtzpnxGu4Al0i0hX/hYIm4
q6pIvQ7o4+71mj+i9Lp5xIveuwjG0Nqj2TPuOhijj0k7FBdjWfoXeU4ws8Ju10oWVo56Z+F0k04L
cibXjQyy5VD05hoianornQi1C5RrMAhl/csK+K9hSoPgMoSLEO5ghyI2sboKCzGWs6e1auvEXbYv
PT6ucuWAsVEC4K0RNHjjdIWviESUSuYC/q8Le3SrGUF6G9LCB2s1qq4wzbBBGof9n1THTKlAaEvu
TNfZNIzyOR6r/oFyx3TpVz1/lYjUVuIauTBGntgfNHkVpPNi1yr7Wgv1npZOnsWxEn/R+lG+7JET
5Ys+Kvo/mBuoLX7D1nVo8SUCmscWViHVKof+l8Mn6nivKfQwN/PtJXZSCazdEQIY0qoguHX0oPpF
8Xm6LIZI3ZscpFvAuIgQ6yrdgFJtf+uJY9xhkjescMoBNafxbpuQ74j5Mq96nqJZAZJOYXW5mdA5
hbAd+RKWg4bEMpj/WFTJpyx0g7OsSZ8GrengwNf5dei9wk2EnhVruRNxQc5NXIjtZ2AD1WzS2T2E
JnMTyVUab01UkSvLyp6twO1Bv7oSKwWbSTkTrcaID4Wgut0ElSWvJXzna78d7OtOBcZdETfyqbOd
8hnRGrPVRR6Pm3v5LFCSnCfwGL6P3sxv1hKwWV4xlC8hZCna/ITSUGT46ert4byIRdCUjXY7Klm0
qzFOpkuytM2j5Bp+q8rWAGnNlQJkr4HKPEvypTPo8a4tTRcdcjDGW1TSeDtkjs5nytPOnRnk1Q8j
RugLMcBFN2KK6qp1EHabjyRfZ8/6/s3APq476ylGkYWvfS+mwqLNctKKNY12Q3epqiGwz4ZQdNYt
mmzUudao7g2gAMvS6aJiYdgjbYPV5GyYhzbES5LywKPHlq2pK666EswzykD/zNLSb63eaDelnt1q
dndl5TLfoB2zbyaYdwvbBd1b2yEI4OAK3iXUcHJ8u9Ccon1upvcNhcs1rm3durPUz9gDKG/13e80
MvO9VoS/cJiI9tFEPagwOnlRYhO3zux+hIwbtr8N9KbrMG7Ox7YKNnQbG6j1U39lqBouimuHNDGE
8ZU1wU8HidurZY2M2Em8My2V1SrOqmJaSD+o9vTd0KWsjeBMdVqj8zglJ5ln2WsoJ9Dj5BBBLzeW
WuJXfasKN16bueafJ9A7LknRDyjWWLBIvo3zWNGn3vleiF8KH9I0en2vQ2De5S7CYtkKb10OmrmE
HsuyLGbEiU6joqnl+vlgx/6uC43vIg/8DcmV5sIofJGtTd79r0YOg7O0uZbSuYitasDFo+13SHkx
0jAGePsBOM0G0Gph6h09nL5BltTHhNsOnGqlguaXKIduG9ohZx4HuLdBSdovItzS10nhVLeUZw0k
rWmzoWsrwiou1cDGeeOzhyPLYhDpeF6Ms7QoS9MnVEqlu3RGR21hvYMJpaLtrbCwoLuktwQRoqAW
ZJhQZztbuHvyjKa+UmwiwBBSaTYLybq6tLJGnoPFh3th6uaenolmJaKIVdWs4eJVi4KEywIYsH0m
nXq8nwaRLOuZXUARajdkK9FrJRxfZ3qRmW6TbcunO5nIEjl+4+/Gyfb3eReob3EqplUfdNVZmktr
6ZgZai8n7RfZgGFiYwnrxm1IMZfB3HUQ1iihdeltKq2nxjI7Dgy2wAfZF8kP1wmRyetqwPxWocr0
e22DZ21Jo2x+kxkaZzlwqH0cC5jEdE6uQi30H6DsGNssZsY7ooz2Xj9i5TcE1mVJ5g/29aDd4hXh
XRnVpM5mj68MkwMfzknl1PkfK6yukB+4F/5I3/vSGgaIvRl9YzTpROmlbCZjL6m2VDgrO/V5NgXi
qUtcZS1ce6A918RE/TxSQNmXiZHofyRKwgxb58IZV3qi9/upqvylzLV62xmZ/TRkXYzfQRonF1Yb
Nr9ykTg4CDRWTwXOKDDvfEILqKOYShsktGVBF4o2FunGjez+Z5kY5bLNhjkukNUNkrtsRbN+Ua7h
c8Tn+PTSt4syOXGZfnm0p3++vvCrprTosCVxiP2rHSNQxnx6mcSlfa3MIN5NUSF/mhK0IYh4lc7f
Bm7fHCIlieAcmk0mErspLnwTLwSvkO1vDwa8pFbCFXqjpw0HDt2/6pV7NLRIpQW3kqoDawD3jAs3
0GWwCu2ZFhjFOYxtaV9P4CdutVJKHjcW0abDDxGJMZWgZU6QF+GnPcqfo+yobkU0WyD653SmLRrX
17fgq4pN4w6xePNbAvDyVqYd8XxGPmeTRqXMNWGo833Ew7FBel9VgC16K10lkZntSdwXFxnkh52l
N1iJlAObcZ2EySKXUK9Xkd1wuPt5qd0Wod89xKYIr8OcSKOwHXkVTm+/wq9+CIxm40VQVfOmjC/F
aws7DE8El/DEryrjG9tg8VtIh1uwhh0RpzYWLU7IRrTIa37OzJzYRobWPUQxTMqFUWleASK5Vtsw
d9S53mMDEnX9sApnPWhJsPVEn2m+bNQc/qIeenLbMQNHwiOQ2KHxKh/VK0KDeDtOQYmrSezDqx0g
2ig70PE6kCJDNOZXJ7odjGN3iNnfifsSdflPfWC1Cb07DLV2F2pmdRaQwp3DYbdYVklVQ+SZw3tR
eaueD/PcqBrR+FDwsrvWPnWhMQ5z2HOSfP4l+G3AI/2kBuxKUeZgJtudFRP5L5Eg2deu05rrsIU9
oywCwsjnzbahPn5zQ9quk8YGNNCWz2FQMDEL3IUb0avzYpDVj66zrGuoUOP9QMR9IlPzKU85/9hZ
i0XNn+6sTypCsjep22ui2Wnx7ELRANFVkoWmGwkOwh2zjqOICWb0zHhgQagOOKdmI4TyJZHEzS4w
nhOOXW/52I8XX6xz0UzNP4oG9cPGtBDZsOnH6P3yXACDp2dh1sR21cU0aP22rrtoxdY8rRWJJkwT
OiKoRHJ5daN5mdLxdZsMVnWGpAKEYGCXv7FodW88J0Ts3AJiC7S6rBZVa5/qziKX+ukyi7jGm/te
oRzNxeOPWUa702jpVYikRsTfS3yAZbKucl9tStxHeJd0ZvuRcF8x0ep3QLPCjWaYL4g0HmHzCIrN
hEuaPYSrjs78y742radeAtaIJ5Ge63ounk16PUekZLLoz2FYeBCUjXSFJyuMJ/jD25ytZBf6wNZ0
I0I0PubEq1nuXxBAQp8ehTqnf2XA2ZL+7XLeYUzgdbd9WDvfNYCneCWFOoLSwrJwmm/YY1GEEvcO
JW6KHRsYgFxidi7L3EvClH9owtKzWNTwqNC4z7H6WEzVTUHfNnsKMvuVBZ/rhw9eeWHpMYlwUM5r
cwzkVUqLzUXSQcXucU9CFh/1DyHebKgsbDN7rgXWT2dtNrmY6gZDyEuK8fXQxqYd13aYRvqykyLI
4DeIpANZAthPa6wVD1SYD2UAsK2pBKgQ15mycI85crwKpvl/CAjog5XeUKxZBjENnz19cZ55ToWz
gR4gRslpTExf61FSYDkR8cRh4WNLziYMA20klHdH8FeaIsjnOq2jauQi0nhW86iDHlnCmLCXjY13
zzL3ISSPNRc3L7LkT5V06aaO23jb9URXejowIwFQt6uocLqHNs6e3Zr7I75E8skbMhGvajXbpczv
zp9RBmfTxMvn0NFu4TqIvcHBcZOKPt4G9HMWSyzPs32LWcbLiHnQi6UMYkMzM80FyzbdiNarv3ET
9S5UpQNvGbj0O1nRPBaYGz3iMCz2+shu1M53uyLys2WETcqwtKZsBBKfDd3GmMJ8D4mJW0vhigWx
k3uTi7p70A0cqUAqly92U4OrtrhhSYPb86ouJk6AtjSaRzMhoVRVmbyCtg6KIbDYTdqg8FbCa7kZ
BZaFoL60J9ZIg0OFAQSF/7PVp+pXWYy8lXzCA4rb4cKOrWlHHb06q2RFVs6koLYY/fkIjXK2S1u5
JIBys/pBK7R3YQykWYAF+hehIeuzWLnFhRPy4qg5qm2hm/ay9Ir+gVIo1/tBxVtvzgBRqZRXeUp+
yI25JlOUnF49Vum0jr1JPqVO/q0fXfkTfDzXbd0OMZi1wNkMERVqi7+00ObAef7VozVb8Xg0kNXL
krrfhRIDxqHzUh3n/V1P02GF+YR8tqsR5GidJ+A8qNmtuz4mMzJfXuNR5wIfjVZ1oxc1X6ZMCEXe
zmJZhAUK7dBU+JNDRp6DXvI6AkQFiVWeLnPV+RQCeBt7smtv0xCVPIFEWEAfHDtNXVohGQ/RqOrm
LeNTCKYPWrRs6UCRwt6JWzDgqHiXWQRUGXXOiy5waNCY0wNaqPEaaMt2lyQcefVzIm+KoeilkoTQ
EEWvtYdV0cRyK5ajCglGhhnf6YVkr3Q5preVpAUKtnzqz7hFm05WcGlVB2EKthWfOBz0DFcvnoi6
vUkSZ2IJ0lRBCi7AJo7Ujo5nVIePA67bpDNI3A3rAl7kEiU+CMoUhB4Bj16T+KKoSs2HjCAAr+rH
JCwSZXY7VL9ABeCsprfqvgB9swjMOttrc3IFRRvbGjd6wPZzpmZ2OFh4hBrYzUwxf1NukuypJrY4
YTD8W/7m7ZAcU3K3RRlZ+FJpf3R9msNlV+PzZTnBUtXQYPXvqYkjykZapIaK0ghudSMrLmRppisk
Kt6F1zbVj9Igh4Z7ATk12neLiwFJyXVvcdMCDt6yuWtm8xvNWvk8hgQ7tV75F4PLPlsOEa8wsnGY
1OGIgvVIOwO9XE4qxyE8b0GkX8zzuarnbRjhUoPtYUZG0o9dYt605o9ziKrzmHaau2jOehOXzKcA
F7Rnw2NKWFPX/O4qOOqREYTXLv6BG6Oe5w/wImhE5CEzh8cJ5uzXW3jr+WRIoT2lt/nQk0XCVWrl
0A5293Y2GC0p4M4Lo2uXLZ+8E0nUXrOtazfUbI6KwfcuKp8wpFKpeTfU4ML9HM6hg1vk3uI6vIyc
xLiTDnyyuONDIsHHQijTiws4s8WFbRLE5vM3iAgPnxqaHuWmnkqC88FgN8P250ENhMkyJT+nl5l5
hxMjmy372A/odPIJCQ2UfQqMy7eUYN+StPRAvJ2FRTQAmyf8bNhN5JJrTrqZfSs3VTkSnLRcdnIW
NlwZQRa0zFgUSu/LZ/zsSVAP5IxFHHBVaAmcBdCDlUlyec1hz+R522ZHl7dB5gibvtIKH7nVK6yf
zHy+TzQjWahajN9qkjb30iVq16aBlEXf9LxMne0t6llHKY5Cj7rTS+54grmm6cHtOJAvM7Mxj/eF
ZVdng8xIIs5bJYItc12nIr2G5Av814kRnofwPUXlcz5EpExYkzXZaUQZs0mRgdKocrs/7mw91/LT
MUhLWbixzyUE+L/8CS6OkKNqpmyfFCyyWMbRNZDP5763eWv4k4q96UUslT7lHbSZzm2oH6ofRCWJ
tehGWP0LaEE+cUtnx1fYArDJDniCPJRlQASperXqOz648tDPpCYp9bf/+rYwVZ5wxGhYdv2yB85U
yaGyL6Z2/AaZVm3yKIlxJylZ0DFRZejabDLUGsNrRFW0WEx2PF1KZ+JGNrgKSHT62llT6WCUwgX2
LVHs4gRlQbm9HeYoQI0VVzI85rotiQSeeMBvM4Et41lP2L5EQHsIZlsSKuvOhpa/SLHUOWuD9j99
jv9TqjxZqoRF+K5MdaRU2TQvv6IOv5+2+VivfPuT/yXO+/+ikwJ/aBRagl7K98R58S8bIAMN/x5l
NYwruSj8FzlvvlUlQRDAlqcZcybT/Bc5b/zLFHMfHZdYZwaBOH9TsPxchp/1oAgwDM4Fft1Bx4Mv
FNAwqcmdF2evEaH+FupWsIg9OpHfvZ0jNcRjI5loGJB7UPD61KCbFejV53B155nAJaHcPcuiHBdD
EHUnmrmPjcQYCEto9wckMv//75q5w1YLplpirNgOaYeThX7d9HlCa+r08NePRCIBqsbcK6Ez1seB
etoG/LKecHBkPadZ+hpo8WvCf/6TYWw6cukB/lz8RL6ODN4eJXfSwV/7HsVFfIuyZTrG/+DVMVdp
kEAgTAn9ULcQSj23AD9K7AHy+mLEWhOItUkMWCQnHso5uARD1vcc6ge0nwqcDg4bUN0eN9TWH+Qu
GrC4cTp1q8LxAWbog+wxX/n6DR6mW94GE6jyUJKTwDiUPuOQVbI2S7kj1UiSj6Nkl2CqtCi1+EX3
yFbFQI0XhgLp/fXAR6YisoyZhfLW4XW4vJy65DZM9nJH6qH83gEeW9g+GGAQHuLE+jrsBHh7RlIi
7Aq0y7GqP07GqUs6hT5fIqbFrwBDS7VOTD34/g8e6N0oc27j3dqaOyx6jaLeTvNH8NT1+NDnQ3FW
1P/s1b0b6WBnGtI8KimIM0GyTq2cMXmZcL5d/n8sL/3zV0KM53nMDNe3wCrMc/XdQ5VBbnt5KXPa
g8xyJfVew65YcrZPVq7WPmX3leHXxgYKur3T67FcJZnwiWWs4oy+CNQoA/cPqPogTWoKcb/e0shu
Eoj97MKx6dz0VYHM2YeT0V9KFzdSDDIbZ2H65JhKyT+ioiBfc803KY+D43THKr9RtW8+pq5Z7u0g
CZ77nABlyEd7F7jQ/EuFOc+QMJ9TdwTs36iOAjdJNzKYFbFl26Kp7dKsWNO1VnyHZGudgdscflUB
u7zROvx2mKA3KrHKc1xQ+2QZuV5UrpWV6T8TOMIoBfk9Gv1UL3nAQ6c4Ym5KP5TXFPLKVQukgr5U
EQTJwugyH4yZaHEHhDS8qXSqYUlFRl3DNXyZ6zzdlLNx4X7bLsmPmzRQsLlEYQwCFu4jiOHR2NDt
WuI7icLjzMoJI1GileeGjguhlxPueD4+2W5Go3oY9fb5GBrJc+iV2YMzkFGqGiGfKic3HwOeXS7c
gdyIzK1u4jf1AQJ2V/rtUgjFWh8di/usxl3uoRkArRN05zc4L7XPAa8GwGwlr50uedUNvmkHaPEx
9+LXsRmC760zlfth3hqjpinPVTbXGGrCTez0fD+LYOk74y1AG2vPjt4uaQ2Jt/+XvfPYjRzZ1vUT
sUFPBnBxB2QaZaaU8ipJE0IqQzLogwy6pz9ftrm3uwvoPntwZmeysQutKmXSrFjrX78Z09KJaAPy
izm+rokpwvcncjV7ytRpBTltaf3DJ8TjTBgwF1GXaB1sYwKt//WxL3uiDfDSD6+JIq63Rc5FQFRD
LoNLtGDVtelTuOI7ih1ZXrwLXJDJJZxIQvUyyYofv+MVC2zll/ucLWF7Y4EriY2fJeNrlrSG2LKw
7ENsUgiAjnwQg2t849YvIQ6DT2x3qh92QIoz33HZYqyaRBCGuiuXHLiXBtewJ4csFhljdkhGnYIe
UyDHzEY8amdARYUeGsmHzS0YkrkgRthu0ybCutdAbOiLl75TvHYuKWbx6HLErdg7M+20FyNQLCmz
F4S56bjXYS0/BMzknah5jzDCgdOTi7EkwSqZ6ZvF+LqqtdjjnDSgXDKUne9k63jrdoW800WqTycd
EcxnfaKD77/ZK++Wa7D425ST1z+PwdC+pZIUsGApqaEAYR4kUMM5QkbLWQJOJP1aBXfCy9LivUvt
+jgnmBizu7Jjohl/MIAIeDtkpfNByA7EQXZjLD3zSAZ94YzJO0vitLw4/nKHtMPRh8kT4FnIBE5i
TvIoR4UNcNbO2fe6Fd5VXfjgaX5G2qFr6de2X8Y9kia8s4XmQVinsMZjMydwENFNZ2Az3FvlHgfv
74NWwSbr50eipqEXjJ86W/JjVfvARAlJlRyFwX2meSlZNs9bIITxZhyU2KYF7zla1CSy26D4EhLe
dsJkckdsb8nUNrdDXE1FX+BZLfPIGUoeaqrifJeVkEpqLcWtQ1PJmo63vtAlY9XYJuDEJLusiupG
Iue4ty7nbuvyve1KfuS9Ed6GCFE/yhl/eGccLDjnE2iCmzjHWfNEYTaUvGsBdcIsl2YzooTbev3K
a1QROYl4W2PjZiiiFjECNuKMOJl7y1cdgHL54XkUSqWoHzjhB/drTlCArdSySQLSznGQ1eE9Rt8K
9A8DPwwSeQyJre2ILq70Ri6SImbrZuNP/GoFMHeV413Kmt+avmZIjdq6rLEb7jFIxhtlq/Ly1mkx
ac4mJ+QmVO1t31366sZuTqXV8jAxeWqC3iwX/RNXJ08EWIIP0PJr1YWk9jYUofXdnKhW4+UZ8czV
OhfJkJ+lN6e7cUGrg7P7JYXSGDzSZ7xdz6IlxprWjj1npSIOzRyPq988QycSt2uQ1JvZDFTskluC
I8VA5S5NpfB28OunsU0TgtLq+pisurrvNbXHSKkek+ClL8aKay4avXMksqy0HvOzk9jmp7D0cAJq
oR9t9G1Y9OVV75vjXmaIEyqRGjeDym+d3BlfDSn722XOhptErl+wUJ+gr0BDCxesb9zV8q5Wka/A
yV11i5VkclcWb0GHJTcL2B9NevGtG/Jn3ucXNZqk0uJWQpBKRRSx6SD2W+BAcCyme4r7p+E1RMoH
HHoXJvvByLPyBTPs+qhqKo5ZhRCWTIvQxZVb2v5WZElFgPTPPdgxe5H+65MtxLldx3jazfoKlYOr
9oDdkQ0UO0VDLyT5u2VJMZMMeR2PiBRVDDuvONRTZ5JHC5kO9SR2kGTcd6uKytbJKxah3WBCz5i6
SwaF/dxXdnWcOqc6NsFgtuDL0BWcstcbbaGyKIHBZpwDTstkEybJ4VMq6l8VTMlDB5qNuLiQ2Mu7
+Vhlx0kKB4t7QlHG8AitpqmjxNdO4MT04lDaoxW7sh/9IjNCRcai+t56EG2sPA0OMxg2ZMNFqAtS
45kAjjN1fQkvhGmiSobhrvYDnMmlSxAAm4xUIkXIlMvmVFsjW1+rfw8Ls4BRNJePk3Rm+ISWD9BE
cw3ZoQ2W8ViXstiQsPnphpo0eAmBYHFAcz1I5rbP+0XhGO89Txo3llMbkNGCCktG1172vKe2EzWS
bbEuw+HK7rC+mLvko8i8glAuuyB+hW0SmR2kcQ72fNac0ewGUiK2atfWRkzA/XrmdU2/pmUA46Ow
egMIeha0loZxyGfPDHdBWlHfXJ/y7aZ0J0xL7hRNWPd6m5YvfFWwEWFXs3jjv1Btf+aqQ+mFkWya
wmPliqnRX5vRfiXESPdmeQUyRb2xp/EGqzySVENFn0BiUX5eEJVBeVvpKwpBxBcvvHeCtg87xRL/
NqjBz27/vGgNL58HhADnOXyPfnLPCVKCgvCbKK9UZb1oEwyxoKZOQf5Rl/ohWTjm/nnE+GkyFBfB
qc1vsujH0Qj87QK4o1elQInkBNOE1WTqcEBxHNd11pwMF8/8f/59Pwv4Lr8w8C7qH4wXfrIjqBUN
jusXGLeERBldLPObTd7XI0FrqvoY8GDcFj1qYt8Lp7tfj52JNBF/n9mTtYPvZ8TkwHkfhEOM+5ks
nn8Z7H5WpfD5EMDDwrrw3n8aylts1/Dr1cVVVlXuUY999aNxcCWPpmHqifNOXZrtksBUFBTSGs6j
T69pFXzi1qLRhkb5QStTH0MbdsNiM3n2eQs9uFy0d3JJR7iulVQg+r0g9b5jXzCwEb9KL4ZkDmld
zdYNquQRm0r3w/GRtkSC/9mHhhXcw53kAE6WGRF5nsv3X0/FusbENp7Wwv43eZJ1mWL/9jQiWcUT
CwGAB6nsbw9HqmGncnoVVwMKeSzT+yYi2TuNJ8d97QhHxmmshagGi2bnkf4aY1b3n9r8CLIZQxvC
K7eEx/RvnwCR+eSjesuvBPP23jPS5tS607+VgZ8QC34LQAXOcBg+osH+20iqcz0mft3kV75L8+zj
+IOtkz/EHSwWshwKgk8WyfDABmx8/ef3wf75GtOiwK4ILw4dPztnLlbhjqqc0K32U5qwwoMjZSSJ
eK80rTFJ5d5yKwxPvNTu8lKIpfthtN60HZaRkLuhqbP8Um/VEHUkqDtQWlraSbdQV/TfLIOhjH3r
kkvktpFg+fEb4vK/ePW/4dWXEvGnG/0zXp1z0mmV/wWq/u0v/Q5Vh+IXDh0BaIqZjA1I8ruuRni/
QFFCpxj+ORTV/IVSdFFl0AshqLn88t8Rasf/BZzXBue1EBg4YCv/EULt/O1dAJ7GtQWQlbedLoXj
968HgsLxsdNdmpFzZc4dXuIQ1YaIhBIyIlvfHd/MtArOhuc1Dzn2f+cVuV3UhZXJdkloubWCnIBB
cqyWrSKQ5zYLBwnkaNSQXAO1n0XuHJkerAjIAX6wF86UtAaCGKyDYgrAZrzsNJZTc22mAtf9xi6v
6QGKu6Bxwn1limyfBElAfmXpku9WGTCRIKXs1zxThwIrlRvdL8lmBcU1YvKusMeoJogkIAf+l1zb
jY4DOsd4DuhwHch0TIf2cAVrMnlApE/jkaM7PuhLFNvafARFiY9p4RDgquZw2PID6XYa/XlXJLN/
OyVzmKIIEZgHXGg4h0vndVUQIvF1alT3I2hz5jNZhwdwL/U9ne2kg7zRWnc5CSaXJaN6cHt3OsoC
yVG0FHJBGCPt79JszJhUSLjTdLFMHUvqn1OzTk/krhhfa59aG9FR22dj7erDknevo5g7eFa2vy+y
cHzO2mF4FGJgdY/QRn1C009flVEUAhsLd4nIp5Qad0OxRsz6ByAVumfbzBXWJaIIYpugqo9umScd
2+70BUWpzZWuy8+ShNIrsebDzsJX5etq6vI6N9WtsabesVBDe1Q4eJ+QfKCu9QJSs5Bz2BvCVxdG
10XbipuaFq+Es0EW4ypp/jUU0Tu7d8rTYhEnqJrK54vOQqIFTvS1lXsGpFMz29N+lk9N7WZfiiHP
8GmpW+xkFxQoW/RBBKUZiUemT0Y6PbtlHkBSJl19o11cYiEumA5gI8Gvu2wFviFb0+wJbSGYvFwd
8A1PzNOPXNpaxe3s1EwTZY/vhczqu9z35sjtluA6Vc26gQrDxKPC6qYF7Lu2MYhZ4qKa2LvjMBAs
kde06QvYoe2DHaTuZzdPLotD2v99UBJKBBBZXfTWabAZSULcwHKxzmvlifs0WUj3wAwYpjGb8mXc
+MojikOMX6H2FAekON0lr8rINmOvkXTU2XzCYJ1MFymG+lk0MnlFwJEaxwRTd7kVdWB96yaz11GG
NOFhZOWcbMelsN4GUSZ1DNNE31u67t7VYtqxaCfro1AOBLBxGZYHRGZleAVJDNccFQqcpOylhxDr
zIQbDKzoI51YzoszmtmpMzP3E14uFiaWy0MbE6mG5WBah+8SQeANkVCLeZgFLjbrWDRGvMgguZBL
yrEkQaZvEDbU1YeXZuJZ5UyW5tRu/FY5gGj+8t1r1cJCxrKaepuESf0qU91bpLugm+Jm1eptCDDa
iCA9t9iENwOym1FX0YCh4/WFg79pB3Vv9SDr2BHzPgOiYVEVKncblu3KTBkwso0Xnz+3zTduJjSo
zwC/srGCo2f2Qbw6mQy5Dq7cN1pT1hRW1+SlYFY2QsB5sBnP901uFvPGEEPi0s8p883GFWK7ulTU
EUQQjUNd5XIPBFYe0gWBSeEml/DTxhkeVJi7XNigkl/AfDqUI9bg4Oy6JvqQpNC1IS1M7fsYEL56
5RqYDzD8psAq5tLfur0yvjZeAGRFdNp4t3SLQXFZmaMbQwqALNcdMagjB5NRfPreldn0tri1deP0
OQgSTW64RISmkcglEqe7zRaRFBu4E2R1ZRO+RuCkdmyZ7WNa9O0GRcx0Ur7CJKEsuo1fB0eXxFIA
oxrjNkjYmzHNk4MsKJuN5Xb72aye0trTezSMADFwVsYIYpoiX6VY6lgMo7/tzHn9tjJXV9vRQlXR
OBq8vslGGwSFlO75Ap/pE0a0Pi5Yrpra/AskRVxBlsCtC/M1XAq/sKNMOdYwQNhdenmbzAlRYEL6
t5ackt1qlerBRwP24FtBekdZnPdwb9fDmE4vnlvXDx0zzIO2+sSOzFwmLxO0JDjeKtQREX3T8cLz
fwlB+ChSmAM8hPT5dyYg7B17iG4HLxvCSF64Z8F8GzcjWj3pKdLuUJU58Vwt+VnbQu+6kLgH6F1V
dZaknb5qv8DHpy8zLgyR2LzqAvdZvKD8687i468Qdm7IP0zwHluH5NENlX8gZGoiL8gIuygbk+y7
sxrLLUCuJh/U6BqysZbkLGDYP64844eUL/61zTvgDfK+9mh7YLYl3fpeYGkBTNORi55a5bKTLjlZ
szXgeD6gICoGj3qkc2s92cNKQFSOQWA1yTu6TxV5ne3cJk3ZuxTZAnLFmhwaX9o3bHFSoiHhpfKu
6eYuXQOUrVzPJ9XM1jVUIQIGXCMguEoZtwVaO2dr2xPpx2LNviUDLKV8NhgXVTe3/B5oYMdlDZZ7
u1DTXixCHEZL9y8qaSD+Wd54xfvkLxHDJQmAbSAqbhFUmQiTenMzSEhAsXZEdz85ZkUQlXSQmSHT
R1yQw2fqSvcWo+jkZg3EfOg5GAFT0KrDhPlqNrn4avWOTRJWjyAVWWL2bk5JgRDNaPe1kxnQZUZK
DY9fxiHtlo4XX8IAdvkoiztkhtM7zJ9pU2DC9GY3OVmaCyGbQ3Ypmvit2Pl+xb553Spl281jvYjX
3CZpcDuSJ9eCJHfais06tLOYdaB4y42kePQs0Xd3vurJnyEQp4P+5fsF8glpdea17cPy2bfCqs0O
mQ+kqpiDnyvf2OvyqLp0g4MtlEAn84NdK/wgzmrSvWOZTverZTfyNChyw6BHGdmrB8iff9g+r3iM
ntf0tmqCJeNfIDzkbDeWNc8jKW8pexN95JG1VXEMxto38ApL1jd63/lLURj1VznO9osYdPBkdWl7
7Lr8qauDZQvJvDoEXY8lpQbnCpr5wS/XNwogYcbZhxz8t0BP+tNpejoIF+1b1Hv6LcD17YqtdHmH
OHZLFpZxzc0huRZ+wqEuhu6Hs3pjHQ1td4m+7RwyyHKdA7Y0y3DveFOxxJD7sy5qlUjZ8fhabSvc
8O6zlX4HjuHkVcZvgMP/jlD/OkL96vjxD+4EeV1/75vh468z1K9/6//PUGgSkHXgmH/hNfzJnkAE
vxJ3MAjAcRO+jc/E9AfdR/yCeJ+Rm5QmnEYZvf/fMOU6mBoIbHEveVgeyVHefzJM4bDJb/kzgmIy
oeCBEWCOxQfEwvxvPAEHxKDCkc081abRZJ2GfOwbG8jTCWJRa263TCywyBZnJD1+polEb4p8kfi0
Epp0teZ1hGC4v4FP54qGnS9Q/ryWrvtiAa0Wm6m3PqHJp8/VDME3T33vywhX+waF5XB3Gc2SXd5I
3o+GRcxNOvEfY4YX0e4NmeGeTSk8BRLiI5vu+1INzqcxIbc7mX03I4j17eF6lOgxn50i0cF1T6Iu
FP/Sn+ip3MrR3+SKdX5t9zOZgo0ZIaPZrQsqqrXol42jTIc9t6Pf2DVNaB15m42bwsmhrLJpCNpd
wb19RKBb+bFjsw/FdybJn62MJi/NIHXHKpejf8BoAjq1arpH39X2oQ+GbG/Pkox3tiWksl+MB7oc
h+bRtvfSzp8W2JB3Pq2lvOJHnBv6waRCZw2nc8CKVEXsTZ3tYBkfc+HOyAxlNUGfD4xLXXS2BD8I
ljkQHDdrFnQenZvRP1hm6d2Mwpu3nIeBddBCdM1pWEXyslZh8NgGXvKkhsUODzA0HGMj+9YrYeu6
NOxEnMrXEbrh1iAEIi6AH7kGwGcdmX9HXzTlaWgDrqWuJuYwv0/Qzi/LdILCnoaxkbbZNsj99aGr
Uzc39wlB4leFhfB0UPgz2cOEbdC01psgXMaM3LxO7sIlSa7cprJf29WBgL/2xvokyqB0oyEFVKZ7
NMPyJaelqZ9TPEgDc6sB7mdjS4ye6Pu9rSUj0gFWcU1+iSy93PpIe6o9d46MXA9vwm3Vu7ENR/xM
Mva0nc0EkgE740M+riRcJv4WeSX7qqKZZJzTAEVu01Ux+Y0D614ETNElgIRD2LPRHZMOiTgxxDfd
CJ6KGeGlZx9SrW68S4LvOq1RkDdnt1s7pliCZucqOQZFvav9on9mJLqfwdYjxa/ZpTRKoAzLm2VO
BMkHebJLxuXRJIiToRCTP4R78rqrDPPQem6xG5iWjgJfoKhgs7LtDVZ+lTvnR1eXzW4KGySV5bIe
zI5X0/ZL+5lY9Pd6CBE0W2kQyWww2JnJcdfUwTAc8UaRhz6fPlWjyiPDTHrq/EDTyFdk1yAMIlc9
7t1W79y15foYqKUrg2msM4BUWvRexDxn3z14rNA1gE+SpoVXZ0L3dhUKU6iMaJf0kl6TPomlIF4V
ewQLj0NuEKbe5BajhpfQHkvrjk8vT9JbDBUl89AeCLHT30EWlk1IoCsbmGy66toRdgsAaJ2ueH90
HWs177FzyocizK9XK2HRrQEl7PUp9znfzV4cg3R66AWMZLrKDWLdbYrYlF4gi8PRfe67bh8u841E
9Y2ASM871ZbDdkxW/JwS98Vnb3qJ8+w3VlV+L10UAHY9+RB+Mv2YG1j2dZbFSAAjGm0YRTAPb9yW
0UZWxIaxSLEibBDde+Lr6201qzoOxDjxbLU4iHE//L3d03obTHFXoSq/0jHmUUfo25EYanJtFNl5
5LjIcyYGCdsXbyTeCus+zbr7kbhWI+RLrU19npn2PspLNSt0ErRA3r1xalvbfcjtzj827ZDF3DC1
azEeZIuavZpGj+jZnn9kQ2VdpUHPAi/vyghlEwaxRiKOANrOtqes3zPdIZJYfXEoZPCQ+Op+Ggdz
R5kIT400piAmWn74Ql3RG3sMkjFqnUGegSnGuBuKYW9yo3Zm0+mzl3rZgzPPgpbbfFiVMWxcSVxz
atuxFJp9cLUjzTOL8PsOAH/6h570Pq4Q6Js25Q6Fr8PHa9yPzM1Rg2WcDh3hO4VFVoscnkoYEju7
WpPHqZhuWqNTMcOBfA4M+eyhcQNqGj/6Vbz6KTJzLB54jnWL1UaJ0N2edjD5LxPBXtgy4Sp27tm2
0m4/heprTcTs1lNrf4UX31NLUgUPcMF6sQIbOHngF+fMch60aK/LPnthvkNchObQBG+JqLRbCD3v
rpj62HG9uLjU0tYI78Le2fe5nB9mbh0L4BFLaspo+F4kqfVakla3UU7Aq2a4UDCC8Yal6ZYE6iPs
xmHnjZ3NeMvA342MSzHdexYXSxnu2VGvh6wZroaWtOA8KfaQ4PM4Fbij50jVOczKeE0Eq0Q2mfjU
uNr9Str5cNGqGOF5WU33PqsuOo1AdTcIwcFCprHZYqKRfRKZ4caTra/nvONMmMpnyx2vaqT8Ylw5
WKWARKSGx3Hpz2xiqq/jXBMbtLxKAMvtyPeBeNMUMf57+WlcUKSxUNy5yDHtOPW89TyjmkFil3Tt
Rq+ZdfJyL90thrNEvU6dt6TR7QO6AvK+DTWQSRvSrzNuOPVdaoxsaxuFkmrgXGuxlCE81JMbAOx2
V+tWX9tInuLctqGAahNFtGM8Z8Z0OZ7RUTa+iIzQO09wfF8MMJtbM23HeeMupctOdVmlfqilER5E
X6zHeXSe3dlsP/E+Jh49qWq0el4wOX3klBZm2K7bIErjnLW34yC+AvfcWVnA/tydhofeq++m2jDi
riDVd8n0LTTeLz3QFmQpvzkyrnwJe+wl57w42oY1bC2+3sZGKvlOeXWvJvDcD7laajthg3kgtosh
vhmzvY/KIgpJPY8rRk3Ie+MbI0O/rc3QuCFNuHiB/jZFmESGP3zyATbaa+3Iy5zyowmD5REuCQOT
Dt+cwmtjrHOCF9QgOfClb8bQv+QTujEzmkHtMOXD9M5xIAXO7uUl4obJCNcDNCshOiAp+Hip6qtt
Jb+1qvhcTCN4EKIevzj9SOq3zs6gux6kCI5sgDGLXXqu3CxeW+VGranKE4vwBh2PdukR6vTGssur
oUiKGP0pmgctmoewsjvUpGGm77EYCa/WwO++GKu4IqVzfhphzO0sEN08FtgZXGOw860rwq9U5xIm
py82WiX6OZfWya8dwSgKG8ibjHwLOYoDAtPNDU6IwJ2ebdax0Uj7XKPAiYlF6a6l1RNIP/TLdQVj
7WpqrBnzgO5rmZI8pOcyR1rfjtYjBbKft452yjDyhykrwUbTfudWbsHh1Rv1WxcI55T6i7cr6QVf
LnyfBQJIGV4oD4vzWGWO9VmXnv9JqjsWGuuQkuTARGhYJQ2D5prbkO2QmMDXgTV5DPRqMETCd3Ds
24RBxeG9rRWmU8g0NxWdB3SzfEyzuEos5IcnpVlyFNWYPhJmPyjrhkYrrlA4KrEeICB8axLf33cI
WTbV0EJgQ8R0SOrGjtbZExGH5J67dvSkO0QiZ21eNo1ExKjfx4GFiL22wFNYchG1DgVKJR3nX9Fg
o1WjQkraIWpDq7xyBiClTEn4Iea0TZRzlpl0nnOXhMey9cNTnlXNSQ6IY4pAPC5rtitH4sNxXnT3
pvXJXE3DJFFoySp5tlLFkqGzN4nhOsCELZ7qnoLvIpOj8pd6G3Q4ndY8dxXkvQifQitujLqFCT5u
whJQtFFolsjsBPLq2CivRfY+CZLPaPB3ZsglRrL7zFq92SKwaBGZVqeJfcJGWmG1YVSBWjUYeAyk
QcuZWDaHpnEfBJkVe+wVvpa1fm7aBe8mf70fKuYUGxwLY7MaJ4wWTNhlM+G0nrox1DyiNDPsF5xu
CBEvq+p5HkhMJ5mao24hlFRaoPdOAzk686Au27Ih8r1an6GFzju8iEScN0n+rVDWxpqDFfYbT/lc
+tFiYtDuz2HyHFjlNYQ096xcOLK6q3/Q/KL6yvqtJdcmzgzAy9kdb2f8CjBG1dWzciVJ3lBYd/Cg
BWsomh0YBsTQGrK8wU/q4pBdVDsBnn32w+TT7FW6EeT07bOpmO9ZXMDk7H0rXsqArseC3mK28lzP
iz7D4omrpiNbr1cQbV1zOcOtOhrE7sDYahy8ZsYxCkQwXbM0/NYwb2DA8maH60fass+wen3NmLtw
MYrdVK6HJCzG7WoY+zL7ASRJvozfm9dWL9urrlB3BAGe6jmjPGZdGKO2M3dty3g72srZY2e2txvP
ihwpTzglcIBKEzJs+Iz0CnPSfP2YA/010eln0xQ8P41zr4eboEmewVgHtGd1+m4YaL81okJwrzVO
neB6FeFr2EInFKLZFxyOEY5O+HqhGSTZ27SuXbe9lxPdmdFLMx70iuNKgfIeFmAz0Z4Zd6w1xjAq
qnnlSJAJX5eToItMo812S0iSiuIJfl8U6GsBVukk0xJljt0ruEyQghF5Vm9lI7HIz3OrIgbGxn96
bpySBq+BPmpnqr6fhss20pi7C1u32MvcSFlG2eje4waq6Bs0mBzbsBGurNd2z5MOy8OITP9AV13A
gM/qvStqd9cua3qCOO3viMB+WhSGMhgY34pQy7s6N6wfXt7r05rl/hGXJHVll0tx1Pjy7LzJVU9u
DTUsVPYHM7y8KWqXAT81b+FLsRTqm/TameG4aXwhb+AXYZ+zzvPeaeDDy5FpiZWWsRtEAA0Uf4DE
qev9WDvuJp0xO6oudJq8Hy5x8fh51Q7Zri4RXn4rgX2zMrn1oYVji7p8YlYlIgDrjyAtuWI0tTe1
BucnzPvgKdLZ1DSeraqhreizgLNYvMOwyjdg6s5GVkDosCVq2iC1bqaCf74XIL+8O6k/0+4x9e+w
YcXQfibmHlfHXYbJ1oG+8RBUtYzLshp3F1vVLdV84dZ79baE/S6h+zBMsR6QhrtnFAZxcWb5NhZC
0Em7ZnHDUc0pNDEtnJdenHB9DqOWTIqNnQReBLocG7D5o8ayOwjQvQntpMyv+sK1YqVaiRV/b56G
ohuOfeP86FYcxQRs28tsYa/52aK6b2dE/3dScRubAk26KHADLMspBim3Ir/Jh03RhcZpcuVdblc2
ssXqJvWDlyYU/Z7+usMn/bK9mOddbZl7AklH2OseswyJCxcTHv6pUNtRng/f16a995vhZmkXVl6X
DTvuGKAMzFm2U8cVAlwoUhlfD4kvwt7YzGaqsmcmVxl+8Fv01x5Ny3KceFNjfTHmMfVAjfQshYXY
+DkG8hNnk0PodneYHcyHvF/YOHfdiRL9gmVxjcfVvGXU4km2WLkNYw9L0MrNM8mH9j6cJ2CUlUPX
HZyDaq0HeMSHULLAG/0i7jqI1ww6a/2lcw1gk2mawp1dWk/Uzgd7SRe+0ThsC39i8gonyEyMg4Nh
Yl2LphtEYGMlOVsfvG4i9kOf9dCIe5ka3MjQ23cwjNHNOOtzaLl3JL/hRtdaNmsdczf05NC4Skns
lhssTnwk/7hmBvKpYlMTWt25X+1TEfofED92bfkxWNVeD+EPdZEOm2EOI9haZdxXYtPJOrZkKzfw
336wyyzi0ijes87Ith2My/hCxi7spgFUCcFKVinSTV2DBWTWStsCqVs28k5lFOi418qf4xZh3y2S
Z/to0NO3sIkIsJtGhvKxWxQ/xEnewlyNhNl227qfa7XJ2LZOnX9q8WJjgxr7cq5oxIpS70BxUvIS
tRcVqxV0nNBLp9E3rGrvQhkWEX7Q6pCXXXIXUtWGqOkt5VW0xh0U2csCYXgy4IL2uyrsEfvCWJhU
7FgZUJvPjLBQPmyN1MAVVod/BtfIS1owB4wSzGuN+fFnX8xBMaAMED2Ixf8MXr//3lxMdvv/c1kE
fKW5oM5lw//96x/73/6cfm8uBKK//AFhRz4s9/q7Wh6+97rkr/IP/f6T/93/+Lvb778i8Z4Jbv1P
SHzP2giaYvt3PtPl7/2BxYe/EN8FgxYy2x+A+x+UJuuX3xS3F5rTHybB/N8/GEzmLxigBxaiFGLh
/MAL/xPQHYD/r5i7iy6MgEuYkL7jCJhMF0z+TwIz4ODOK8h9O1QSR88gxZ8D8wXejbXC3cUbcCwY
uotDrW0NF640JgVuNF48XxtmyWe2TKg0GtwvQM0LH/8JYS14gxSJjW4/RyEfLEb7traFWm1Wh7le
T0keLJp3o7XxmBiwEQ3wn+FTUuSWjFiZ86/WoBiTOTruiMreqcwRfSShKz10BrVMSZT44TShgrv4
ifzqQBqMbnJsPLxBI7/GUoKPiasPOcftB3nN6w6CLaJ7BDOHRS+Sgp+59NRX5dKClz5a6AqMY0iX
ZdEjEu7wbUyd1N9NIqC7NcckzbeVTmfFUZMZ3ltmCoQBF++GITs1g1NAy5roaae7zg5wvg/ScErP
qzCycNeQGZg+TKnp77ApqzqXMKUKIrfdg1ttjMx0vAPrXH4yxaAkeJ1V0dZ7oEs/SrEjIgRhgdEV
J1YfpBtrClcnROnjW8TLRpWfwHWDF5x+VuuS3kJzaLYN3hwgxMHStRF4Ufi66nkwqIrTvJ3qDt9I
f90M/CnCCQnTANmN54C2sf8v9s5kSXLkSra/8n4AJQYYxq3D5yHmMTeQyMhIzIAZZuDr+3iyyK4q
dpOv96QIVyURHukOB67pVT0a5iKW+8KVJnM4ccMxIoPV4Ezwg2JXNuUVtucXZN22qhn8jOIHl+cN
U4G2tbrTSW5xwSgPIFyf1qGBF+J+cOfpmYdZ/iYSep28okpCSbHLddfvfBnVlD344JBWsBf0ugqM
YJvAZjl04Kne4ebx4KFUb516TXVIg6o72hFeaNMsHhKc+vfD1FXVyjNoJSbUAMZ2dBkAKhwz8xNI
E6rUjCBovztXDkkJW2g9cUo+5DFd3GLsypMninbTKhsRdEkLJmIAKNowk1081cGnC+ux4FDYZHeD
4eqPmF05HFQ1i5tg9nlAdJlpHKH38FOzqMR9cyXSjVBKX6RVPGWGst7xjakYS1j+mVqu+eL6fKls
HMFbHun2IeZoi0g9ASOS41dE+cXHgnq4CVQtZgi5cfeBxLfJlpSNfzLaOKLG02Anzm1BmGUrh4Vw
gosbet/Edn6oA9O9gMA03yer929MfBeMbWN3CLIcGos9Y2az6/ap7ev4Vo5Ovc9lKU+gc6ebgs6i
fRkrhyqnxLwhg5e96SrJ3vlEi9009fLU15iT+qoCfEXryKcimhOFURN7x7SRy512uoGDDUbuMlX4
VCLle0wVXVmQAkI2N0A0X/y5kffBIlws4nwl9sXUYDRRfpoecenJ2x5R4jw0Mn2dWgGOQ86juKh8
SC9dkuunnnDDI3UF6ihzwm0GmOl3FM2M1I3bnTqnps0AsTo7igUz2dYsk/LOEUF0oLdk3HWLiNci
C/xtowfnpzMQorI9d36dMnguiJHsvVUJeiq6QOMAnNUnAo/BdYVVxQcrUKcZ2xCypmQ4tfsffTVa
K5nTqypiJPbK4cRkmi2Mt7TytlYiqC2ZXP0dIl1/EnpMt4VNWMWt7PE+qzl6JhSg7euml/fRPM5v
PbnGTycyh3vekOh2qlX/igpvXqOH5ZrvSbeuyykDMYqdStmZS2i1r/NnureKHR873xbjWjrl5eoH
eMVut/glCsIUCbmhLAETV9l0d5Ctsd4P5XwFSg8J9B/H+rlYCWsU4UY9lzKHGUSHJ2hGw4Xw751C
K7yxsCG+AbIvdosT6C0gNmPAoJiKi5vm4hJ0eXBjsD27n6eh50FBt++5rq+Bv2K6LXSvIEzyRT32
+PvWCyJvGUZjx+Cam/FR1RwrYt8lotnL6tJr5BpPcqtB8TwZWBWPlrbNR3dmwRUKKAphq935M8nG
ifOi4Te46tos27cEGr+zLWSxluVHniXBJtK19S3j2HwoWqfYaVyYT2aTtQ+x13k3Fnocjcgaqgud
Ffq5rfoAuddbLgPD4Yeqe9a0JOkeirRG0ePb452rcZx/QCbL8DDGmhxk5YxHIy6HXdSatM91jTyC
K6u2fqr1y0i+725yOAOA9lt2Mp2Se55s6t0N+vq731XezznNO5YdXRuTRY1/oEBkV0YOWhppx5HE
1WmeWmftETdG7OPvDAOjZVo382xcibYYPhShsSIcrFGCKVqM7HgtL36hNbDb1J6qD7TppFHouFn+
s7JN7FbBoF/9uHLdjV3H5XcZx/6u0lN06c3IPw1+RfBoWnC3Bj6ydE56bbZ4vqGodcVNZwtiwX7Z
XnJz7jY9fZlUMhtk5zqDfZSdo1cXHqfJoepfabUhTa7QdlnfwSpftXLs7zEv+ufFCOYvIfuivyZG
eVyTOY9PxdgZT0niuO/kO7j15CxYmHtpvL/etKmAxdtHuZvwa4BKlbyhuKritkQCPfeL2VxlkePv
vA6RjGtiTMmWBQb5NxPvFUk1/yMXCw1fqfwgy1RfDOx1jz5i9MoUkzyPXWBzG5wtvIAs7yFaXq4f
4FEX0twtXY/Hs0qv3HbrQkgxO8QWcYcmqeq7Orbks+d3w2byDGRcXTs7w80QEgNXbnw2MGsOw+3a
qKU6sM9o78FB25/AoQpMbp1a1v04BI+mgymg0q21FUljPhGvT2zOi8q+yyMNJsgapuC+iKE/k8Os
w1HIsx81Ix97aQucDEiktjsdg87yN2Zq6C+inFaHIxopOOq0t2f5pMK2aOewiub2Ti2FotVY6T3B
FGs/AZYOQQIZ4Thi49lFZuO9MgtYT5MMMqJtkGR++qXRv5cUF2yjXL05uvA2uCXvpQVSj3+f6Jg7
iO0TgRvRM7IuI/mnGuPgYn1IQ/qGmoiHtl4+U9WUGFQB4h6tflrjAh5PlELGXJo2R5osd+4iZtOt
SY/oCaefnbFZbjz8f5Tb40rnJnwj415z8G1e6EIpbwdMGyqMWBfteN5V24FwEqd0jkZGanp7C0TV
rWd6E08FL31nQHNRfDMEbT1H+15lEVvkHJa4Z8KDPzhFbIZc2cUd/CR8Ao09Zc7KEzXj69DONGnn
44PbNMlqXOR4cMVc3aJCsKAspNtwcQQe0uaSoEDm1i4X3FYwvzBMT0yqWKssMT4OooifRV4Xz7bF
DGhjGLBDVk36VuVdcFpyl2kldqKD8BQ+klhkEq8DRnCU3yE6kMZBrZlimR2zDosF6zQz7RkxcR5z
9ovbLwnYoA0IKXeziVUAjuw5GiCjTp3fHJ2C7S1eM3lBJJ1vAo0QG+QpYZlYT8ekGpdNzOD/tqBy
Z7b7FLtEOnsrvalSRMdC2scy98xvtG1Y6Bw0eOkIO8PKK903cxmsw0yn/WoYE7nWPYwtJZePJoGr
7hn3vkLQCyB4YSc3YbVptjN1V407QeVQmJPanTginNLCLDcFnaN8LHJL24YdclLt17JguDGKFG5c
Ki+tY7+bLUtJzHSgsvO8WOe5jxZYFrwxGP+gKCIP4I9Sqxrb65GttWT/5m+TuJqPLB3w7trWi2yq
Ig/9qS5D4VbN1qS8JVyMaSFI18v1gveN5WSJ+ZUw3ZJm8n02rAnhEVNCCRogiBzvdnLx2iu3yi/U
MuQfBkVw1tXtUnatu1eE+o8I2OKSlEWK4Xe0w8VveMy1SXpIledv57ZbQtXCsZ3tflypuotvKqPg
yU7i4dYR/OOomNykS1dyTlBNhxiIy+IPp9b/AYr0l2gLB0PXwnTB3g6kM/GWv8S8kgj5IO399JDR
vcoIRwTk2Cw+d2mHBMmjLSr9SdUXxDd8Dvm/oeL8FXtyfXHyO4R3fIfK1OAvL46Ti03IotKDOVF5
sWS0iALBTchwB/nDv/53/hVOw0uBaeX/19MvMaK/vFSKE8qdEjhxVwxpteE7MkN4m+P661+/zj+l
Z68vZHt2wKFfAGb9KxY4r+cZJ4oXH3qFbgxWwT64/a/6ibSDV4in+jwECVvx2S4/1DXcyl0FaqAR
JdfDNXu1avOv/6R//oivTjv7Wk1Lu9w/9SL2ovOTjlPGQYO8vYgrOVtmrBlx4QaAJ0ScNJ/wDfic
TepOfr32f5yc/1Y/8vzgDx/TP4fh6or+yb/4OH/9zO/aEcLRb4QgXZT0K02JLPY/4nCE3qigQrOX
7jU3bF8dlv/t4xRC8J8sqNQOUOo/+Djt38jG0j1OWM4BCUSu++/62e/3CaS3v+lp/8N9w76y4f5k
43RcosB8aynr8y3oRddv3B8kJYW+Tv3JDKKRPRVxE6NkjTEmcGQd7ebz3qM7rkIwjyETkmlQF6p9
jLBAEvzRRjiIUE9KC9ikSPRE1YZGK2fsdj+XxsI/V6W+zTJZzeea7Vjxmi62PtftIn5kMp4Atvf5
1K+EY3rXFhm88bvUADOBx8zDC6mDYTiyzG7GS8MdepN0OQ9iOAbsK2aX0gJuE6HZR92KjcVZ9MDg
ASL5NDdk1WKt0Xi/Db3V4LdPUO6HiePgTLnnl+sIRNxf/YCBzxd2g/LEasB2k/RCQed4YMj19kbT
N4ehLjMk2LSa7gdt7Kyst9a1FUDQnuQuMYqOxW9cX/8q3B2vk4OxmyU9zpN5OieBiRRwtViYJisa
kqrrvi4yDnmebBzmyIpbBUNO0/LQitCUV3zyvMti6QnRWalzBMPR3tHbkbmnEcLfJ+8IrF1wEVHz
tLg0WnaN3Rr2yWviKd9kDY1V9kifwK7xVULtx2SNF6CVlEYU150TMctqi0GoHIAz2EnSyX3GCafW
FKLkaui9E+JTxbY+NMkhWQhQSd5nbJpoS6T65mCWmKUGZv4ANFHHptUN/PwQ+4bnqbWCavE+SMt8
aNt5umO9bUw/yGep7GeAy+EnfYaceG6sivpj85EguLnFuu/V9HgQenxTFEZcz7zBcKZPIz+62G14
o5o8oqex6LNDyu5Pbpoivyci1WxEilkuSvLxtp2x+1xD41yWLD/Xs8opN0V3OvpZXlMCIpYtLQz5
LqekykzV9NC5vQ2d2yisdRpwHggL3cVH3+88O7Ql73ZoZX60RyVia1LI2TlQk9psGbHbj9pSxafV
aVPygAdju2r0VVzyI58VPXxfPIZtYB5biUXGlnHBPIM1ZG9X/bcks4cuXGrbuTN4Bx1mExVTum2L
E7CgcotR2dgN0sboystdkPbUzlzM6b6i7ee66yYfZJuRx5rAhz+UWyI/XT1mrIqQJ8krudVhGAWB
OoAsbNm7wj67frYcydOw66HzZ533ZAwaiX9WYJrqi/jGTciYrnvbPQvPa9+SKY++ke4ItjUUY/KB
0t7kOq+Ovemp56xdbuiyce6vV/YtIqdYe0JiitXmZclY/RC/6EJfKofjNJtd3gElftbmLG5rJ4/f
YpUup0bb1LcPcBLagqXMnLrxLsuGfBelAM2wbQFUAgu0U24TPMa2gaYKT+JMecDLYonbSmZYjjET
nfNlcJg0NPnJrB1fHQ1weJXl04i1TFrvFC6h8/TzUvNsLoR8cC27Rxxq5U8DQFkZdrwb23zJugOY
p08XDjeebGS9tdHPOljlg2s/KjlOCa6lof60/Tl+wpwSC8TzxvmO2wLGMlZifocyDmhyVsjESmS4
hzU8CkxYOfi10IdMQllWNm1lFfv7yXHBUEPU91c0mGXbzolNLvS+S09mkPRPnDHZfPH+PLWTvuey
xqBkzVR1Efp18ijYG2BaIa6AuT36jQGCnAYK/8fkVsldUPgpyMW6+kFUOVgXghDLSpVAEDZzbVOD
I0wQ/tlDVzb+AWf+tM65uh9N+klKToGzhXwgo3Ds2PUJEqfz5OD+9TwNK6ggXoLAIr/VRQwULOkx
+4+mna0n4TrvIC2CtYTw9FCTgw5trxlfMX0wf8qsvliFIrM6eNMnFS94EC3Z/YwxEnBw0BT3FEm7
m2xLvlmYbW8Xk2DxAPP/bq6cemsW+P0tFscnYErikbPekiMoNbne1nUbb9paiw+fnt21PfX1A1QH
0G8zh5gwyXpjZXMg+sk2WeyrofLeJdkuY71waW0WbjlhAm3AXcF7HtdVzZ3fH7HAeP7gXiy9xCHf
SMkpz7SeY42i6I9OcqyDRt1pk4VypwWRvjlI5q90brpHBwdmFmoror5NzAV5NRN/TTRpd2WanK+W
Zp770Lb0F4V9csO4HJBHtOoLltUsNKRuzktVj/eFZ2wQjoKLxuacrrD2JhFEZiO/JMLUa/bq2bei
HUBWU5F98ZSP9Xs0W7Qx2ucebBp+9oOPWldPUYoaE9mwjKGQ3zaDyl9LdJvX2K+aO+wG0YvKo/TU
TxoTK9uKZ7Ox500i6mw3s37cRHOnERqrNlnb/GsRZTgGd4eqWAZ8vV7/bFOuOa9Su63WBqJQ6Do2
eHGRiDvNBkRuPJKqx2o08G+V+TifHFLgOSgRsM5+bUvex258syd8A86AqRkTLyd3fLnL0UxN99Pi
9xthHVXpXdyRbHMzEbzOi4OT1l540Ps0ZV7p/G26Rdh0z3RgqCdK2xqaG5yGVXgcETld++N07nXd
bFkf9NV/SBFfv1a0/2Y4vjKFCP3878vVx7rvkv8XfjR1kf55Rv79R3+fkT3/N4df5cFVBVDDQfYf
I7Ivf5MO09j1LPY7S+IfS9bfmH9NZlbJUPSnpJO0GKtpMvUYj2G8UDb6f5mQneC6VP0jKiYAnQw8
2eN3cvAkzvjnCRlFLodrk9b7afCg+wdJLscQ40GwSyqttuhkNtjJOPPvAUAAtbHSCiq4i6d1KBIf
m5Dswc9FqXx122S+q12rehxaN/rG4XNC0sMiT0Xl4uyJgtNQEPAenVIDZhOCKdy1cQKRj1tjylos
V5g8z35hJDe5WWPRK8j6HPtFF5pgTxpjGiJXY2LldxPWGUOG/a7sAfF4wWxvc/pKbhMzm+5yBAPE
6WkwNkKDJWwiYprYF5wKSVAmVnIYkHPYHM/cBwGoqbCzgJD2pZTHEVLeIZhSeuOnQgPNKPmj1rqM
ui9ehVVSg4uPttCeBy3cMg3Uz3ML8KezIw9TVLnsm92OPBQwCmefXplRG7mI8mfKB753Ime6c9Ho
QU8safRjcR1W1rk5tq/AISjEi/jLXm3l0CAyivwhyCk2ouwwuR37qHqCgF7fdi23rhO3tNhZk6kS
2JYSj/qgoizMKOQOikty4Rl6j6tj3mhX8UZmZoSFXgDAB4WQTVey30LFQOz7d1EBkH2Fvi7MNaZ3
xrMAhsfWQ1KnCwvYmYLKh+MouHMQhZIz9g1n3/L+bYeaKgTc1Hq3JMl4TvrA2k7JwDKFW2X9aJra
vzdsrhYoqSXgeB+kIahH/LSIyVAE7UOKb/2IbmYfWJTVtzlCovG4XGmyrpeZR8A6I57QvLfXKVVu
7X4xKCq1e4ZTEA/6+wgr9b3pa+tVidmGTb9AmQ1JUrQ/TKP0N02XdDz9xjm4nxQVDIgewaOF34Os
0TLFm2BqMH06A01A0dRiby0Mx1p3ON4/MLL6IWmi4KyU9GK0PhGzw8kqGkA8ujzo75mteZdGvXG2
omvzxGh5JQ2Sk4/7uEWf7qBx5A7+w1H1D3gonPycyCm4UwCh4E41rvtcmbN9SVpDjABNCiJdGCZx
PuDKYQqQLH5n1oVUaWajmlcGb0Szn5209t/1ULPRgAsNkkS5MuLzMcZhRday1+PG93z295TQW/0+
qhujO3au6sWh0HpOXy3VBkSc+N81smaJN3AqxiM9S21Ixe/FK8vhlA5d+wpe8Ib1YnzGxUpyOnMM
ijxWFlRN2zjiGvAY5K1CPDtSpNt0uSJCKF7Hkkz1nMAnsOokjjzGjPEl7SwM8kFSX9os0ZtWdQ9Z
byZ0TCooG15m0faZcw29UNAbu3u+3gYuehnt6qaBBojQX6oQIUutQXzAKsgBOxqd1cY/GNdxvM8i
5ZzNYbhfz900nQzGuwPTHM75oHqoF//cZS0sg8Fsw8Cvp+OY4i7zprTY2GAw8FdOOx7ixg8iWxtd
RA3S8bKbfOonKYTFhqFYz3Hse+yWNl4Tndqxb3FezKYhwNL3wFjmvr4dffGAEGGtUMH52NogWcc2
i7qhwObkKzfeRhWLp8ypTqJS7Vc2ezdisaJ3pr1xP426eKzcwb/NhroN8YwsaF8toYg+knRcGLT+
0Zizs93lJtX+vMNQ3oUJoIYtkX3YfQY/ZeYs5NKmqRULqOW9xrF4tQ3fLqq5gHmP8KMmQ5jLutnp
CEk5cw1xaZpovKWJl/R7W38PuNvu8J35mzSao21N0pTtjAMHgcFsv9R1GhbDAJqiTE3YPNeCRy/+
VqdWu8YzkuI6n0Hysk/E2F03r2Omx70o4+4565uOC2M0dhy3f+JgK3awOedN18AvHUwr+kaiAjbz
FNHr4nJixN7rW+LQu/WY72VpO6cK6to2CDgW0CHN8UT1uX30OemGkwGutKeNaJcuPJrQial9cOyS
q8JdPIycGnPGkKOSb3yddg9k7qOXQDt8ZZ0yYsomaoHRWH8n/VPnOPbT/E2R3tia7DRWUUpPZ9mC
ba6ZDN/VGIlX2LEGHDjmrZq46w2pfiDHmrqyUpb+veQ/0H06GbfQH1+8WJciNANYDaxU3Bsqc03O
blOXm0cHLts5yEufJuUKpEnRpQSCc0vi6dFuumDRKIHSdHbNTtWU0ETZvC1lwrLZUFSnYMpkxQiB
FhdgTDcUHiJ8I73x0inRvnLFVaQT+1GdhASbEWX1/bR04kZmebX2u6vuW3AZ2ONWTFZLJiyx95bF
UmxgQ0oa1su+ZGuXXz2eGwICsoSc2kUjwoDtzscKIpYMs1k7a5eE6XMNlukhCXIObH4fb1TAgkdH
1jcj6H+maRW/IbUzx88V/F3beaYOBe7p0uYwN6kaHUzuc8uso2dUg90ks28QOUmiaGeHrNCtqEEd
QpnOb3SQBFSX1Nba80AdATBZDVIcaHPLN8ze6itmSF7lmVGvLV9m+wGWdE3CYraJjkbmXdG6DbDC
Mb+vTPemirvqXC5NvwGFybhPB3ja0a/UjDT5mOVyE89dtFElTTxZ8oQhgVGK+YIeOYpR5ID2hPd/
fW1l1CvWQd2RY991mMEh39lkEQgfyE1SRaAX8vzJsNx6LcGefkssgrxQJLyvxmwe+sH8GbGBxD+g
2al771VhijVGFkrg2NYdgzlazkqgInlSv9cxi+Ml6I9jlUfcO5XaDFTBrP14QPWa5vJAMP3gAAVa
Za75nI5zTvgOInVFRdsWJEmA2HfNPopsR5WqOtbd9GgvSUsfWVKtioGyqCRbfnTMn2En+/ox8ida
yOmVoeugpOq1mDnqOhiLV3PVllsOp+WqMfzPKLbegEJE70I78hbif0FIyrnnJMR15XyCcCVgvPTs
31BTTggF9anX1pdXjvh3zB8tBOpkjcSgQrSMce8r6Ltkbe1NqglPDRRx7ZhYvAc6EOJ1UozZFg/G
dGtVXnQHReTY8KEjOu7ShNjhTMKZIBSXKBzl9ZxM0KzMzLyRKnuecuU+RFPS79SYOv3KI8b+0Cf4
wciIrjyOvgBfa7DIk382dOuuW3d56SiwuQ6beJJvgdCC2h2Dk6VqTPnxXlv4ixJD3EZje3v1vRVJ
RxdrS8JYld+agmXk0k5PY9vfKbO77cjJMq0RgXeXme99NIUcoHHXDX2MksvX3PFhyawdmTosE6Ei
nCt6Sc9uqStS2ERuZ49eMIMMCwpClZ/+sxX5/zn4wap0/+VW5Obre/PR5n9ei/zth34/8oEC5AxI
V811cynYcPD7frfU/tqYOCxLXB9axZVT8Y+tiIQHCMvWd7lper5zhVn+brS1xf/ljEdy+s9nPIGv
hdOkzZeNbYzDH/bnM14hewOKUDKcuX0HQwIWD0AN8oG0dTZX58FL7RmzWXrlD6F8+RxJrlQi58on
aq+koqL0gRZV/PkXvj/uLe4K9zz9wht1V9KR9Qt6ZMmG+OyS9m/2lYnU+B54pOFKSgo6P72xrvSk
/BdISQ0wlZSZtCHZYXnTXYlLkQd7SQx+CdJJVHfdlcwU/II0pVdeE6yE8Wj/gjhNV54THrYI0G5i
WEAM6+CBw2j50FgdvkZYUNRRTsSb4EO5dBk+gJ1qHjAmRFsmc0BMEa2Xxii5VSvWARPd3eHgmtPG
TmyW1yley6ee6PGH55UahHkdYbda3OlOI9/euZ6bvGoq5+cQJUmtZTxY2yDxkP0dnTw4k5ttBmEP
iDSims5NPCLv6vaZFXsHQdq0CDjbrBJCIdXyVHV85YU5fc+niYeFHHLUH2NIzzqt4C9WnAW/pdWC
9qv5DJ+LPCtv/HFIGICT5diUrHhXCcuedTH4XphVOfnGjIadOytos71RxLfEZ7ItrBCKexOHMAIF
H3sx1ujISdWfKeWDj2qWLi2N5Tg/Ion12xzOW9jhE7r1yf3tZ7bRF0+L8YwSNu/ZKMsPLND1kQRr
9wgGtpjQv4x8U1mKmHSTANKgRby/LKYW3Cs9Y11FRXUPd18+drPdvYN3KX7OOA+erKFPrxN9dVu2
jnEjqWuPHdG98V5BW2MbHKC1+eWbbNJha/qqWlc8pTEP58uObYABlaOZgOS17S3OpfqcTd0UBjR4
6lXGhYONDd/tJ0QH0IC6MUnQG4usmBgJQm5sZOX7qh0EoMtAd5s5KpdVKWqyQ22ykHe0PwZr8E8V
nr0dZBp1YzdmHPaVIDxC61iYtPG0pfSRZoCBrcdZLba9L2Ll79FOi68M4eROKG78aR4vtzmGKgUE
PTI+Cb/55SqKOWKu9OiSsscP0J94PHsIV0lyTFkorlBMsnVmFM4buTPx2kzZdHYRBTaJ3faX1FOg
DWulh/vGiJd3akAtBx+Kmk4Ur8VPlMI5tz4mb/Zl8W4YPGCIou0ecFpam9yRHR6qYSEgYpqVB/dQ
9/QZdqA73LbzcsBblQFU03dRZ7MswnRqNowUqLIr8A4cT5B+OXbhoCpfuI0oBG18u1WsxQZyn4MC
osTFS0xsNFh4QULB7dvguNG3ZVzGt01iW7Seu/JbASIRjDgRztcWLQNLkt/Pj1CwZByCIDfopTCT
PYuFEjEIeNWqNGC6h4OhnWFb4YG+pUMG3oThUMFxY2DaevFMxCuUmRpxx9Y64k6SYmtbyvoHYxXF
qL1bThe5eMzWuL9TGsXnwXiJhxa6c2Y6QcSuOJ7WMjUzqGoZ5RDbiYwLHAJfTfece83Xpo2qPiSE
1Ci9Ldwa7OoFSc/nWAm6vsRPsUWSjsuAgvXZhTZKUVQrHiPSUbP7HHslx+BOMjGD7KC3pTouyoLz
EnY+lAy1tgcrHx+bbIr9T9qBIxZ5iVeI0Xkuh2zU3sZXxFi3Rt932Y+Z/baZY4fnTMqDC1XzP+6I
fycA8wjn6fy/C8BPX9NH+0fGlfzbT/x9CJD01uEDC7AMAeC5CrX/PQS4v7nSwjNB5gwY4ZWO/Xfl
1wVkBS/bs1zEfxtX3j+mAMv5jZmBAjqWDmg4wf+t0o7H/1/GAp40jm0hQFrI02jQFlPKH80RzM3G
oGvYt6O2mtfBsD24hfOnP1kFyTxDbxKD3d1U1vmDN/qXtlXDmztk+lHVxqMWTQsKhV5cIpvLxa57
4zDTjhvthjpL7mCSGh+959VYTmtBCY4feQy0Di7AO1ass7y37TS3SiK8hekdcBH41g3AdFE/twTS
cW0bUHzlDuOhUhdfNcLLQjGMpFUp2Ry6EtBmRCpzS7BVcNhTY9PoZ0o/O26JXoUWSo5/chkOrCjo
NnTn4uJMCttSxw5aBUm566NSAGqw5jnYpDQcm0evnq0Xe45bjQRQmzUYSKDx/s63PLbkBEkIReLN
SAkARrNh9MPK9PJBr5PaocO9ivwfMbx1b71YCKSaex2hFjek0hayMgors0LHn9CSYq6tky/klWzr
BskpyjAospdknN8Ogm3xZsHRTeNHnWEArtX7VOE6XRUAsPZU4vibEQjaOyBxm0VpnDChpI9xUeAo
mPrsojnI7DNrfMnqVO6yDn6HScPIHpInzzRdxslrOqVI0DNGdMyDl9puTsnY96+QLysgYe2dLCfC
mtUQoJLH7mc3RSPIp/F9IQdDej2gVE8eMGW8YHHEHBKYGf4C+3ucYl2QuBMfF7ITqwq9dodO+mJQ
fLTiHDbuWi/xtr5V7awgAGebvkBj+smCpTstENNXUNtvlkSTB+6797psj+VQV3uAwWrtpXI9ASta
tTOtPErRBoY34Y5ikxqvQP6ihJHCqqCrmCDLF+1P7qV0l+huDGp3RX7DwNdNR0Iro3XOKWtnD3Sa
T8twa2XSpXpnmMLYpDUHSH1yBunaXPyOqmjPscXBq9OUvveF+C9VvoTttf8dIvWwKwcn/Q6SdTpO
rCY2SjvGA2OLvaqy+CuSUX3rGCxOu5R6oXIudkIBreRJlF4Li9xVnxKskvXskKV2+m3nO/aB+0Ky
bbAXbRmKOb0mRrAb3PELhwFxkISSr4h7xyqP6TVi+Zp+r+VVGgLzhReExWAgCIDWNWGctuogFi3g
ShwxFBvTIBfvW9OT6cAnwWnyYhTRYVkq1t2t0khMxivRAEGKZMqOiXYI3SoqkyQ50m/9wmxpdvgP
RpvJYNAuXbGzyM/lkPcn1+34xveNr9fSXoyfdQcrhLO6b+IC8XySLgArOOPO5WTsAU/2D2xSRu+x
sHN1h/cSV5WOmvRG0Uu4RfjyN1dSOHImzpin1i27sBP0pAMyqq1j1QOtCGfZ8WpcWDlzyNh99oWW
oYiG4S7DixQOA5dFTOkVBeHTNP+AcibEJvbs+YgVodpbHQzdYAeDKZ1Ih7liCjV/LXicdux+mhq3
OMp9xP5r6vvkJ0MP3GFMABpRVpCtu6GstH3H6TuiiSc0I2/NoRSnpArK3Zj6KiTYa+2ERauMziml
nTNoC0nNXWICwlsLtEMHjRB2BfF+4rlyE5GA3qGbgJDzl7fJtIMX1r2EoTLjg6/UK9lxASgZy09J
tBw0rH2TCaJCTWFlp8pIf2DtaNappdKXssmKeuUyA14sKpwhtvcLfmGzNO9YZD3rwsp90h2S5YZd
1Ecz6LYQ5Yczk7h64BRpPOZ2631YpZOu6eLS5C8D0oZ9TLaAinELRxnd8VvEXwI3ESk/CnVRf7uu
uwHwVDP9pf/F3pktt42kW/dVzgugAokZt5xJUZREyZLlG4Rs2ZiBRAJIDE//L7i6KmxX/1Wn49z2
XVfbFkUSSHzD3mtXu5qWc6+Wu3Yhuj4gt7F3UYN/iUVGAklb3+MLSbfp1MLqMYF9Rh1KoyaYA2gn
XgXgdXqFAuseHF2GX5SFRwFn/rBqc1sfCLf/6E1ZuUpN09iCnzk6BMCj/2H+vuqE7L5FteNsM6Mz
bojvSHaB7sWmMudwK+sRVlEcMI1HbbQCmnxJh4AEZsPUt1MKuLyaen+DJA6NUUvxp32r33aOFe+T
0AFeNljBOsyyfoUSdT8BeeAM7m7DnlNrtqdpFaJzXZvdWB07fJ8rb1DuKhbDtQ9wneYBq0FE2zR2
fR0eGtgLBmqco8LXyYR9NKlZw/LLJGv4P2Bm1r0wjA2+A/zYZY0rNQys9ilMM+QohEJtGuSxm7Zr
jnQ5BA4Z8tvY+B9KhGfbORz6ndnKdM0CbF4b8JaYQo7Jru/L8WTkzTvz8FvGTv2NGItiNQ/L9JkQ
xLtFlnC2Rr7YypywOaSdeZxZRx+ACtGtyIpxKxvidRDniLED3nOfZ8XKKnPOu8b7NM9MUatgofLm
3Sdy//IbV0bk09AggJQArgGKQJy5BloIX+CMiE7/1ntFuBvl/CmW/NSc9CXsGjjEMRGKiJ1KtmAQ
QrylUgxEm3XqPkLauU7Y6VwGJ9A83C0oe2b8Wgv3G5Pnr6RgFbvCpWDQo/NSqh6UT942z0XAj5qV
gzueEfw31Tsg1lrClnDpsiZuh+S+dovsIbRqeTQDaz7rvONj8PNPfRmZGw7TmlM71S8kcvHA6OzF
BghkK6YbIqGcc91Li88Wfeq6tAji6Z3S22X4YQlaMKpdm83l2RJAE7sJf4W2p89tApREY7HG4sfv
gDAxB//UBM+tac33ud3WfKAzwybSGdEw8oFJfn3d5dkrt33esdypgqfGx44PGBkwcB8d6SmhQBRh
/NC3xXDvopp79TPvEdXtsEbldHGsuj3YpMHDtE4yuXVbmCpo3BLnA9vKAXUQM8apC7bOHHnWelG8
LA3jAG+hWdomjwTKdVxbLOHGilUb3zPmKlHfaQGG0JxHDD6jG3xC7Wa+9ub4JZNRdzebtsF8BPDJ
IZOdfeeWnmYZniEydUwJbAWCxTq0kJ+voDJxRZjltQlC9zpMJrlxnJoGJYYlCW9z2uIbSDA0uNyo
Md8pYzeQrL7y9nRDLrdMxSr+wLCbTr1HxryZYvuRVDmSJDrzTNBR9pFpiPmZnvVEkks0b7I6iddN
bL8XXuuyjkutLyLOQEXMDPnylZH241EOOF7oGhFgbTDTjV9MxHEb7Hnt4zyo5hhxeN5q1LN7xlf3
s1fd4IPtSAvgcTAehDGjXtSe9t8jesB1YrX+Xdi56QuIfAdYfupu8DEXWxc58lrWmKI2qmG3jLW7
virbgdgOC7u9jDlMr5UZ1biAOtnHm1kFXblBQAA/nJzqfYy1cBf5A3EPPoIkye+175Rn7EmniMp9
4xfpC6dZ/sIjrv9YDKP5mGcdwtDMT4+mO1DxRjASm0qjmQZNGZHA4A3Fc2yl2USWHVxSIN/qFBoW
N0RiDkBg6eSxR5I/kJQjHtAReNXG07G5xWSmHjrAni9Qofp3Vw76gFcvhJOYdXekh6kPte0CMfLb
OuswVXkboC0Ji9MED3OokCNmtA8trHTBCbumT+rDDfmUtseaVIL+gzfb5TfErJTlNogK78OAgNv7
SHwmSzQdIBZbBb0TciMq8KITBI146+SOd/HsPHnV/uCR7eD3j8VcYThok8q4LaoxfSX2ttqpKCid
TTmPBZv/ysTzksVwxJwcZnhbDuULSa44zPmrh7HkeFVl+DiU1Mas3/rPVVnVuOv9bOd1wH1URUla
VBpnaVfq8gk7NRQrqHr7IShzon/aZjeVIFnquCnW0pgLpBgK1enALOUBUYxSxFgg6Mh0mm91JoA4
VXO/WoA4h94f43tL2tF0DfxM1XdjnDDSCePRRPG+DnzPolgoWZVOEFz73kIQ8E65mbKwIzyyGZxH
PD5AWTnGJoh3qj1kYVKGq4EJyXxTjA7hkG0mIL5KgCJ2m3COjrDAKJ08+9AlkIytICUOch5i6R8g
CEjxmdScaGMaWRSfU73M5riEVba1gnjYeBbjoXXOTIfTp1P1WXckrffojK9j09ELCKTps+uRmtGR
icCOVR4V1+Sm7+z0DHUxXUdW738rVe18MQkpQyeUsrbej6V8avMwSl+FQMRUwphk24hDPoCat0y5
guBrzWjs4DGuMlYC5QeQB4UQNxvMbYrrx9mGbZHvWqud30wK65thAoZT0B/XPrERNT/2NFtNh1E9
laiLnfI6DMJlkgOBxyodSVqpwOYlkpKEp7zFsGVGVAcNAmAczQsxKAOK6zQl6lLhfMCzC08eCig0
Y5FtY551FOfNtB1hRm77wj+y89Wbmsb92sVpuFO5ab25zohRNFeSIB5OpqJGQAtsN9kTn6uJ4XSD
M3GKpBeSzzZ8LkJD7yFY3dljEr6TYXun+U1WqiNARFrWdIDB3lBK9fE5p6UdCctzFlGJ1+xkOLrb
79SNiovSXIksTbZDVCbbsOAxHo0QbVpq+lUd+uXBSIHZGeBGASJ4QJQCQIBrwzSmtZPZ9g7hZrmq
Qt+46+x5ukqStBYQzS24zwoRT2WTUDoYxbaYYOlKEoxuoyhNOWgbaJJEWjp5y8GPTxKFQwKxUxXl
VuWd5qEzTA9JZ4YXPcb4BpipHnIvdbdM7Tgw27o+paa4DzAKrNq2JTWhl/Fb66MOq/DUISlGuXSB
6gs3rjRzyEwR8LgitF+/5xrZxM4gYkqT8tWQ7WtjMypNdLB33FGgnZb63Rx5sAapOR+nkiGuoPFM
V9rFDAjhrEDagUYk82Nv481EroZ2stV8WxB0x48yoImIyZ+bm/cqKz62GbwwopDNett3Feyz0QY0
HrDWLdIwOmVp677lLUSsEqYH8W6TMNcLyaLYKrgp2NtHDCk4f7laWn8viApaW8pJz0Uc5/fMH0xz
0yMsDrZamvrSdtTbmakxlyzjnzFo5TFsmoIkFU2sRBaYX4eKFg0brT5Aa+o3g9FYD0S4MBGQCgPx
2J18HAErEz07+It+kyQTeS7Sg/psGaA6/VI/AAkE8oyAi36NUgwXM/mRc1YeMUXofM0QdnpBZNCu
mPfc2szAnymlnjAQLzDuzr9JPCSKzThTONbJMRrmZd3eG2pT6f4TcKHbQUw2IX/WcwUvap1pB6qa
p4L14NrBSzIKoJyNQuhmBnptEeL3hE0IiS5JfDfVlJwBGL92uBgPU5s8Kk98szlJd8NEdVTFsnpM
auvVTkTBjr1y3nHyK/xpyt5Io3weyQH7JmVpzLu4CrCRMPWg+B4lJJbZK6/B1Jk46GLk550MiCsn
IVvjFNUIs8NpuDZC4DoqgghVBwOIYee2cBoo/lmbO8Xo7rF+hldY4zhspO3WgBM0GeHIBhIg1hP3
gGfm6sQ6HMdeGo+0OtEC1pIk+GSuvEP1T2EtMLKTjJmDl/KsmfBzHRSQs1mnSbi+XnDkf/BHeRV8
s2Lr6mSYDGBJJ6dQmvlpcnm4Cnv4guW6b/YsfphtYzpBSk8OrluMpzn1QZCa4lnxSFoXLGZWvbXM
AmXFajvsUd0LkJHcE1R5qXD3lkslDLnnO2hR6eGQ1f3B1w3B5aBkueDxZEkUHuTkRiEarLlwG5LT
/ZMUutuxv/O3fu4VJ+ky/mtC+DEVpf6aypQIdUxZKtYPYda+m2XKFR8BLA7H6qFxlnVSOfkASQA3
+qzU9vQuDBCJtbobLOclFU5700WG3AzEYK2JJ6/2iSnjbVpDhx4zmjPl9u2x6mK4zzWJAPBa3xEI
hQ/sXBnDRUO6TurpU44NYg3hwd75OTSArLM/R64Wj6Sq5xtvRH+3zvp6+Oq2vn7k7LNWnueqNTvR
/qQahlGmyNYCTOdtoQKA43aakp9s5vkh9KpbSAgtTnPbgTOdDkQf+bEokR2YSX5qeD6KcK53OZzx
t1bUNXYGxy43uTHPX3IrQXcgptx4q71S3YGhwXDCA4/4Fd8fD0GeqbOf0yL5IXmRmzGNkVg48dYu
p+kzdRa3VizLN1xAwV092ESvdEn/xUi9b0gQJ4gDiQGygDH0wzzC23VTf6hgD5vDh2B0+3vMa858
UWNQy9Xgl/WeKWiZrMIOl9k8h95u4aH7LAjTEQ8WXtw1UkO5w36T0C9ExgWrjquxjrTOIY300xS7
H6gQ3Mcmiutd3EzdgfsAQalqUeuEwfMA/mAlk8p6jE1EJm1i3wVEBZH9WRlrmKgAjfBZL8hONpo3
g0VRcy6Q6wEy18kNNUQ37mJP1ZCfUq8/ORXnz8rrQHLu4wiOEUOiAg8+szBqmtITq4UAR3k31NJd
s5BSz0o6zU3TBAFgydoPzVVvMuObFsP/xLnw6uExsS9oUswnzQ/wNgGLuZc+h8vBbQwVxWZAnaAW
I14CeEd/9rl6oE7KoYP4U0F8l1KqDQ+scNWpPqZimgb8eFZXAu7vlkqIU+a1hE3yyVFJwK3dZ91B
Bgk5FcYIGLDFSUlOt0EOHDEe46Pby47hk4liZkUbFvBNGOFz8V2AmcQZoDpSp8cNM7XpOuV6zNc2
N9p2bgC/U9DTeI94FNeUoKXcaFt+GyivCSxoHhZ0CaIYzzxJZNMbV/bDntip5mFkqf6SZVTgG9T1
JCAoV9y3TS1Q1QDzvIKp5XnKWVbfk0KgXwwn7U920jCXQeMQ3KrJ6F5yaZgXk6323pLEeNK8tvZD
i/P6Sr4G7YsSUXhD9oD1GX95furaQD9als0wFGgRd2ldcayuSjeoyKJpEwSrbgtN1h+WmPt+YCq4
sgmcyS5M+DueJ6Gyi5tMWFCKO29w+aZLvFGdirER5e39HJM8DkJrgY0xhnoyZz8+ZQ5HZVUk07cC
KN8rrjMKtdnrQBcxYAJwj/B9FWdp89J7+IUGg6duXDs8zLikNjQ76daMWxg8BvrTFaPRGxWN/uKU
67ay9fKzFFUFotYX5rme6+EDySFArrwxLTconZ21p5yI46QzHmTeyIs7DcGhTATWIz3L/dCidbMl
O1V44kN3GxSl/ZHprcFDbJBPJvXdmXgP2NYd1T/jTJ8pjZFckXZqkplizdC+ztiStuVt34VfDC0E
GIcyOniJ220MgpEho3Nr2JmVoPGyj3Uigvtq9MbjQG70yTP8eVh5UYFFh66jp2JcM29WpzYJe7C/
fn5Gz/O5CkZBPsFk7rJgeounElubk9MZ4BBMViIiorpR07ORogHxlUi20pptcgKcYJ9o2a61mqxj
3tbMbOq8IjorDOYNgm2x8fB2EENXU8uas3pNC2da0yrMh0mNHqRGGLr3gV8zBxZhUWwq19LFdXST
FL0ZD5vMXQSlmPnyswFVcXBZ3zBjFVQadbITyHRBzeA7zGf+fzN6aEFt3g0dEYaWzp/D1vpoxxzW
rlFtU8dmhY0sJQRJgGuVhccwJPGmNQow1r5R7yxCaQ/kJ+2dOLvOAbkQ2DHdNTD3eRUjQLCT1F4V
WfMi2ya7Jy/3EBnWgcKq2+vZ0Z+MkTWIZRsfbTzdO3OmQh4bA6Gt5kHNVv6tBDfzMPTNA6p7fMqE
iC+AlaURTArjLrBDkFQmBoumMq2zo413ssH6WxB9BLdw/q9S1mAMekLnYzeguYvL8Yw0YDyqonn5
79r6fyVfs037b9fWl6/67f1n8drv/+Rfe2v6zN9MttU25a8XCoc18597awt30B8mfnxIpk8NgK/U
FUyQ2B7/S65mu/yRS1GG8Aw13aJk+8W0/3cmfjiUv8jXPKgQvAxzczKlrb9gMZLOGXWlpH3rR63/
PA2Oi7tTGMTJ0YRyl5VNA7O1PgHvaMSqFg2zc87a7eBBCOuttjkjzu2tj24y5zTuhSLtkngCwm9k
w2ikxxRIBqajP3Z5qTZdPCGDkZOFjEgHqLhkx0AKjkql95z54tozjn2tdKTvZhVSPAVGtfiVZ+Wz
XYV/tEvB1h98lUFWVTlLHp9cxb0X8itSeKDDWscc4FiRJnu8d6bJ93bJCKPxgGNqZqSYZ+bnjC3s
tILsnL834Inu0tjVzHaHcryLInyhKzZFvPdSlpAMM9Tq/rGelIMVXPQY5JGY8Kd260rrxIB3Aojo
NtMxNiriHspyGgFM8gvWN07EjnaF/qS0H6xA1g+hk8XXOcv1XVOAe8kgJG+GpMSMGLU1kbuD8g9l
WFTNOnPqOSbdrwOuGfSoyQ2HwZq8tXPrAzv7zp8pmiOz7ppDJNy035eRFdv+HmxLHnMG0x+bmzEr
FWJwGo3xYlN1V2KNZdU4OtSpPXVa3JBWgTw9qCosVRh0CjRCkh26fdU5ewgF+4EZoUvpN17yRjth
tEVnp0JINTwLd6h1eHL1NrzOeO0SDBTh656MHS5i0Q5rt+1siw+z1353bpHdYdkAdunXB7MdRHRj
KaDWLFlavVw4/nyYgS6BDxxZMgKVZhqqT13X99K8iKmkqOeYa1tUCuUqHywyvj7GABis+RVN0FSp
925ouhJkbj7PRfTw3wPvf3ngLSKZ/79O5/J1+J/DWymxp6mvP+p1LNtc/uW/zj3/e1Q32kVOvB9M
mr71m+tS8UOlCezfVTd/HoHIfMGLgIP1F7mvu9BH/lDsWr95octft20fzZdl2v/JEfgrFwgeDj8I
i/5ypOLTXOA5P1BMHINZ9aKyOeQLyMPGw7CyvPj5hw/l38BSeEj8ZAT9/iIhR77r8j6970bRH16k
q7UhQ6qeA4g9CmC/pf7xtb8GL9lt//6lFmHRj57T5aUcPpZFPOGb7ndh0g8vVZcoB7PYnvGcpt0q
pfa+oexmQbgY9Ys47TAKKmOP4MKhDmMP+fcv/5ePE9UVMirIxULwpbm/YJbIHgrcwcPNlFXDk1X6
LwEsvL9/ieVH/PQOl5fAbEv7xvcGP+rnb0wpY+rNSDQHVwxPo2s/M81mzmgRcWbODVfpn5fzv/nm
GDf99eUcC82P4zlwskOTC/HHC8SOG8cbw7Y9wHNtTqBchVzDHy2xoiCaLLTzwYmGhuS/uKGRc22y
DFYNEa1ErOeKZx4KZxo1i9UKYzOgJ0SdhOUalyHLf3bD2CDQRWbVymqEXOgI4Uoh/j6C4bc/Wxkt
m267b5UTYMxa5sjPUxvKBbrbL1MGuIhJw7KGTEV70zNeecbcoM6AMYZ4ZaOGxn3fhOWTB+LuJZ2W
MVGpwJDGtXvnMvS8elgPV9ohqqSPwY/1uhJUjmG0AUeJbsV0m53u5/lIk3LbZ4be2WX5zfGLa506
XwDCPLBUKEHCBOVJmuOnWJMVH5aZt8VETzge0YybXM4MspZRiarEhi5v+AolpDn6WXInJ5If0xBp
k2OV/RbltHcZCfHBpeNFJ55pz74hmMUmuIZYki4pUvqr7Rnh01i1dAEiy/CWNfFT5xGn1wfIvUON
jbCOcXUMkT7A+422mTkmt9Bj8N0A2I8CAgRdZrr5FmQDOh4kpHEIizgjiy1lavDU+DrYJBRfa7Yt
/hkjT0ZYpRSAZ6pRKe+DQ0fwkuRa3VW14Oegg7GeapFDuFFpf6CKROmuWKzxrbpo0EqmTHVBKKyF
kWgHpo5LpKRLQCE4rbOhor2aemun08J8duqcGbWGrGMkqdW/ImQiSW9tTuJs0NQ+pSzttlVai1UE
C3KTNN6CT05FeJzxW5+xsKkHOQNpKFV7jsh5fAWi2D05xPQcIOKLWzHa3qGsuBbgyqc0l9W4r0r7
NQFNAh4pJU4l8+3x4LRp+GB6cbY3bDyOc2zU930xbSzy1W8hJ0u8VLIwdwof4mvtuejBIfYyAB3d
dK9Cp78B+IijaU68+5TE+yiy8TFFnS9ArcawWvOE2DP3ZdTYf8toqTOHBznlH2D+0BHrzNg7ZADd
QNPLV2miwYD08fBgRIPYWzaRxMKU+FPJWDm69Fw3E/ufYmXGbn1XTjw3uKKBZK0MIjoe7KiZ3lqY
leuCm+as2TvfsImz9tiGiSjAnFwxB67yHfRNf9OYDa8W4+XkfgFqTODSSE6iTKbTaATRK6oA9GFB
HDKWioabEUwLebw9kAna8z2Sd3YGeUmwtsM8mgxzFPxuDrDDKwZWWok4M4QKdlHmhc81QUVIJ9Jq
4/kJYiT7JRQziYFdZ15TTMoHCws1MZlnIyjix7w2Cb32+aRJfEFsWQMqZS+1mh0y7aJB52R8CGLO
5uzWaBuiWxp6+6qZ39M4YCOZmPm0CqJYHyNCsFGtmQ8k3ew6gqjRPqILrUN0hHPOj40jr/mghOGj
dWsHZDKNqne9VdtvrcamVuON3rbjrpGx/eS6MlxXIgfeXfm6ve8Nab9xbgfHtBxskpGYT42LLj5J
iLhYuY6cL1GRd0CVIzl9qEVQnDmQZiiAIXWx5b6qeiBNMgyM1QAFZF3IiNALMzkDH9knPABIsDR1
R9sN9aAoRXVpy+BYaOtDXoJyxgFKlkmgTg7jXCadRrSJWCbfxlH+NRrDbM1SY+v3lvPWm46kH7D1
ncRWE67cgnuPI8G7SyfsAKHHIsIrLYUoChl7PczDx3oc2H+kilc2IaViLvO4gZDajgutyihexNCY
gERm58GeMw9+JUoOUZTMs1C+2Kizkm7rgRXlPvHGdxoGsr0bxDttW61zoKfPbsKmewqB4mKqKJZ0
3NGhI+D0KIKGpmv2nXNhp0OzKNw01o7AOAD+80jz8L/4wo67lQ753pvIzY5BFvhPRTuKfUU+FJsr
Jiy+nlKkgg7BKChkD2hv65t67EEodK5756UiPyRGHH8K3G0Zp7ihp4SPXyfjB8HJtbEcyNp8SMWT
HcRi7ZoC5rPR5daj03hbbyjLlw6L9adRe8nFU9780lb2piY4hdm8VOrSIyIj7Svjypv87ODkRLiQ
nmvgxqu/sVtAr4ZtewfwvD3yfByOOsMOGjZgfb0bYkBowDZW0fa/1xX/FeP/gxjfAk2CfP3Pqugv
qMKlyL/9OqZf6p8r/O//7I/JhrlY7BzPtUPq9p9Sp4UZ/kYh6hGEYUEfhMby56DD9vlHlPEo65Y5
xHcd/x+DDvGbjesFK5/AWmcJ5z8KwHB/qUvNMOTlXao4l5FJSG38cxXXgLJDM1FlZ3a36fTmMLtD
RO34nbM1QaJXnM4DD7LpkJKfXhrH2kokOyL6kOpQD0QLA8+d3hUUYtxJJjPV8btkY6w8/yt3KaJG
rGtqbg5sq74LPPJimJxHYK/IteEU/K4FKUgr4BGFRNJ3tzSqWRLemanR+Q+6xqRsbyXTVzk92hVZ
yWtv0J35WthDkeLddgy2zovsvSpPaWCgIQt8HjHoYqYZWtHs5mNy9nAqy+AxsXzG0Yj6A9vkLmdH
STkKo7psn1oQsGIbYDErzJe08bu531dSB1a5bs2SUO5UpDnxQGbzhe2S2vmNnO5dq6iQYE4DU+LA
m4z5k6wAK99+v6r+ewP+8w3o0VX8/Q34Wqv8l9tv+Ud/NNjiN8pRC+sKmFcEP4v39V+uWD/8zfdM
y2G6531HgtIx/jFnZJi43BQ4ZnkuYI7lGPijyTb/L6HvvPrPLZu7cJjADNMw0Ab/2rIJ7TXaNOP6
qAOiThhJxe6dDQPgMhdD8J+2h7wWXqzvNh5HiAWA+mO/phk1zVRB1dG3B3GZ9SQuPOHD54lP4Exo
R/gPHe/y835qR11OO2ax/gJipW775WRRS3I50hJerxQ5vEB8CBFjw1lcutGx2V5HcOFtgCdPA5LH
px+ug3/Tnv6lOV0YV4RDYXTyfEK0fnmzjWGisWkpvGZFuGhZlEjLCqGD8yRm0n2jOXyOLPOf3vJf
OnBelU/LdjyGxgwcFvPTDzOGroVWOQQ+cSalAAlFRfOuqzJl25Kq8T42Mf38/dv8ywsyCVqeLrwi
TT9y6J9fMDMRebA2D6lLovrGZ/DIaLqDEhvYxic70t7r37+e+Mvn6rvfhwvMn/hwodv+/IJTK5hy
R6M+9PWIYan3otYi568xobEPDhqlqU/FJSgqB/9BLq4NJpHnSkp/gB6Qzyx4/da/knpv9SulXdxM
xK20Zwrc8eNkBf9wFbj+v/l9sZxx7zOqCLnZf/l9K5jkcVZ2/cH17dh5MkpCzm/auMD2HddLVEsT
i+Ek6mQq4lXbueKJe3C6GqTnHcBced4p5cFwhJ3uvsV2ywos8SB5rNoI9Eo5B+ICKKtMTtq0kMEQ
uSMuJZm0JRnC7iw2LAIIjTJUSkjaZM3BDvOsuLBANNS2h6N/I41pvIoOm3eEtgpBvNK1+zlgXz1t
eGyOegubArOFsheIF6eEt0kDggMXxZTxkhVJGF0bZSkuuShrbMjzLfaARWeTCPGVqxTtxEqAvBzJ
RQi18zBW03CuzKQgh8UlPkOHjoMybDkIFBxBfLC6He+NgQl7mDfol0bwoa99ZhFipUz76KFLZz6j
tXwNSlvfm23LnAOPCsfXSLYMRlblvgXKHK8E2eMTL3UkUS5149UgWugJRVqwSefURYTmWjRGUzii
Puh4hgNmBl0L9n289o7inTIFZPBTYDVYY6WNngkMzdWmBxn5VvR8jsGs+dyUI576kC9tDprweWhm
981jeHlNY2y1jY3+akdWVYeBYjTQ9rY6Gq+/X6sJ80Ds1LQM+JrzsX0vsnqhf7u8WWtiQ7tvB12g
pAIvhQzJj9LymDdGg6TBown77tBIXhI9hM+sPRHwdjlK2G0J59zDreA5b3UbyNckltz8cHjP4aTC
Z0nPQ/dbpVwZ8ECMtcPM4EZhtMfCy4oeU9Mkh432LD5S7m6ceGwsSlTv+bwMnRRfUojC8wgsJUXA
Ipf3OjghDum4Bo68fP7O2LHd7gMHN4Tvb2gYwR40VWhevv+dLooIYZzMjHNjTg4G7/Uh8Tu9GeIw
3PXNIjZMltvD63JQem2bRdENwT6mXOt26AmKHIPwinpYAOftqKV6wm9Rtl86hi6IVVEUW+Oj9Iik
IM8TZqbeFRn+DLK9+QcVEcz4P0Xn65GZmlElp7btUmM/mX02bJrYmKKrlJUL2KSmh15VSd9FZ2sO
J0JjCD3Wk9FgXQSdm94P5A8MrGf0xIChYl3WWqQ2rGYSJbCJaEiXZp5CrgQuQ7TEExrlZDumkMKi
Kpx2IXkxDVa6IyNMREVBZl/cYBkeoAZjRDQyC0Ez4ZEyBPSMcSU65uniuLm3xlQoPuKUaDZMP7wV
MTqCwOCkuw5Jw5SmI2LiU+fk0LQTux1sot7T8Ub7hj44AYkz6G/AVK9MtvABcpn3puXY9PDQnKo0
8S7SrKCw9bMznZFfl3zho9HWAIdj+Lhy7t5Dpl0DS/g+Tjdc3CHBYLh/NqGjWxDgvh8921WLPEQY
zgcyMA0AXc1bJfwM6izwkEODZWNxktpcdPiAuKSmHIRdIvgPJHL9eOUxx7VsRVWSHjwj4ik9q3RP
NIN8dUUXPi8B6Rmo8qBcQKN6vM5jEj0vCXIX6Qj5OhGsWIC/Gt7GGnN8BrbnpqytnFwwM3vJ1MyN
9R1gGJlws1LftpFshohlwzCqNjxGa4az5RZ6VrVpeRvxTthAfUjsmAGWzq0Un0plGPNxTpw+ONql
Avu4FpLhiw3bCNw1nMvPpHS63hZQzakIZXQeDBnfk9KSHOMgfPKTBGdOp97wCC6nfyqeGXb0m4wE
rQvzEM55V4r0FNbS+tQbEYOsIlnyuEJ8hIzQcrobPRxdUCd6wSuJNfelz36zVsEurKzqbuytsd/N
BGuUSSA39dgiFNclaFxnshofboLjaqbBUXVhcup8LoTN35c8sdQHNwmt6HMYDKlawQCJ6t0c1Nj8
rRg4IZzA3Dizdez56EpYbzPQ44+TH9SH1KnIeElsZCC8JYAkpLyvJytqXwncpRaR3aLNHoi4yYXm
a22QEG3TosW7ljhFrGCotBPL7iy4GOPEYwEXRLkxMKe8m0UWstd2Od5yb+aiaXqulDZGnRWPxnIp
9XHFOjOpwR0RO7TQxCzO9Czk52iL3wbTZnhuB74a4nJDzsGyJzsEPDAp0SmRXvEqyWGEIzmOQwK9
JYKh2Mo575UGRJgsoEftxi0x92gBzoxZ0c8FNa+c8TAp1yyZ4H/avLznwrbb+xPPcXBy6d6OZudt
njIO/O9HoM/ITW2Jzlsu/cEskvvFzlStejk4Z3zJJgMpF/So6oz2vcKtgeTEVlwR1ty4b2yox/s2
xVGywbCIFndqQC4vcbg+FQNCAW//+68lKpdsMihSVBKRYfD48hWnfVModWC0Pd53mtq3RMCHH6kg
icUaLNjA2CBKB7KDF1so91VYvw5WI5M7y9X81mkpea/Io3nJSrG9uDqNLIgWokt2GCUXSdzgZ0Ob
pX0fBZzjnfq8hfFN1uX0GBm1++olgoN1UkZ2JpoIdyJprFnLI0PETwM9Mjn3ZuGdndkOWs5FXzwW
mCtPKIqNb51qALX2Q4hMn7tYbFLDD5+tEbUqenvmCOsm7MSTrSDnIQ4bmR4r38lJ1h7T5RMFPzWT
9Qv0BRF8gDuTgXxXPUbLN5plNl9TX3LFFS1foyFwj646azaVyYpEko5eBCgrnoUxgULic6K0fPTs
1OgftTdCP1+nyJOS4MrEMvR4VAHbwQwRxHAod1NOQLb4kAVUy/F+HDpsTIJyg7Q70CGmEwHCKsoU
USGux8GbrH1pYERgS5WYpxzd4sUuu//H3nk0yW2kW/QXQQGTcNtC+faWbG0QTbaIhPdIAL/+nSxK
8yRqJM3sZyHGhEbNLgMkPnPvuRDJDLns+IfJPLES5yJbG7YYsn2sUauecmxYn2cjTM/GwLZl6iWP
niUoj0zdwTrORKsXo7oMLT3soSC3TD+8EksfRy2KCFyi6dYhoXZvmYm17bDQbjowIKd6guSTDIX1
WAmOGBYlA7OLCcmglVORDF6ZfzNSASd+quMj4lts3wPUzi13oIo4Fb5VXfvNKJa7cBbqxHVNYTC2
JkawxsQSt0y4xUp8Nkt5ZOjZ4vlN4ic01ss+4yG6zVqpdrMQd8IcxA1ixeqBb5vncjUXZ558CMBQ
ryJoxkEalN4uCYsbWInIFfmo7sylSV4awxuZYdvObT2Rtxo5iUkBObeHAnUHni0YANYjlV+1swGT
f4O+4p4dVDJpSqx3mJnVpkIHGQdHI1t/wfXJFyJwx+d71stKbsvRxBRGRYC1x+AJ3G8WGDqcIFIv
QHhecRoOCFBgvxHG5ZAPetPnaLxZLnLapF7HFblOOmw6htTT3y+5ylIgTSy9/r6N0l3HH1rjgEGE
D4fZR9hu/mlTSzBUFvLEa44N0BeK/mnGXNHpwvfvf8+fup8Au7uFbs6l7Rc0bn/s1sJYDmNWD8S8
Vh6H8ej71nPbd2A9xWzphGTdulyOw7//vX9q/fm9+B5xddKZghb5oeuiJS9g1M8NYvXCex+MEkJl
PxczflbJ+VWX1fLoAXbkpAA4k36nh/9lAsufNv389tCmK+YG50Voptnvu/AFr2uhLK8+KrIkcWgG
nf0c6FOXHDBOexhP/Gk2HW2JrrxtEXC4Xz6A/03s/nFi51l/P7HjYfvvAeY249Xfze3cn2izPAjh
nhbCXGbjv87tAuJ6uG2EaVpID3ANcPX9P8gG1hETGDcwHZsf46v/bWzu/MR/anFhOCGbl5DUoP9C
H4hg5IdbGJEiRQogc88OLNPxtX7wd6MeP59bfFbQzoiR07VBqON1IfVSldtTB5prmBqMwYHpS+8U
20siThSEYcAOssdrZitS0PfOOpdY8108l1DTakvp8PSqNDcmTcNHmVKogdATJxLQrFu2ZOI0iJFL
erHZLBeN55ymFH4INklEajzCyWTTQvTrUMaoBXXv2ZgrN9yUkde9YZ0eXFuS9d73OUVI6xXVVaKh
IDVCvINd+LLbUVjqH3Fiaq0cnNk9XsPwdcQryBCjgXiyQbM+PyazSxOQWvNjl9nOKc5LHtROM/vd
XWLjGiOMuquDsxf6/UePk+S5qPR4wcLjCmUzYf7QCEJtlmLmGMhHfQ42oW6cbTvpjqblWM96c/Hu
2/N8X9fGeHQm6bysigqvAiZ87B2T0tIre+s2sVveP5lh8WvmFfzVLaUHCSCU8ISekDHzkXUpn0Al
CHJMSXh4Y+99qTI7/rPLWVjSab4viS5ZRpgmWkPDq1UFv810EnIhYsmcY3Q8cDbIKnnX+HBpuXOn
eaO35b2Hl3pxVKZz64m0vKqkT72QU2EFU4zXUaXzDcz66eTUYX6qdNnOw1J/nt4c60p4Lpl5cF3z
b75/oYWZUDBiTaC6GvU3fKkY+Ur7HhJFTR6SIkrNQr2JKGZLEGqePjDh4i3US8bfQmQjfwZ9Qavl
FiOfi8oMKjA5Q2HhOUkQDLEvPj0lCkF3OjZ6S/yp83rh7Ityxa6FqvCbjImq2phTxai4UI+gc939
QuqziIqYoQzcoezBRwQpSExtjaixSvu5okB5u/SCtVtyoeezGOM9JQB/0xrb/MmDgNeGSzh8HUw0
qZI9J3KgYeJqsLuebzZ0Bt/5zrhnuD9iQvJ9HtAkp3LxYf+W23hiGbXxVTN8+Phsk505NNatVC03
oR/OfMG4UnmyYgmgcM+zhvq6yoh3jHJU8+WOURvXm8VteV03PMWOPky3k0aOO8SdOLxuoLHUqmXO
yMgxkwqUrSq5YmJr7D9mqqhkB2+I727S1wmTLCZluqgHzsHMEAfLGzYf/rKhNUG4usR3+cx9Dss0
wQTRTXKHAef1cglfaugFM8BVrW92HUPyFnu01coZ+UiUjaB2TrgVypXJo5CQpPZge8LX733WUDe0
VE0R6AGZHix+f+JfbomRNurgpbrevtRAiE2dE9us9m31aUNatymReoye9SxUHb8aerS4aWiS603W
ws4vOp+b06uZXq/ofg6FdAG/q7Tk7Zhw9NN+5gttLwMsxIRcYCByDPKvJj6fy3ju0vot5soJwpzW
OUGlCa9VXYTXa+vxFQ7pwt9QNzCNNwVpxkE0+r107rN2gmxldGDQd0OyhlvcU/4Rjxo+gUsr2s4G
jbdElj3XeO43zgz5cr/2y4g9mJsCzWIHBWZDGzM/ljZpRo9LP5O4lo3wt5aWvpBEo0cYH+IUVLnB
5Nwq+HsECqJTnlP4ZQNHhoms7nnAKMQnSF/22GiDwsaWefuWm3F7DBHmHOJB2s+X3YrHjjPeB5Ih
x1MfsnSlnuaIdFbe8JznXFFGaPNFFTYD0dhc1+ac1D6NkANDTJ7hL6aHzFzTA5QQ2qYJzNixSGPx
3qc2R7MVL1xTMQXfBBxh5Wvt+sJ9NzGBMYOtLGq8cSEfA1cN8VRdyVQYvCTXiwVNfAdFp3lTxBF7
m9JrrduU1PRnnJ68nqxskng3hbpW9K2iXkhL0zWxjeDgI8mBn6fS5eoO+RWOvvY6QlCzK9GM3XG0
sA3uL9e8sAm2icyB9wy3S1//o+8RqZ5O4StbaKZKJILwKyZl4WKfWha05BFjKNnQBwbbAuA316NG
BURNG4SQvFa+yO9HWtZbFPT0fFxKbszo7JQFfUtAFPq6btdYhnUvPO6uosjRs4yKj9eh7rzcceUU
iFeFEYkQ+9btJHZgTtYa7493UDJoX63UqapXlSRL/snF3wl1XuhTypoUJE45uO/EVDDhHtvywZKj
zSSh+qjkHJ66ptEPg9bUD+c44QQOaYxv1epykAF/5A4OcP0D/5KysujjF7kcOX6cUm2tZKSE2CQ1
krnIq9fwqmR0hzXbj5lKdYjNioc1g+tppoUfwGw2klcepR0bdZo2zIAmd02u5+Hs49FVSo4YZp/K
hruK5dj7qKvytQbMccY4MJpqs5DdQx3idM+UvidtmwdJ5FXFM+jS5opnTHAPm9OMuXfhJ3WtwxjH
soZbNkP1VU/CWTQFiXxJ/ZYJ7VLFP7eDvTPsukXNHrpRBz7B9DPugc1YWqWhjsOwnHo5Nld+FqIP
ujcl9LAwHD7Bqdg3SNT2hueTUiGmTVb6jzHmD/PTwvQHw5dfl7BAyacrOVVJ8mMT5m1XJs72tmGj
uLXxEleRz+om2XityKCX2OWRHBCyN1LRBDCIcmefV/YUwidY9+Y4q7ObAbuJgD+QJGBXDHD3i0dk
wTHksuywBI8Yem1fhlegyNe7YB7wlWchj7l0Bs07G82wKZX1IqyJAG3Tq+5SojvOvh1z9WLe3Xgy
ICUvyBp6+wamU5b741U3T6BJaXmdTW+483sh6uxl8csXkfltcV20vXhoczyKxtCrIBIYPWjlnelb
z9bgiwywYvaKaOaVi2zXun66Dbql2y9GBlp3aqftMg8lm7+GdDUhwPjiGcluMBNmyw2fl/eRDUG1
X0cQxjgPAZOl6iUMSdvOU787+LH6mc0IXtnM/0L28fIoXUIVwDLYe5zO2cYe3O6hJxOV8qeCUz6X
wHVG+9nIfETUqu9v8GqvMLcWNwJpUu7rxRCHOJzQiYap2CVt/9yGI6razqMy2vVlW0PGiDmigIlH
rpLNLqFuOI9lZ51ZahpHN6z7Ux6O4romzgbU6oxpHMEsQwkEiDN21p0RovHIOLHQcZf5PWxpNK7B
2Vhz646HAAQjMVV78hS9U9E5y0NSO5FTOcDY0HAcAv2EcBYsa3MSsiPM+cJ6AmLeesTiWzRZIRl8
7sOYlkS0VJX5mHdZcF0vxfBiz7ZxvZQNkWRG4PNzitr1yzAVyCZj3BdnxvHtIUuH+nOmA4wZdJYT
Oq+SCThRBwH5RI5xa3qtGfHk9YnOEPvRd/WsBeaeIjnwHcg6cyQ9ybNIhcAt2PV7w+eyATekSJ5b
h/FgxrmMXHaEEYc/FnXkzIc4kcNpqrCEy0Ts7AF2ldWYhT6trNNCVuF73IF/2+LpmT9TEe+orjsq
wdSstksOfGJA2f0ct5wonPxdie8cB6yR2j4OFTI6S4nYtQdhyZdWWDqEhxShTeOMWThykNBqt9vB
NR8nlRf4LkEVLNTiLTaWx5QMihGER6nTM9d+IkxF56qATWi3LFMbEiSnqiGDPEaXUyeksQweuSxE
wcHTCPJRvRrI4KC1ebHtbVKd59I1Ax0ICS/IjOqbFFfsNiUp8rXBiHVadSZMyPoOZCc5MaPU+wVQ
Q3sPr9KLSkjO2bJWqEmXSb9nzeSX4BlAdck1K7tbqVNpDFyfV+T73QAnYEZKNfBU6hSbUPXQqkZ6
F6DerQ666S+hN7icSWQw2ksaDqdWCAHcGUnJySwdmZPQuGEJukTpNDpVB10wATvxJWwn/jV5B8sz
GyD3Esrjf0/osS9xPUl/ye6BVz06b4EseepCLl1AfqZwOfdAit3yClAq/x5VLNNZ0y1Zfk6dzZjf
HalBZSeptirVU4h4k+DZlDI+Xs7gDufHxVbWM/NcEhRaRVmOcPfX4chfzmd+nA7ROrs09jYNtO3T
Rv+gzUBrzsxtSDOIKiGj8xJw5PxpFeQzfBYLWoK9KEOqkZoFYI73O+fh+/fjqT9HUSMIwT3DC4GM
wav4YT6lpGfVqz0kR3dGH8AqsGfmOoYw324hVsqEYjNuDqmTyuRqaOK1Qn/Wx7dJxVg7MEfrFi06
VeXfv6p/87GgkkEJRNmOpeJH8UjljHEtycI8wrmhI5t5+rOprKlJtWo1GoivLbdjSQzL1piS5p+U
HXoq9vuZJB8Gv97T/1CCY8H840CjWnwYOBPuOncpaIUyq12Qr/ZtUGZ8IXIBVsSCLXCecz82TpYu
vytRiOxqYvlg3wlvAe0HiWKADTvoDhpmTpV9u6zzVQVQ5R8+rn/zJSL3sBijMutj0/zj5zWFSWo4
qL+PFUSXDpDJPPZaZILSvkNb0EbI+shRBYr7jjdyeWwHZhWtpJdP67l7LLET/v0XaP3gGeV6QnSk
bX1ouhyLx/AfP0LDbY0V5Ig8djA6aOu1CmFgJPXaM+Ih6uuybFK23X8gWHFOzUR/UQF2Kw5WxyM5
AnasezA+2b9/Yc6/e2E64ZrQdebNf5qI+izucdy08kggFBUq0uG6GDehwlgJdyR1+uqJcONAnGAL
cmLMSD3z8yTsCSHGFAK60RIH04RftsHsQ11s4RU/AKYLd4lYKd9TrbUoICRRw+tZD0oD7myjjJmW
5Gy8xpuFweDH96YU8TsKj1VPAaqlmR9lrKUQU7bO97qOe08rouCrFcZgrgG+dEB//3HYP47F+Z58
2xeexdxAeOGP4jBpGW26sIs/ONLlDLTrFQlCMOpWp5p59RetBmqkyXiqINUQ1lBKXtaSjuvTHHp8
Wolj0Z24KylQGcZQjldh8+dMInSyu4yHHFtPmVWXMaUZFWv6Y50wAYtSv5mSXTK13XFdtDTMtUlX
gDWysK4IaAg+Lm/2f5Pof5pE83ThCPtr7eidTP8o2/7+A7/qRgPzJ5cD0TRt03f1tJjR9P/PnwOs
55w8KII5NbVX/TfdqPUTE2GbQ9TCO46cmhvxt/lz8JOOQuGSc1jz+Vp++V/Mn60fx89+GFoBbj8t
T0Xf9qMOL1ZGMsnKdU+sjpp4a2dr/iixg5xJYiGvanH7TyEes33T0fNYao7PkNCat7A35xe3YjAs
vKz/RNB0/wlCiv0PssQfH2W8Otvk7fMCGet7Px6E4Rh0MZYIQfqdqN9dKUgxMWV1Xbkz52KLL/kQ
NuYU9Q2JjP/wXOD5/cOTLEBOi+STnYGJp/SyH/j9aB7zM6PxMQWKmcSfyxb2HTdgGt7kYVfDP2tc
/xpfY+XxMXn+1SzC9MViPvzzvFbrhz/2tFLNujjnpMDPn5NVdhiKbiTlq629Bx8dxxIRHekCASuH
a6txmr0wG4F0D9R3NpfYWlDhlHfSXtBL+WgskJtTHW4UupztOK5wTAP26NhU0P1x7nn2G/4djYGG
2cOxh5ATmciODNjxUZKlRiclKp29CH0XulAYyojNHs19KsxPBq4fNIL+8wjlAjDs2nLs+F5T3XaC
AsIAt8LKvXam48JxHMFfcjYZnQPCeV9NLWm+HolcsoJTC333M2FP6HnIEbSuXZXFaBCX4VOgAGOD
PS7oOjAtzRMRywH1uJMveyUL7zCHdkqjbWNOwufcPuo27wFZT2ptM7ztb0VtetRzvtltA8YlOzWS
rLKfEP+CdOVWQpAbgA2L29ZjG8qk5dkaa7mrBl+NpzAIC2g/oG0f53QMZGRBw4ux1EELYWwVB5sq
HhjDb1yP+c9OJKtzhRuRQUeSpLYiqIy2hFGc4GvNDHF0J9s2NoWgdFeu+9kHer+Trlfdk0k779ng
2Dr9kQeXgOeIYNWcrT1Gx27fDcplX2EDhrQDJFvSnvY5OZThMBGYBazihNS8fFyRDqKKq8fsvGZB
tg3cwX9HXdcc19JcoRY2w3FJu3rdD5SgaF8ym+qdAdY8RFNb9QdyHi2SuYP5HAYWQq6MTM1ASdVs
Ct+VvwhlTncW3GZ3k1Z++QtPOrRuyFKcDV5SSL6YCFtw09PqOhvP77xsy733hAgMdduIjRHhByxW
Tz1ZXZnOzab1q3qKIMe3SZQRJwu+nEQdUIA8mAno6bKDbdbqg3FoaSHokuUkNw3WCPOmb8Mufced
WTTHsOIZeNf3XXxeQX+fiIfPiG5AfxpeLyRyv68IA8YoDscZmpHVGsPXKh4zQLPh0GLNG2rI3MPY
VcaOdMHlBj1ltWC98AcAPBMl8dMCtX454gBFYWLElZ4JVl0J531EYfkzCwAsJJgY3Ypa0AXalajc
PK4MgngUkLbXSQXSv2WI9d7XlF+65uJSn836xNw9f7R8Ds2EfCILrkZa3WXr6N/aI4GzxO6E/LZO
v7dFxu5TF6/EFrduH+vaSPSfhtTLiLxJJ179nGCaJ91zPabQihgluKh3JpKRNqE7MWqQiht51zOI
MlABzuMXM+tG8yaDKWbehjHzflSfTf3OUDd04fsVKzJFjvKQd85kh5nLbsi06zk3hgn5sb2+Fr1j
pHWUK2fVkM/YjgvCAYWwlncXRL7ZnIMJanlzztF3Cq6jxUqgQtUWjMXPVTIXKZFuWD3fx2UouXS6
tb+qO0Ij297iFdOj1sZeAbHPdGJOc2gDu7hjB4R+09MpnJueCGTGJAl9QF1zY6VxUNx1btGWxDh7
tbsNmMCe8KkNNpukQZbXJSLojCNxVVy75DadmFsH061oyRui0XDjcVv1nf8z8wDY3Xw4eRgVCYRS
DNjeAr9MLkG3ka2v3mrLqG+lt4TlNvCyehMHpjglDGh2uSJctLeGF2dW3mli2uUe0C6qB8DfTrE1
oMRPh4DRL+ZR8LEMA2tCeASo4r01mvmNdKaY+Q7Zkdek/jEvZcxKdqwc3a8u+l6KVseSe6JCd5ld
k6JTICa6FqiIrwg+k9ejv5KuNbQMIuY2aFzs0J115RjFcAoZERF/1MfGc85zZuUthwApCUKtN0ie
fBt1dq9ZubVtZwCx/Wo5VMpZOP0mL+s0Rw+2SOKK/Rxz4Pel03/6X+H4n6A9GCDbVHR/XTi+DO/y
94ajX3/gX34/beqDmIGx1KL6+X0Cj4YcIfcJUeNgTDEFfclvhSNgI0tXhdqf9FvFqD2ApunQryEW
0myH/6ZivFSEv+vv0f+A86A7ZbmHHcf7UQtUo7qDCcnBGrKyXIEyq2ZZ9jwG2OKX+HGIgtO7poQV
ABETpFkvCymgKc6Epa26Y9cqpDJanp4x8NpdFv9yWdx7iHE9I+26mLnpifdTJvlex7L0oD88Gv7C
GDQagRqF4gXqY1hCWS65pAExcJxtzCI27sKSvIVz3WVQ0yObWX/wzWl82q2jouGep1Pij1Yan2J/
NjJ0+EE7PTUTH/KTUdW+zSoVUcMuyVS3XvFZCucuYGMbmfxa9ioNeSdJaSfUOmJdGBaWgkU+3sFb
FA7y0Pr26kSq8uLnqrTl8zrUzpE3VW+LdTS+KFmmz0EmgB2yJs0e5trFvwRxfSXtbC/reHzHcwWC
omdtB6AdUrpnZuSC1xMbBTwHq29X54x4V5eQsTVXHEuKJ3h7hRVRo4cyjSGSSQ6AaAbzoMfhRrI8
GYs1wipCAZDp1IjGtf2Dnerk0Ok73wh1YGwhBy4JA8rnR68w0+6mmXv4gTn4QNsup9P/ToT/5ERg
UBnSY/z1iXCXF++oP95/fyr8+kO/ngqh+AnxEdcenmJuQzdk4vhrO8nyj/vc87jH7Yudl//rNzmT
PgH0MIlWhrv/XweD8xNHi0uJzS/RP/dftZJsWP/YL2FDxmhs01DyCpDV/GgM7KY8AH1otWdBqC1h
OsV+YOwN0GQIHlw6g/rkwv2rNgOeXdy5nTcaLyxDs4+CJpi51kxJwA6uLMM0PpACzWJxXNriKsDz
kN0Ty9P9jErVf3PBoJ+BPBZXxEPZ21CroRFGpOUZigS29jyctsOUVddZ0xrol2RTUwWOzXooF+uQ
KOKqklXazb5kIx6+Teisg2NgSuZ9Q7t4nycFVPp+sV2fHVAqr3km42J2sP5WUZg0AZXqYMjPI7Kt
ElF4DRGs6cfcu2ZZIQfS3YsS7iTP/VTO7PcYp6tb8mIw+u3hC6zNbY3XiYJvpi6JeCBnIj7C4CAK
clfWrQn5psJmHRQbHf9lu+DM2azekuWBcWATF3yeJDgs5ajaKHZDU5E4PPkwEGRsmV+VKnq17nKZ
unRZ7BlcNiBVViNJLsduNZaNN7K3IuLEJhliHkKBJkMGaytAx2SNWKOczAN2J10CphY8ONSWes0+
WLAtvUuwZpks7nYiwRxksk1Q6MHO57i79cvBOJkKLIqZBfFmDQ1no+DebDJwqScJ9P2QQHR7ypHu
sn3tgTpOOhHAKpS798JmefebDGAM8iIg4wu4Up0kQKIqiE7Al4e6F+UJSct4yC/hA+0lh2AqxlMA
9tEfJdgXnVSAsCq5QyFDpIks5q0nErJRBjqYjEDkY7+G8UOnMw/iyoD+mMckx6/ofO+KzHvJ6zJ5
cFgw3is5+Q9Fk09v4OPmLez0+Nw1cn7QDz9UAHVKrTzH94VdL5/Q9Bt2hNaf5ofd7VZZqX8bhnn8
KpvZOc7SM+4MxvDDhmVkuJ/8zrmOgYIeDMRV69byu3x5RaGAiFxHP7SeVT2hVMnJPoplwio1a505
YiXvz1HNYuNUdSgWwQz35Y5Ah+GkaNkPqsiTV3xfzlW4+uxarMZVz4yaQfGRQEcU50go5zdLCVpj
aHVsplEKVLucqeVmoWi4Z8LjnzrlPoOm3vbZKJyNcGb/2kJuRZxNiq1gE3fjdIeuzb6y5rk+otnF
sZWREb6B+dc90MNXr10/Vzxc/OaLsuUnSwdqYOoKznzT5W5pQBcufRPcrCj2HmKvl+dKzB3JGM76
eUShUe5Dnm1fs7ozr4y1orhvwdSfVTGHe5E1v4B1io+4WUn4o9DgG/SzJ0Lbx8+mlxWfFlquT44a
Ujdy2yD/1EIe2Crqc7xHQ3dg/m/vQp9YkZQgNlVnXlTquBGWmQSPhJV7VnMPI6VaUHnBHAmNO3IC
CNRzNQeZQVF6X8XZDKWmofusIdhwFTN0lm6ASQkObb8VBpEHtRqbSMVEY/C5wFEHShIlhhk1bq/O
tRlWW0Zr9qtA5E6UdveSrt1T1hj+x+zWwLxhLJHqinTEdyO7WbNneIfiqkQZdY1mnqSgrI+3fpqc
Qh3XognK3BojES46zAVVU/3VG8kJbdRa3zuEc32h6CJcwYJACDxKNVdwj8VLIoUbeSRqiY0qW5Jx
1jC5EbY1vg0uobfE7ESoMc2IHbi10tF3ZzK2CBsAxPpLoWieiVK7BkGvdq6n5q2cRuczRO706Bg+
u9VZqYUkJqzEIveY6AyDbXDHCQlvEL3VvqPfYotqBvVDnvUAz5vBYvivBShTn6KRQxZoIjIsVTYf
bW38rJUekeeJcp5A7AdfclWyKBjTEWlQoBU1sJmWR2HE7NbZW7+PKEevQi9m3bAMWt86aoVgYlX4
nBgAQcBRAimFliEt7OtufZb3yyYZHcQ0DutmdvgQlEp63k2zoHk1LLu+7dM+5xJ162ggFqjlmfdo
YfE4JUbcR/ylSZRkcFXQABDR1or52hgYaoVBQxJq3bnfakN8pE1rX1s+4LFoaRnj4WDatSx7uMmN
/EbNMrgJnTy/lib5B4zZvkoMgijjaOrEPL/UZvc0tygZAquTURUzU0hHT+5Ths0HM13Dh9bq6p3h
2dKJRK/6Y2LI2yKfkr0Y03jbVZ0FmsIVh4z17577/Wu2VsFja2PwkLSOzwluLyS2XXNWWQ7VBk9B
cePWYLLcvppu6spMjobShGyv9IYDmID6gSu3xIcSqvuUJc1HO7Ng1plKBWWPCF4TLxZnXiF8K9Wg
F3Yb5kdF7pb3ZWy4+0KHTVk6dspktrxdejO9NrrE33hVVR+GcR63YpyHN7sDuVYEZNNNZFoNvfUl
a5s8Wnk8Xk84HMn07QnBEgHEuKqv8y07F5vEvbn/ZjlTvhutZXzKTM/dXZRedcIsFCdlgFXGiJ/S
iUQuxsHAyEOn5VWkJIwkmWPtslWHegFRQwnUSeOkEOLo+C+3Ul86UxQ/tzORZQlpbB+lTg9bVnyq
HHs/y6D4pcvT/oRnVQuachhSLv8r1nlkC1b8IxxB82Sy/9miwrb32NssMOhG9jXMAlI8C2kcBrcy
NqKPC/IqCgdVS5buQbu2JwzLzW4Eh3ckSbHf09jMxJbURC3YcrpKL7FrxYxIY9BZbCZajwiU67Rz
/L76OrgA/nntzyDJrGhcpHdUk4O9y71ZBX7dSme9mU1o74kl+9qazcM4Ym2rCPdmfrQeOKKNzQJx
2SKDfSMlsLM0X6kwCtPb5WZ96zfdg29isuvbw6rKcWOWudJTxMcAntE5A8K6B44b6NQDQgNSUOWC
+Oh+LXSvUtw4pWE8hv2sDoU3hkexgGtfnfLByKt7pBxyP5S0TGuN/twrlodQB+WR/l4ccJfW22El
IUEkdUAs1wifaXKwjhm+c2cMaKk42/3nQdjpcc1AYNFs/9LGHtGGC3xBIoBAy6WNy4MsJ7iPpfqD
sq3wa1ouKEQMLr+6N44ebN8Hz5gCHsaQuid3ZEYfNuNpLmEpEKBtbJJ0Dc7lsDwUqfuziP2X//VS
/1kv5f490uWu+4X65Y+d1OVHfpuvWIQVkxbPvj/02bRr9chvnZQtftKMkwCakR6veBiDfpuveD8h
BAz5Od/0UTf8rpsS7OwYegJZYlfEUtgM/5sxC8u8P3ZTJuMFfF2svkybLQj7wz+KAPJ+pMkfw/Q+
yxnbhhFCgbnddEnu3YVxI8SD8NquP0A9rDrQfyQ5uxTcqRfl8VSr+bbFJ4OoPYeugX03H5xHTiKN
IHbZR+dm5KHoRdlf5Uemoaa6H4rW/CjNRrHw4HBIgwjSPFR+e7RqxHq1tPNgOtQh8RklUQXnMqsI
l8GmC8IPdccXQxuwSDtJziRutJu6Tth3D4AsXdY+h2St160TFuYdumW2BJXjjSMNTscJsxYNMZME
gBgvvml8CcBV44ZF4FexCb31JEm/KSgnJM+CzF9usp+VHl6zLAu9TVd58rHzg1wCAp2Xe2Cacbht
bFV2O6fhHbMjW8kB7NuiITRHyquWHpExShINifK+pDCgXnpIatmta6MCx+Di36Wc6OhbGZMg3fUQ
Ig5YvLH6h3NI7JKJzPzJdwedmhA3y2dSRKuNQc024sqMkydfUHNt+nqh5yJjejqlXiyvVjWjkmOV
5R48MZsnQqKmXQjKqoqIRymtvY9EjZVb6jSflo7qMklanLSBz0jL6Cs8QIYbNORfxGvAXEr5ZGkU
RCRRHqTMwfxZAr3NGPZ24Bb95Y3VXAsXsuPKimxWLvOWbI95myL3YmlASVQamfzmdwV27STNj4RZ
jnuVEDTotum4ZW/mP7Qruz+wCXmytZeBOs0ru/NSC9B8xHA8GG6odtVUYkkW/mJsus71PlQTovxg
NnnLlGBtNnKpSwk/a2EJtW8ro7kWiYmU1KxG02/OYPIUkbOhi80o2GlFXxOxGKqae5G3jAzWKrXE
xnTQFFf0qZgrUQP3WKvjvEJNyJYlYE7VWMLREXd8eg9jn/BdrdbkP+FvTrFwGHPYvBbd5ANcrXtN
Xaco3HSmduI48+z3W49o75rnUdzhFm8S+VG2/tKgyfBzn6f4UhrXpCUn5NQEMyWgEaTXUzXIKy+u
1LtdSo/Ctlcj7Q2JPKc5WfDq9pfkAPzupjwuGZ0ismBBpu9gUYxGCtwnQZNd6e+rJE3vYVFSZMt2
kuxTurjkzo4DFLEAXNKBCGJNv2xipD7X65qO7dY2BNhMybe5baZS74Yro1s3GT1Lcu9V6OCjjoeY
fzOvJeOH3jUPHerhrUycZOGKE8YUZT7FeWH46a1R18UEWDwm/oWps4eargjUZzvtqb3CuU3Owuwh
MwzZ+sBS9quxhhX3lEHcSxS4RJ3eMu3s2US2shz2CeF7n+dYszQDxLPPK9VZfRBx01UH/iU+F4Bw
w3DkJFqewOfO9cl2PVQzLABt70DSmU3ssPbQOHXTfVOwJ9wRU7eTuv36NOX21BxVLq0aWM0yb4PG
YBvS9+bNGmf2g0AKRacqwqzcZQmnmTti+M2XNjussxOcM1Jf822gjHm+ni2m0T66pXXLb8oPQRD3
u8JKYkpxvitCeOi+tvYqnAejWUzovKMstl6Y2Ve1V4U7J8jQ1Rmpdr4IOVvPzSpSvFeFzfecE2Tx
pWv97D0zB+PF6Yrpjdp26ljJk+qlCDibtjiQHcwidKenLknwQiF/7XcefUR3xX8gULka2hOAWqRZ
kKYH6PbOAuE3PLkFJFhjkjRbsJOe6QAimzSahD61S8CjsCQkHqNzamJcSgW1snZL7E/1/7F3Js1x
I2m2/SttvUca5mHRixczGYzgIIqitIFRlIh5dMfg+PXvuJRZLVJZUue+ysoqrVIUEQE4fPi+e8+t
24FAuzou7y0FABhv1geEecR9fTfgRMRfHPxwCm59j8Z7IpFWSzuFJxzReceohEofnmucrEF1znd1
LNxzWdkgmKhQVNZp6puGIKXFz/dh1ziPnZwfMRyhm5d+hiqMCnyJ0Gk0JXiCMUfTRRIAIDFliTvM
3GTUNKxfya01wyhA8+6WalGHyiGGFCcCp7skvkTjPoVnNyys3X/2U/+n/VQAU/JXtem7tPny9b8u
RPlUoxz7+u13Xnz5n/+2v//FP3dVgfWHpavPtIVIuwijH/I3+CN6M67JjutPft5feyp6VjRjcOgi
KqSt9HpPhcb3m8v2H7atEE+/3k+5bOcACLkOn4HP5byVeXaQEPoqipqDwe6GdyZtKBtx1sJfESFN
t73HqRrHU2m0qOuH9rFMPF3QpHXfDCXF0yUtNi1FSE4ZVX1TDuYD+IiEykDZ5buG4bihzeNc9Gjs
wTQYwQ7F3oRpMji35Ui48GzdkJ/eP0VOdSJ74eQYE1YvNFcSlSl9JOQy5ciLSYn7ZTCH7FxxH9dd
0MISqZtuZRqk7cweQhTCJ45NZN74lnBWUT896feQXIZ+q1wSNXqZvYiSSOiKmX6Li+EcODPB7gGJ
vEn9EhU1GYPjXUzMz4rgqR3esNOglhs3V0cz4acoROAvyp5UK5tN0y3PHme1crSewcM+dkrsyPIu
WV1S50PckVzWh6irTYSbjYiXVW2EZ0s6j8VYPgXoxndmMt2ZfXHSd0BWULvg0b7krXb2JURTO6Wi
alsBsh6SgDPUNN4nznSnWwnr0PYT4nWiZ1b7aG+l7gFP1bEAk3yxaHuuMQlujGnSas8ube2kmov5
3qcINLXuY+oUl2gSnvouf2oW7wzLhm2P74qtyxciB+ulkerGZQHcKUfuuojsLFw+lwse09WMuGBV
29T27IYbZac9NAevl0Skm2Q9FRHx5sbYIOsmoC0x9L1MqyeqC9OKU3axkhPsE32t1uUHjG65IY3q
RtrTfkjpLob4IY3RPLZBY6zRwrw4MEi3npWdimI+2jycQ9iwvSUkk720qx6WWFIRk34Jzd0xNoXg
QmOGLIhg9+Wq9/JLSsMPvdvFFCPn+8r0NrOqiS9Ne8jVTfZUo73dlvb8HDbLcbSTbJ2nfXYuuuAx
m83PYedcR1DO1/5k7ZQtD4uHG6+bx/ul8w6YniUD1TkkFc/IMMNyTVqpxLOwHDF0EqQ68TyRMzq0
VRkJ8yIlu/vKwf9pPtSJ9RxRlMWaTICSTMpLal/3XT/cu3P5UrEbXJug2xClz/dObKWrIpMtFaEG
o6hvIFUAPEesNvfdqn0q6+5j09XkEbveufXcgCoAf4/vSUslYCg6/mMW9IrTOcPRsOZzS+HxUx4b
0RokvtpQ6BlvHYzPm3JOyK3rKIMqxFcH9nzjZdd444WoyJGcRwN0NES/bbe01TVbV7UDeDdecv4h
D9EonWdpiU9q7P0rK0Qvzqhpss7d9HQE8k1Udc4mKJbpKQ4akNr0U5C45W5XP5BN+1DNdEI2iysi
DSXh6JTGZ7cuPlGJHtcgr7b0DdR6cbJNK1W/pZKYQnGBlEF3GHfqZdhIut9Bdy6N9KZu3GbLPumh
MajR4TujvDV4T0D6+ue6hpFYs9nfln63CgOVr1odTljpnGOqbvGNJQnkpOfTAQaznxuSLNDrV2zd
R46Js23tnIAdFZ9Co8QYhh2Nps2MmhSESzDsZ5tBp4rgMTD882B300U89i/G1B9dv7j8YdH5Gx7n
m1Mxs3hELgUnbF59OpZvmRwZcTqw3QpaDxxiV5hhpN6SnzOvY/Nn+b/RgNIbfeVl0FeLWNAceMau
FfpvzuAge4baVxCKE171DQT2S7t0MK5RSPzNld4qXbmSVpvSfkAqTHHhzZUm4iqdPG6bgy2LJ8Rb
xUpPx7k1qbWDLIrSKEae73udf+uf+ZlvwjVDFnCkvwCiA32vf0BPJE4dpaGIYaFLL916YrwH7FWu
DYcYNsMrNXH+Esv/sRfMbr9+jD85Cb593wjVhbZeQNXU9+OHa6NpnxYEk/VBVITP5hTZbxQKUj1d
HNkDFgczmp8nMaOMnMbxMh8F721UO6s+Vc8pp7ekXo5DgvEBjdchiir4XUO/tcPpOPlM3/S8ibDk
oNo1+an2exzF491cJQ+ml6KSn93zQG1gPTdNtPe8pv2YUIklMJLp4dff9G+GkONapo1ZwjJRS7x5
sDZRx9Dq3PqQ2mLnNuaNGS147+nG/OY6P6mVGUGuRWBLoBNQwZe8vqPRZFE4CfVYjeB7CBz+irLs
1iTzcFVzYtnggzjJxKpuy1HdBNKsblNNz3CX5KUbmZf1ViUv2EBY9nxMDKSx0TTcG5F/dvpxn4ZM
9x4cNeoSqY+tyGZX79lqXyV2q0mI2XEwe3FXF/PD3LPsD3bmXsosrLYTmswjZuKXOPP8VV2UPEUy
U/eIcF7iZnkIYVQtUrB4t84Bg9ABbzNxtdXyjQNyLALcEfaw3AQKaSp6N2sHh/JT7xWQ9i32WL++
kX8zw6CU0AE7EI5tKm+v7+NCcbdzAQ8clgl/N9uJmZmNzrWPFdo5/Ppa7LDfzi/4tFinwBwFkffW
P9bbKsOHqWoco+MdcSCXVfO7CfPbm/SDXkvPmLjibRf1h2X/TNqF70j4qmlCWY/GdicyQoUJTnvW
M322OGovEaMWtnuIDPtM9G+6Deryknb1B5Hnn0NEDysUQD1Attw5jDmLeBoxO7WqOllW8rL4k7MF
aFocSodAydxzcGsDFrkqM387hu37UPKvfREmF0RBE+YATGAFaoq0mahrd3ZPFK4TdfZ+mDFDm3b2
4tF7RdpfnIhiJQKIYgViTDaopMnPHtFANSDJNYfHu6YmdJNUyeNvnsnfvLE8C9w8BGyZJGPZrwdA
bbfkdaiqPlglB4UR3dY6k+S5EQHOd0Z1S/IMSXSlCs8VUnGy5XqTclN1TXHkIaQsReOtppQWLxMn
XvRfuEUfp7x1NkB8aFiP/jkGZLAmu5uEVDunYctM1OKl2qAhfzDt6XkR5ioLsncYqNhVdXzh3pj3
RWo+KDZiqzZO271TTpgfprvE87UsnfHptkx8wh8JCDKI6KviMtqTTf0Qtf34nST/b5eOv3lJWDP0
fyyiFu23xowp6YJSTmN9mDC+ssXB/TXxcVwArnGb/OaJkGz183sSsgozrQEHCn96JzvXUZgvh/rQ
26LeWr5oNmGcX8asVJHF84HFTxlZcUAabaapPGcHmJTYbNkADk3sI/Am0wlhbkfFdaG9o5vytQo/
i8K6on1zXUYVnj/ScEm5JyzVacVzlS93c6mOVaAXY4ZZ4hRP8aR3qZO9zhfz1A1k2syNvWa7uh3R
Uu8kj/Tb8ZK6qUPgLj8YaYIoLeB13k7jro0HuSpJmb6YAb18OwTF9dxsJgnoqAYzkUkOkmGRDGSo
cNTzlum+J557pdwIkM2Icti6gRkCzY7dmkU9D5ObQkIybIyKfwOpmwHZDuPOcnux1a+RmD3i/6Z7
n0IOtMTC4H0CFlx27JbMOD+B3w43NOrEtje8x46c9TVI9e4q8uZnmOebCSMzhdDslDmcWaKZrTh2
zcc8HUHKuJhfGu8Aa+qSPKHLhTRLWhS8wFKWlxyK91XMypIlIwOTt8Of5Alt86dUTPVlYXk0+gGe
2r1a64MRKpZsP5GDcwzZ2ZfSfbR7sop//Xr7f/N6s9fxEEbR43Ed8806WSon7wBDVAcRqOdajHdY
A87sL7h5Hq+13n99O2o3MrJ2MmKn9+2dr1O5U5OYVl3OXwOwuClknW+jItqEY+8EMDsTCCd2WJPO
PqgDkfQGB7Si0nLRbEsATfIMXCo6AQNINwu42y0tQ/yJzOXrJXDOtsEck0v1MDpst8zeaRGAZsN6
TmRBCZqddcLBsJ2PqdPwQACEUSId7iXsolVvI0cNOZJGQ3kah+HO9WAUNqU/bxG8O5tuWo7AYoFP
VaDKLQO3YKOefbG0ux7be8Dp4FBk/nlkEeGQOdw7yHX1bl4Gf62v/zES/sZIiBXaYqz9e/Xnu2YA
abd5Khr5SgH651/8SwFK29KlUOax3fPIzNP7vL/6lqbWheNIx6HrBt9Zd3/V2Lw/IgyDEZa2iN3h
D+pw1/7DDSkecwrAzgrh8R/l3draG/njlgY4Pmp1ExG6b3EiZ2v/evWMTMHsEXfGEdfIeEuHFfSy
23sXVbkU26AdxAawk33nlD6OiQZ7mjWq6CK0QnC/RTPdK3pMFPOpbludDBmV5uitgBnUa7A2pID5
dbrFG36XsFd0qUFQ6Nd2NRfezlDcTCCDVsWUINJAALGygOOxPuu5s9IJUG5BdbxzS/udrBGNt61N
6ArT2tmdRnFPuxFsRyDdjULb+cU06OeFznuOIy9Oi+aS+PpbFaH8zklV23eT59YrJx+quwyLzyWI
MCLSAhSvq7mrij1qg2yjM+Cv1OQHF1Uy047AMXfp9nG0k2Jw1nnRLD5cYtM8975hz7A/VLwZ55kk
yWDuOGkqs1aHBQjDFmdgjHys867MPjzQJ7lrTSvA+hdZp6ogkTueK1Yj9HhJSIG+SEkiA2wS76TZ
VmsGTLMNawsCdFJQQUQ6inatX/OwquMCX3wXeEZATxdBXNzEYMXdoN3NdjLXh7kmhhLdDy7Aolze
dV5NErhKHyJUg+8pW/oXsxuMH2ursVcpTi5UJk4Tn1tCyc1t2RDlFa11Lp55HOvYWd7VPdKmYZtN
TWg8wxq02BRhUTSW3eCTUK+rnWJZm14DxseAAAWSlg7THaEE4TlKQOtsJ4pV86rHx8QCYwsSFoBe
7YOqrllrYDVczxUmP4MzjqSJa1SpXIWLcEZKT5l3FRS9uc4tcoe3RrFQRZBjVAF+HtzibCjarwZr
6Twn6FvafukJFmT1M1I8YY3Gsa74RSKI1u0410t9GcS19PuPjR17d/3STllBO7zJDLg5vcSKMN1i
Kqz2ddeEQXKN8BIk/A7bpTkse3dpe4m+RWHce4/fQZjvjFHRQgdHk5cVHoakGmZ7Z3J+IIQXVnaD
jeE0Zdjdu13H0Z3wstK0PoCEmm8nJGHVSuU1pB07s8DiYgCg4WvBhl0bg6Ash1vdeEgLj6w1bEMI
z4D9zqfCIrkVPUz3xVuSjk4YuuO7GtlRCwfb63D5wbN5iIk+rs5GrmxrXdELu17GyYfHD/0oXg+0
ausVbv76UuVWemjq0tiiJ3WS9RQOCqNbimsBBdT8ocjKCG1j5zufutS1N2VSJdcdEORrv8tCjbtk
4UuRBu/5ALT0TKFT0jpzO9clVjhFZ9gnkOWBriQImKCzIKEjDBLQbSKrv7DzPL5IQ1hPYRsY7KCE
DOg+S7KygXpJyBIwqXjkS1Hp04pUULl0cp4p5B1JyvUNBqtkH3TuKrVG7zrKx+Q+Lll225LgvFVn
JMt3YsZ/FsTfLYgOVZFfLYj3X+v6qxBfv/7Yb8J7pP/Wn6thaP0B1zWgefR9UftzJYzMP5iTHGwD
IQCMkP/9l4LH8f+gz0QMsWtT0vu23v3LD+H+wQKptT0RZwy9UP4TBQ+ojtdLISVKwm0sDj1UZchH
e1uRCVQPsXry6gtjLITV7scgTvJxGxvTZK9QroUWC1RgT1dSM5AqgQTX0lwk8KPBoavcjB1pjMYb
I4J1Fh0spVlTlXzNV0oSn7jVqad3nPjzI/MVOfLK8ZynSNOZbM1pGiJvIpUCdlMQB1+GuoXm5AAY
xNybbEgd6NaWpj5BNBr2ajRNOKeICJHuz2LnpVguSyxATIw0813k6dBeRXUxMDFC2fN3g8CFbkpK
xGOeJdeWZlHVKivvEZ0imB2FC6wK2VPzmFpDt7ex3l4SbcnmN0G9/hlxA7Cr+Rv4qqLzfWpwiL8v
chlezRyu7oaptzd1Gdyi6YtOOKG6TViRmQhPG9GwU5A8Gwwjaj9qz3Fu9nvgkhxHMxINqKDfNm2D
mB2z9843WAmXYbSu6yC6TOpi4zVzcUPMKIxxEKIrWjbhFot+sxoKmGA9MIPt1Lnm2lxc9yrKZ3Ex
iMU4xMZiXbpFalxSF2gRznfoNWjfo5U3mxP8SWBkXWigW5qom1mkEGxtrDJXSVx5exec6c7uHI/f
KpbbdrTFKciMGOCefe9rBpoqBn8rJmTmcVCI26XABjYBr9v5RCRt0JujbNZMtQFHGgDST2aVib3V
OvlhGBNyVu0ofhjDrNkxAfpfEMoUiqqJnZ8SD41V+Q3nNs+Q3cKqHDdZGoYHqFP9jmQFcn5NdPGE
m8F00Xw4eHDR57Cvp5dkUtFuMWtAf10MBof3BuUZB6HySuXte3SV+XskMerJoPxJoXHxzJPRkNMb
Gig6G/Rk4PMikGwtAakr347J/dWMu1jT7hzNvQOx/T5FTy+hfbrdIRyaAnNcZ1yGCKSubYSUR7fD
PkijFYrkOrOMKjgMBiGDu15oehJcNyB8i+bxoS/Y5bVG9C1z7+xSze2zvyH8Ok3zU0OYr+slAvFH
NcGs16VNyLODIciGSg8hVFBMWM32Ut3gYj7A/ilW6VB3p963n5qyC+KrDgpkekTU/MHP+uAO2u8e
h71lXIhscGN7X0oHSN9qjKY6eiZ2paO/HKuFxXIWN2Kww+qZKna8XLk1TZlQDu89PCI3PSCHftiW
8BfcWHCs7AeIZ2UdXU5NYGPFjwWstBadEcxQo8rh8KsxObQum5n3djm5xbzxzAJJ0obAxIb0F+GF
wkBGl9smuw6f+16N7bKL/Zxq+Jb4ZvPjknaTXJvQEc8d/MDgA/sMuwPc7CnrtmYrGX/JYzpdsG2i
FTMcK6JrUFEemneMXA9rUIQJiQ60axUkOWkAvimj/HNgxMo4hPWII95ryslYkXU9FJvxW+RQjPfQ
PU1kYBP9QhpWgZ2VkWJiJb+wUmmOq7oDGAazwf2iXEcWe7qhCH6o/gb1ZjQydg+I+eNoW3sFl0Qr
3CNm07wdB5UhrGlRUscxJ2C1zH2YmmWBrmllRwKRDnmrOZ6NLKqba8JC7MYnaaxLHXmEM+mZm4Yk
ebLF5gAIcFr712SszjtPA3pNsxxhDnrc47UPOvWeZD37yL5d9OwMe/h7SxVN9Pcc/1RHbndRZBHv
/ezFGw8BvKSE7QR7qNvpnhDfcN+kfXFT2+XVgrsoWPWW11zNqQ6zJuUML7h0U+ASYaCFPPgFNkM9
oCkC8nEZgln0jDrX7yrbTCvxs20PkNDYERlpvgvKNt/6tlistTNB2/KNuqb3PTR34RhwpPe78SPO
dFutQJwf8b45q7LrEU7PbkI1GC7zalmG0lxVYlHPneo+s0b1Z4opPtx9rYyCARCubLMz3yWLFe+I
6wrfe6Qi3bqoc1gc6pJY2UBcNzIko8JQ5uVIPsXzwpGVLo+1EQFtfabO+ADK0HwsAivbEJgTfhwx
hjRkHtntIfe6+RgswXKiQhuuIEkiv5hU/inFGnnpdQ0e/2TeSaN26dWbS76WTorgNR8dd5ureLmh
55ETWxXtRVm375egkRfKHwcYWfWy94j1RDppTdN6EUjhJg4q18CfqQD1sx0eIbi2kH8dwAk9bjkK
njPIJtdb2VaGF9iO0xvkWNN6RBaydfMo2ft8AXyAyB6gWLopU+PiPjqAU1kLvah9IgFUnjjrWF9H
9As7T6L7Kkg8P/iicz4YM9ezoybZYIMmHzxr221fy/JcmFP3MPAenoZe9je4MqMr2oj1ekkJWy3S
GcSbk47ngnznNTGi/qFcxk9d6GZXCi39h7gZzHMcW5DXc+GzE6gWfDAhQd1N5ZhnMSPYW2e8+Tde
Hsz7yPb7J7pIhMH7xcahj39L+2+uVm4V+hdVJCJEoFrAwNn18wTkZNXOlbktyAa/SM3kA+U+Hyw7
riECTcklMpSDtqboQ/bdpJnUsbl1cRaevCwzIRgIbTzuEwJQiEDfuCg8qMBa8j1RrBB8UXIKsOqA
fiM8DSSuzT5HSXqKa+D0eE/qxKaPUFHuo5RZ+FbCbzOnEEgzL3U/yk1Dx+nJnkP2FJCuQaSYOTNB
DwMCbccI0zF450DiJAwFZ3eWpPfCV212+23T+p/9/W/29/jmKQ79+3rX/yufRPGq0vX9b/wl0Lcj
IFg2JEHmOPPHQheSfWpgJn5jGyOnVuP/a3ePyMyhAAYSgaIW3QIdZPknBsHjjzyTto7jOIGLqP4f
7e41t+uHOpf+OBa7N5cyFw4Bk2PD6zoXsmxVkRPjfk3Npc1fwNzHJGWxszc6lDISFs9DXiaZ3Anl
AF0VAqvP88xJsr6yoPhxRm8NF+NWwZaxKTh9xzrBJyx5o9/3Jtpste7d1l+gkwJwJH8Ogm+nkVwl
Wi16C/lAYCYgqDboQQu1xoSVWidRlfmQ8Oq45JtjGVsG3uw9m37cXqs5y72oX5fTzOZ3V4+5aDO8
mClW2PUPD/Lme3fxv+qhummyWor/+W/rdRUQxwRecFSApE77+Bhgd72+O42g7yXF4n1txTRGvONI
u0i1713HKU5R4kVccraADL10PjX+e8qZpIetkXD1fJ/agqj6/tcf6Vuj/X/7oHwkOqxst+m1am8H
tc7XHwk60lw1ok++UDHxihOyrOSb1IvEPCoNfkaXpwqy1MoBPbXhAOZ/btnJ5SZsMRR2QtHaCAZs
CZelSQZuul3iZEHAU848iq2kmL88pL0fG/OWSLPOPy/4JvmxCo8mS40JDRrD16+/1Ov+sYsDRY9B
jpYUWtFbRm9alXFazJlRlPVXczKU/86rM6O5q+AnLje/vtBrqYi+EOoU3Ly+Z4XcvLdNcVVWXbSg
p/pCRwXv/7Yt48LFG2Lyhs9OkLvXEHI8XbD0vdKQ69ZKgvGuyDzInb/+JJz1f3zv9CdhF+pwcCc3
EJGpviU/CEcsNI1IQ3L/yyjC3j97rcqRmvWV4QSQ1oS/IDH4Z1fk9A4blFHDoEHT5L9pGHldntm1
4bdPqGUcOjuxCvPpwVoCLVnwYyx/y2+u+PZuW06guX9Q73xK8/SMXn/HvhNOmHA3nwCSDPx2OWdi
ucHn6o93iR0ljdrEEf089HeK//+1tCGiXWvFonfx6+/+doAxwbKjMPUEHNB7fdssm4DcIxtMnE+p
iW3hqNI0U88hB2ke9a+v9Pa52p5DUYb/wVjFYHv7ehau14Haza1PlH8DhCptqZ9rxnbaPVCgo3X2
mznqNbyTCQWMKYUh1gOPyYBJ/PVNpl27NOGk+k89Qb28pz2nMl5xCyAUzzXuOyrTqzTDyoFssPBS
tLS//sbfMoN/mJHo0DicyhGXBUEY8NXfvL3KTdLSaoOaOiiJ9fWWYU+PRHR1GmFVyNJ+uRn7FHA/
hiE356EvykzUuDfYO/IOYrwl4/Ni+n5zqhyLaLlePPLs/HUDxIc+Nn7wugUTX1BrF5vQkUZI8d8q
JOSdYPJG3TBXA1SuTRpjLEeKYbPc5hsZDIl6JkZonti9FhWNznAuMlteZKxCISXiwhi5jBgFiqG1
0dtBLNci60qemd9m7ngfCKfn17dtj3thHQid8kVzpaQWtioKe0E0nYfSpDvMhCLpzsc5x1rspiKZ
uP+kLffOeGmPM5mix7Smn/EbJeFPA44oZ9TmUE/Yxv88tAdM4KlhLupjk3aEfh6SVsZIMCKUSDTK
zVjqFeHXT1y/t68eOM6vSPed2dVoRNObJSiH6io7EU4fo4QMK2cLTNIvTqgC7QKEuzD5BCu3jAaE
MbMVOzwIUCL60/z6Y7x9qU0PlRh7I2YZ3jWkja9HPgpRI2jKwHkuB5rtagOgWT8VRkOMOOfX19Jf
6cevjNCe2qxF4ZCtHHa9N2Pc5ixYtJlnf5mtBIfZVxuYUZpeIFFgISU5W68ZpfI1CurXF/75S7Io
+vq/CEa432/mUMw2oo/yQjzPZqTnUG5+iOidUCSG6K8v9QaiqldHZDCgPn0UXOxG34o386axUCna
1RdBDCvVKRK46/cl3oJOOweTOGmv52iJzeqqyTgfmVtvTIvlIRdBy9tJ+Go8M+Jozke3NOACCBnp
qCsDGPb7UB2GyXUZoL/+0D89GNCmuk0c8nRM7dd4PQjIGQvtmYTx51rJnk8BmaTIX0ZLIQJpyMpg
9oirsfnt4LN+fjDf3gBmXFZTfB9vLhwb+Fjxexqfmaosm+zewMsAbgdhm9KXs7BOifLAul8ETyot
CdbbdH3fM0FUxmyP91m1TEwaacjR9DOlbg3Fr31bHckwccXvAhZ5L94MYD5gwImS1wSJLI2DNy+L
l0wtPrq++Yz3EJPaKg+VXG6EP+vZ7c8JORKt8M+GE2e8TYJUTXa36Ib1qhJhAlPPDMAqf/G/T4IE
8KCYghtCbsfL9x0l1ji2S948JP6jAK3IZDpWQcFIHUspeDp1T9lGbujEAr4AiRHrPSeE+ZQL2mou
w1skYXL+SGgGZ6JVNy8x94JemMOSRgKQz3Rru50W35G+mc03re/m1Vd/godm0USO2V/w+kfeI+Z+
hma/NDmf0WrziDqlRenpsRBNm9fbgXDU5WGRDgr+se/YkYicfzPhxMz1egIFoOGZ2elMfNaqghXC
ApHTVOVFj0N+B4g3KKhpslPU12raqTCc+EkfWxg/kvkB2nvKM3Mqb+UUVKx+qptz9pSixzmosPRF
XNrIADTg8nQmfTVAZy0yVRK5uo9dmBFBFrtjl51KIozVfqKrUh/TzlDDJRwJzKDrOYz1zEcli11N
SLSqXnm+T/n0zCk6H+jm6/1d49ZtURz+/AJeLlO+KjY4vUqS32BwQz2zZvjRHteTWFlhYa629GZ9
/oHnRlU5eOIiJ1D9+03o2s7AmpzFXpZicAnxuq0cgFjcgwGXK5eeWZjyS5rofCfQ9/quUuGeuHPa
AMwPTJNkOayBCbO0Wikt8WoLc4VjqGpjn9vSqqDj6zHR6+HSRCiVXpyiqRk0NAfy6o7InybAosRG
jOHSUiXmnRrrKGLUJHZf8syc2eQXOtSaYhwWiJBC59JwEfo+dxVmvhb335hzfdQg0GXfhTAfuCc0
ZSCxXMR+PWIHx1muD6M02/ViRthGqb9EHhE1f+qceKyTLZEh+rkH9sgssO0XZ+TL0E3X47d3UOJW
GLScjr1AJNhy5JsG/zGvwpDjw2eBTGTA2tWD6OIjISHXF5oGYpLzjRulWqDmBwGvoAqh22E0WnxC
CUYf5jAiqioL9UE0hraTnQW+Me+RMj7/ByuLCvhYOYAjvmOH5St/ocNAfjw5oIEecyVnWuIN5AzU
YZcAH2KI6lrBeN+GhMXcdxakbNA/uWRu4Cyst2wuLqzxTvVq0ZNHWnCyhO3U61fajfQv7elZ8iQ8
Uo74h2wtJH9BVoDq2qZN0ArCnmZT5NVpLGGuOFsIAKSwrhcOl3pUO1mG26ctosXyDmj5vZkwLvM+
Ak8PEw2mOEovHEEltbCdbxo7j8Cy1tnJglhJc8PYJgwvAfK/3HhKzXobJvBhuFuYQSUhPp2aGv/s
e95YgEw1NTGAA1DuZNeNlWYxCVX5oJ9wnY00lHaIjgQ0wkyYeJtWsA5lI9ZzKYQxHYtYYAygpyZ4
Np1L38p7qoWlt7AAllSCOQ/itlvDSmsimk9I4dyp3DIRM91spZPkCglLOzRRtBrY3sOSJslFpocY
RY4HrwpyI9ih54UKOPtaJlul0bc5yCjqt31KflZyVTT0rwIwjJQ1GTxZrqeUQE6KDVihYj0uoesK
xlDsZPCwjw0UA/6ss2ll4Fj1HKZK9uvcpQ0aHItC8Wwa1tCdxeTbeodbdwNPqbZoRqdbRMXQt9Dz
mnoWHLj5jFwza2M57kzZTvwkNZmOP0OTreelwsS2fxvJXB+FUncARLxq3dnn/knEEej1uIu8C5Yt
BQNqxOsLRIen3ynvGKqEkR6Wgnz1Iw22gUu7FtGK7Y7pkuVoVJjPHGTCHqqsbeiWepGVEksNPias
v0iPA5KhmB9UmBru9WyqnkwMpiiC6NpO1nylEPxdv1pw/3J905gK9VyFBLHBjxl0YYVZX9+cqekI
q9wXoF46oh7SnMyiiyFflp5EbdJmNl081fEW+XDcvdOBQeqYNSz+ajuqKeATB/kEpHgHSSDgxc4h
WjJ4QnIjuIN/Dusqm/SfKRcjur1esllXAvxGe//XgniPRUd906rfOkGPaXLFTjRBHxQYxH/ItRvC
47FWU2oF7dnOmHY3gvAYSY94sZT/yainsn9nVnN5D3I3okvbE0veXfrwq0EONuPQPmMCR/fWJ5Xh
nmI+Kf78us26Txlz7rIroGOXX9y8XHrahoAUnqYFJNo1pDx6LRMw3+bYOt6E3zPM6wgZbsfZVyAk
n/DJn0ndiOmN+JVZWVdOybK6jUOJ77/jGWHMwrrTLYDI6rF3ZxLSi1Fv6Zd+UoQ0E19vR6u2N5T8
GNnW4L7zS8n5c513dA4NQuZsRRJ4G/H9Y8ZpnMgLmbKScXIjA3lZNlFWIkPbxTac5ePMywFnSYKq
QgnY7sYoSJyNxwZtuU9yO21Y+HyddabouK4cVyIZUqQkNKCBEimijdHYQQ4LKbDBXBA1dQhsR266
xkSnGuM/N/fWRMDsLm5nkFArKCJLtk5jxzNuWiB97nvg+iAR9iZ01xZNd2PO+DTk7MiTIWRt3NGn
FMuDrBnVKw/TXE//B6phox2UAeDpcPaSZQYhHbT+BrZqWezjTBLUuTRuWEE0KRrHTtcBAGvQJlaV
h/UXiJHNOG8KX6ruKwRoZxjWQ4DOgD6a8KS5l3HdeXQtCtPD6BeD8vLPtPaMAjGg37KtTb+mNLVR
7K0bMqjsZmN5Ui3+1nekQxMWO0jb5WTUftt9m6qMfeuORmnTiNXUZHpBbSunar33k/La1t208dTH
hJOa0F0LgOYBHicR0zBC1jsrzkbY/noie/e9A3WAZSViIuHl7mA6staygPM6AKbUM1yFT4WpJDNo
0MV4l8spoWfqiHYKj7DPDbakaEJGlh4MVDmrjKy9xF72ijBVGe8Gr9H7FF+gUcP1mFsLn1aB48WD
MHRV5j8C+Kj5KFZrBPTkgF9QPG2HjvLazhOCnX0IGrK1967tsQueTPZueB/U1DKX5SGxjhMse5B6
2iwMzWILPdJfnEPk2iVbotqmcGhcQLzQJQX2JSEFdM+rej0hVqXNGk3mkMvWBEGD5Aa1daBXzpBe
M5+0T9KAawPaDpr/z96ZNcWNrGn4v5x7dUjK1HYxN7VRQIFZCmx8o8DGrX2XUsuvnyeL7jMG9+A4
cz3REW2DobSlMr98v3dZ7hVgFP9W4ffCh5nYgvAudU6loZguSPU8mUmgDGRJqRVwRmAJnYW0u0VG
kJwFoWK2sfGgd7+NI0aVO9dOvfIQValiWezrWtdSZe3pkiUOen2P+qp0e+vPwehmGOXEoakBvqpV
AoSuvDqcuLeBieykuGIOJ4Fhi8s9+LWLWzCr1F8rmISCqY6kdWkI1sVGkbO3RGhwI2t82oPqbMYR
jGbFYHBjmWZSfQZDZ5BiuP/7TiwNr9BqqIVGw7yScIJjVcATlJsMI31cSSmI9FBMTOqAO6eYQudL
3lqczOtjZMG0rEe2f0N/9JuQvvxOYBXEMxo6bErb6xKPYhzaljE1Q9xXM1wdsn1MolAxnkvKURTH
GjqDvbvUGk1v8ZwE56qhwvJZZo8T5bgakU6xKPpuw2ApaEBYOGSOZuv1yMvp6hPlHGoAR8HhbJ29
Sdqv8m8QXthVcnBDz+R85gUT/G4rBBlnDTAXReYxh7bEK9IgZADBL9OGHwgJH6FQI9CV8rCxTphV
SC6IfdbYHummm+h1dY0VtqjGeqhGjY2h0KAKdJGcU2/2rh6PYZ5quMzkDqB8WzykG2u+r3/6Fe4j
JtpjubRizstex7GnS8PMHTTia4lan+3r65H1Ds8lH8aKh4rhpuiLg5iEir4qf4ySlthpnGt4q/EM
ZJgmMzUB8Vut1GM3L7FHvSJ4MqJFGuWdbw0XfEAhKGrHaubZomwvOFa5tFyCWatEgxXg5IiaVaVB
aC9I2mfVDokoQBeHumdymUcpDnK0+gz3FcdmnBVombizKUkpfAyMWx4IZGzKSzaePOd+dpb5UpBk
NV8S3DlPCi2xaLJnFVsTNyV8rXy6yFTUGl3lt1xtMgUZhcFfO2J/KVFu76YoMtl9lVEj+Cpiz4IZ
gmEY03ehBrT3Jlp7cy3iOmY7ouI2wrwNGYwYju6C44qBkwAJeTcE9OlNt+f6ugprJ0tv8r2g1YV8
hLWqOoZdGPHUtJ8K5frkY4SzTlrllNQogYOYkbuuZ9zFatjunWv7hrHT+weGk+tweHoV4aKnypo5
2d3XMJd7Ekq8iaG/t3wLeeuc+dRRr69eqXJdWuVGEZDIMTdV3uHlp3COZGCUo8aPjFDMvOjCM/2x
/GRiEFk23BBiMvDyCYyeGzlann7F2S3TenfdTGq7lTEl4jEup+HWnbylO/dx3sz3fmezp2BhMyT1
gZh6nFx3bp5VfEwge8wYztKm1JWojTsC8wxEJ71rJLoZv+PzJlV4OF1R8A/AwyBXdr4NIqV3ga8b
izxc9ElXyzTOEfnqLoq2Ve+Tfn0hla9RbjZJJqN/jMuSR5oAyHPqQzmxEqKJH8K+38KWkNmVVwOO
8IPLzIiaSThmrPU8RhwDpozQmBLqC40TWp2xKLNnUU16hw7ZWs8ckBx1oUvwy+9x3n/AjHwwwUDQ
oaZt8h5ghQ+H5VmQj9+msNf7TBUbZF1vDOhgOcZgEDl4pB/Dee9RNWAqhJ4Oak+JQo7C6S2ch+9U
6Zu9239z3FG3o1+HRg4dkaXrPz2UR2QUVua6A06v/R2yahOSsijQiW+JDPX8VLlSYIQxMVkzDj4+
1gkN/Bk/toCOPcxWCZ+BRPtLm70zrS7H2Vh8m0RBfPzlEBc2I9GhWcFrGLcFdEBMIiomjaGUDiqu
QeUEZazrHi+ka1AI3aoN2PLqued1Zv6rmVu2kd4ilJ4DX//guQg6ftc6/OWp0ODBSgvjfqTZSPv1
v//UrJzw8cJkznOesfScOA8WKL0tZHFlC/XxnXo/5oTAO4cDkSSm2c3vdeal25QjDZr4KatACy5w
i+6LBzsb7fZgd/31xwd7f134vDueYGPlCh94/71EFqpnlMR1131VTY2sD+aQnijTtNYT0ceHst/1
6fh030PUZLoeQDXs73cAbDROZp6Xyn4gzNr0NyG7fTzW8WRNKAyTFKNlsaLhXfCHx/6G1W5yRPBI
bePAOqpBQdixUCHo/n09Qt+k7IbYy4KUYNvyBdYuCERcpbHeBU6GrprRLOPzfa58TEcp9QrAxKMy
LMHFGZnDo4siQwOrlip0E5b1M5uac8OgOZrvysqM5G/ktu/uN/cA3hXEdxvAHoL6+3vgOFEfFO4w
PQxFqgdyWIHsZQjSiVl8/Ph+C/36/vTG6WdKRxLeeeD6wGDvm1RjVQNBWDI8+rI6HWtwQBp0OASX
OtC/pb5/7b3nkHS4C+VUalDhr69aNeiC2hhNbq4jPb39p3SqmdjtAgPb8dzIUsQ+h47+G4YPWKdl
49ksBuqLLb4oVJM4pupV/C+cHHBVY65GntrUH4tvLvybqgr9wBcn5SjGqZnkvVbyygIw6DcY8ugn
mVq85PhZKrq5GMK2icZh/kKcabMxdlMgQhbKMGRTIDBCL0Z2DB/fUv/t4/M8eIOedsUitdwRpvP+
8TVcgfKJ1/ueK+F9SdvS0Qod29m7mV9LIDG0pZGcgssZL/JwU0uY7OQ7548qSjQf1h9KLHSxdAuM
WbOo4755CCn3upt86lS8xpvB3ifkihcg099VLTsswlsjxh/Bi9xPygmryxhHwCvazPFCcRurbGN0
qfi80HZRF2E7pg786sCUGzbZ2aOxGOjdeqjO47oL2htJqxmb5NwQV6gaSFeoccGlhZQ/xrS8MAmx
AdXSumf3W2HKDRfTyr/SZHQu5ykiYWpYGtNCVd16R5u18bmOMRTGTN6Nqfjh+J3ZaVkeR08Mj4kQ
uDf6piHLjcE29ykbgu4FV672HjelDq5DOOwxjUt3oGqz1irTi1lPY5CQgiULdZGX1bYfA1Twfpym
nwffxZzRD+Ef92NbHRfiDDbM1liPl4YhMR4yb2U/m98wuOy+ws8kXmZwhnU8oUPMvC7Z4t+U/EbR
/nayZkDQhWEyc1gepE33/92cho925jVOVL7wvKabwA5LZB35ydCnNd2H3wy/Ny/068E8iHK6dw8x
Q7wrDcJFwtfAO+UFX+sCjtBkHq0SOGJVFJgsSBwN0RhXxS2Iupf9hmTxy8g/XSZcHRBOrUx91+wb
nC4gmbEtXpqypM4TRCpMu0JYEN8+vsjTJ/3PtHW6Smnb9OmwJNAmb+9u6WQXma1oLb/g6Mg7I2yW
C4w0C6jFU5x7d6VdhHcJOVmQ1HMnqDdC1Rj/E6fjbqa8h/YFWc/91LptcFEajffAettBfhjy/rEo
KDPtvsQSye4teWuqtPyzGIR/KEEzbpU9258D7Gd6wuMtk9jxDKVfETCODa9w2exkQNfWGLAPbYP5
Ja2iHuRtaHdW5JjP5tSL9cLz+w3B4R0Jj1uiywC4DdwXJMG/WM9YOBFM0p+XF5wTuPlxIuIzgZhx
Py3Tc2kF+ZMwgmkz2BEYYdMa7l6WBN5tPn4yjr7zb56Mp8maun2KyxDL+LsxQLJiAdoWey/RAM7G
7rPNVpOP+zleu1ghbJQspj3xIaj5EqMuAEcrYlXY5l2p2kVNm3uR8WkhaG4vlpl9JvLZrwVBfM66
zYwrBIHeYRakmolCHIEM8k+VwUNbueDIKOv7CZQyxZlu7dWBdwcXRFU77f02u2lyLTxUAhnAyj6J
qvpT4fS5Zg13w7c5j4cHDH2yW6P0WSBcrEJ3wu5HbHfbJDqOKJlS/FpNLgDjz2ClCKvOafc0Kbgh
a+K9dAz/kMSz/GwBAuFYlGWEbnx8c/W9e39v0ZnpEGIoauSt8O8/FZgDCArP3QtfmkQ610Yj0sc6
ETPhT01JzMIIQeg3R3znxcGo8qBywLqlfY80AHbH20NidZS3BUvnj7RO5QW7TKNYhcNsXLKvT3fg
dj0zvRO1L7Uw88ckmvpDkgTmraECsfvN1f86tCg1mT5tKN4wcd+TAVvUxzjLoCKMkCDn9KKq8Ct5
g7HakKqAWNO0MzYERQXpu3fYWm/S2MVeSKe0s60IgjX9AUQhbeVigtfnSiMlIE6l0cVXmZt0+0aI
6dod4ug8InZLriovwJWjQ/l8CgTD0b61/GrtF4tTnxncll2a9cYVskCdGDZ6xoGAk/kGJ0iWs9RJ
ahICWL3XlZVkB8J+6BgZolARCowc8bIaU1oe9AgeHQXGQS3S3ff2RH5OkYt2hb2qZzISQVfXqAC7
GxEk5AJ4EFAmGgDAsPgDktpBLGV9NdYB5PkqqV14tfjvWuf0ckciUNzI/ty3VfJlKMf+T0kcPDsj
lYa/2yf+Ov8wUl6NdCwCS3/ZBgubxkE2jdkP34X0h5sU2iCaojMgO48MopT3snRDeO6WxrcZa6ES
9qhC+v7xIPmnAetrCrI2OwskhL+3AxZiQYeSxct/kFU6D5vTA3EXfHwPSe72O3NRwbFpcezBqzvc
1kE4PcV+i+IIQ23r+JuT+YcXVktVTchJNtSk94zdBcGUQn6Y/og8071vsPC8s3OSGTxwkEvWxeF6
yJv+opZlcZ5PwrrqS4+FDLed6SYhMxhCcjmqQ2IM4k+Y842z8jF5uf/NWb7dA+h33IUehvEqXnuo
pt9v8VURzkXQyOEHIFETPVBZOB25voQ8DJ2prm1XYSIwdouLV03rVH/GC7kWqwXdzniGV2D36BC1
ezBxznmwWyJH1gOrwI5cvpzbHaXeWjZ0R14f9P/rLI5z/eO//vX8UiTlJunYpHzv3yiiofMx7//v
QovHpI2SMnkjtaD21L/0t22v8weoCd+yNYIEzcn+19+mIj4hcXrKZwvjQJ0H9fm32EIEf0h2u3Ci
TMK59fbm32ILVNZ8msDQyvVYnhD0/idSagCfN+scJ8XhhcfeF8MB9k+nHdZP65yv3Kqq5sja+/5c
5pCnKuIJ2G6tl3JuDskocAcIv86l72hxUxQ/mEMdrSUZvZdJHA3XonIThIpK7ByP/ta29Rz/Jp7J
qGzdMj9W5cwCzdRx3oT9MVT0W7Qs8NkUNUGMm5Yb/ADRoqSp48KdKkYWFGUb7YsTltVlFRNNLOcJ
BoNJvtt6sjvnWdSwXVYUxcEjaILxI5u86SETVTH9oEoPvPQiwcP6GlbHtsV7itjq9NLEaME/c1XI
XkhIzHFXEW3764H+qQWjqjKOhnQQyiL9Utvax0fdayimukKbjtJCna6tdiIIOYv9r3mWI0/seuVz
Wyrb3uOUF5GIZ9G0zFydmGlrY3Cf7vLOanBqD7vsmyyW8jIi3him0SI3TiuzLzQQkf1aodwY5Auu
81CMj2TJzlr7imSTDjVOQ3VR35AzZXqEBsfyHJNz46nv8mQzYET4EJtdjFKbhJtVs6jGe6y7RPVr
z50wT19Yr+vVlIZmswsD7UjIHqy3PzUJHaidQabHsW18+TxAhqfBmI9kzkfSP2gg7DiNQt/lzOJe
xFVgHYOMPI3VbI/WkXqexmleO3x8LxBtEF/eI6RnhzSsIe/X3UrUZY4g2lGWzW4RhB0qc8NOdyyH
6tJqc3KlTn/NLdr2+Gq5KE1x/eLn5rjgdxyB7emhLqf6yQ6ILgOXLMLHFF/yZO0MONb3SrL9zeMI
3/NocoJHv8rIZcYiJ3i0BgOFfOurCg0zGtojWg8uo6DbdTZ6Ff4gpPNhgU9E4nM95U13JnsfNWE7
dctlUFKDrObCIkw1sghcTeXCBTGd8zkNTLnLPoPNc4HXPScwoquMtl6EkQnhCmH9RBQbW7CIvmax
cfApIF188ggggtrk2tf0L8dwR4vBjM573f0hKi7tX9KU7hYBP3wtJ/2xcdW0+RlNLV3RGKXqFIi7
yT9IX6dqT66+eH/BF2+1AGcs6xbpEXk9DanZko7i+TTFPJaFtJ4nN6ILI42aiwgH27zxE+UeTkd0
PeC1nTJccU5flLHZKB01ko5R+Di2We+v2f0g3pajrZaztrXks0lWob9GH1pdumZbPzUkUahVAx1q
j/7XkbdRSicgEzpgIhEJ3mehOwixbmyMjleRyLmsuUA2GBPI91n2JNw9ns4SGskQ7fNZJiWBLA4n
CzjGKDPYhl3TJypR2mcdVV3njjznDMe55b7HrzbDNFs/Urx+9D1JZ7O77udAx5N11eXcVnwdzAnC
ZT+IOrwmq4WNSWXorISiSc68MWeGYnfR7mVhWvMuaer8z2WB3ECyoaHHlGUTDxax6SjOqkEBenpW
MQFksOVeT5BJx00f2AsRiO54h0pyulHpXD+xXONEZFaD5TNOS5LZAzp0h94f1lXt+DPBA0ZD6ImN
fcxQlJFYzy1GoWAJ4WUazMEjD5O8FjR31h3myhis5G1XP/Vy6EJoO/ZEVFsgztLRL3YLgTprU0UO
Ed999z01hIX2mEXnMQ/y6d6HMrmGEsLAtluwGnZMFQW0KQ2uroCRQdITLII1OE4O3SQoyYzjlpES
PAFX70cr8L6zMfHE1iorH7ZdCKtmZXcZKd5RKs9Fqe/vjNHyYwsoc3AHVMQcsBg/jZYjt4RZ2ljv
9AJyEBbHAcpUWZ+LSadP5n4cr/GejW5Lqy7vctqglOsZEd1E7MT2Q1At3g7L4/mH9AoBotYn+1T5
1kvueIt2OJ28HbzC9NC0bvJDNNN4xKR5Pq+LklDENA/XeAY94LzePsa27DYlcCtslcCH/mphKUE0
TX6wpnLke1O5M/2CFmhkLj/IRcl4A8a8u/Sd0UtXKvVmudJyxCdCDLvLfgy9BvdszzofFmzYifR1
Ns44kmYWTr3trhM60QcnavCgaosfGOfFcrtQAOeraW7mCyRA/jUi/jurwKJqixIN36gMzqx1yLFf
aG4XKcDKTTgMCq38gk5x0zUZGxCUPGTLD+ENnCRmk9mDGAhWe2eV5RcR0X5e90G3RGeKNvKhzoid
eAhrUT2OMVQrPA1uYkc1dzT2IvTXnXUXEox7X3o9ioFh6v1P0AbNPQaq9daMYvNLZI/TpQz94xLZ
7ucBV6WzijhFtPJjWQW8Hzj47FU76Rd/hGQbkN5c2zddF2laVR07W4JHzMNYLSSQhk1v3nZxVW0n
xFWoKlsLB0PRTphi99hZ5KNZmqhm4vErJKUCGq4cnHRnFsOAz0ST58PasGS+JU6N7eFk9ke7zPyn
hH11x1IozE9DSrZHYRr1uXIFo3oU6deJ5f2SCNThurfNr2PrN1c1InxwpXGqXWCFsD8gcUvBTAL7
fsbmE4A1tW4zeiJ/KmI0v86ow5pnBPG5uk3cNowu+3bJzqM8K9d1036x5yW8jWF5wWPKwhWl4HRQ
vSXWOQZK2AO0F0MnjE8tfPNtZyO2W+EM8QOvz+nQLEm6DZ3Zvk2TXj3hMBJuInJDboI6cD5Nw0hY
X1bGGB6aDiQ6XCCyKzNs7HITD6ZxK1Gobzw5jFtuFw4Z0p0u6q4ovyZDL9dYMD+EQ21eAMY89iyJ
2zhlnGKt8mTZ0Xk6pt0BOFh+GccIzoGXzS3uNZ2Fm04cX3aRBHHzq+Fq8FosRPBozTwbzqRpYYnq
VfVEYFDcS67Qt1CZSpFvohqNOYufce1KhopJ0G8x+hhw59bnMJXeKsrdQhOL5Zp9craB955vrFox
DmysXcCHA1aKIFw2kWxoI7os4TtM+MxpZdu1uPUj6d74QdvfV2yBWOhLZFZdGvfrbJl2mJMRo9hm
wO5D9OCaDQ5u5NzC8pjAD4HhdvCCivskJciSLkaa72zijjaTnZMOU5tw9obeRVaKfDe+wVZf7DJh
zkezbdXl3Anzs9Hyi4rM2ytmILVPJnIrNz0KE4HFxlldDjFf2rK+FMXS3MUOpjDruezG7VBp0Cge
K+tigB9zmySuuWlD9xyzCXI14V48mB3UtBVhMo/xEH9BtxJCtbJI/Y0mFT2oOoA41MEcWDWduHBr
4L3JjIj2Q0CJm43Lc+gxRsO0o8AMm4SrAX/uOYsd3oSiz9b15DQ7kilYHXM8WVeNV+Rn9UiGZB1w
4Yro1fswrbxdNzVhumU5HPc+pIsN3XVMSUK0NFNr3cWQ0LtVm8YS4VzUXZKiIMXKjOfhcmolIKBt
T2LH70xXXkHk5tpjvnkBl3X/9GkXk/HgOsseflb+vfa8Zg+GHm5zXVrVRdeucNFGXy2tolrnRepu
E6OptyleHWt/8AfgF8vehHNOwqdq8CmiZX+ZpYW6Xjq/Fg+sb4gcS9zk1boIpuIm7ROx7jKnuiMF
IXLvcgKUMXQwghZkMaUsKEf5LaPHHO0CIjF5gUxqQUwPsk8Ri2yk8ulQZl23nYcsmNZp54e3HWXA
lZ3jJ7IqZxF98QpFQvIiUmosGTxFJLvdLSHWxOiz412TDfPB6RznGgVi066CpjGIAXMgB1V5fzlZ
zXzml2hHYC12x3gsLpqxuaz9Zdo0gd18Kgi1/g4QZJ6pvmkvcE8Lz9rIf6RQG3cesWTKa+VtSpw9
nEyVZdkuxZA9vyANnMiJJFhIjhxlW6frih5OSiiCu9zRcKy/TTD4yN4M7Fyt6hKvPoEoBSYlNjrZ
0BrF91m768BpWz4ZMSay2wjJ2fDN7+tjPcxlhrvKqztPYTC5nYcT/uWx8O4qK/9cnwx9ypO5jyjN
Z1pH9dWE192KcI1mOM/GJNS5CHO29bM01giydMzPScHf2nHV0rK80S3TnYP5hGYUOvX4eYlltZai
9SPvBnv05obV77wvWEHH/U87+ZtXqPdnpf1bPAlRkokcWsvPAD8tiS3BW3ArwqJ9xqWx3XttK89H
wU4UXYl9XGavewlaKzn7+HjO29aVPiAB9D5CN0AsmgrvW/95rJB4m121L3FmOvQxpXvHxPycGT1I
Klk53+PclPI6Uv5AGk7rinBed7TbiqvUSXNmPl7sLWwF2X4qWmVdF4a71BctzYNHFffBVmUVBaBc
ypCyrXC7FzMyRcCGXvbLve0aMLuaKWv3yTBQZtap80xgx9jfdwQgdrultywIV6WLXc3Xhf1EpvMh
2LBFoSOo9SP2ImQaW8fCE/UTqobuhSFT/ukvqrwXqCHIKW46ft61zfrJLGBTHSL2RoaeO002WJYR
3i5GN3SICdg4nPlRBZOQH2w/yaq23LM2trDd7YCFn0574cJtrP+IfqGfgecg+SXQyCFg4xcIPqNC
JjjbrPbOrPfLTpKyNxjwNYh+17l+B7ucDhS4kjKA5p39fnQhsCfNOudAeZzziGu/wLW4bHg+vHvy
uUt89tZRNbEJgThbP3081t6ikPoyYVH5ATwEmC0ieM9EqI3Z8syZmPE2rTFJG3HGTppkpn7M2301
GRwVljmbAGMs2LZ9fHDrrcHH69GRZaAOtjwB/eLdm0VH3KCd0JIZb9V8uhojbKuI07SPZdqxbZaW
y8UrOZMBFJFnsYIXOrDxKyMv39PN/ws6/n9487fwpi95Nv87vPn5uYtxLIQh/RYVPf3a32YylvsH
k6Tj/u2bDMto/NH1//UvNKbyDw0satSTye5vw+TgD9O0cbxgfuVVc7T/y19GMtL5w5Hsckgzou/G
rGv9J9jm2/kUlxqGNxA7SnRoWzav2dsJXAuKIH0P7m2h8JBZs74Ot2iXe3eFgLL7+tON+YfV4u0b
dToY7fHAM/HBcblcYN6f24WRM0nk1728jQ22/qWs7OPcq+ARA3v9MukpLzI9+Rwo9Ir/h0PD3jJ9
uj3uL7QibEqsqa9onmMvyaED9MYncc+0pfyzjsKfmFU6swVy68IFjOTjw79dJ/WV0xwFosa7BF4m
LPK3V24LJD146orbnMYDJRrCyGZt9gNLT1Lpw00a7vn4mPbbKeSvgzJUpKW7k9575kVZl+EQ1YF9
68CVxV7aF+d24YJq0mANHjVd5iATwcEHa2ApwcCnf3HBRs9yottBo2ChndWgdtO+Iwo93C4Lky5N
f6a80EFKcKnqcLY2yVKBc3Q4TMZQGUpwrI+v4z0DT9+7E/BOe0AzGd9RK3yEE8AXsX0LYslYGYiX
mXKNyfkdsxxUX60IcrqXj49K8+Cn1vbrzXNpH9JA4MXgz7dPDCDRSyentW5TS1nH0gAPa+BE/2mm
U3NLVup058jauoZHACw8x6DQHx//1xdTMxzpieJsyLh5/66oICjJTp6sW9dwpzt0MfXTHAzTTaR+
u56/W2tO1yosFlsACw74S3ZPOHuo6czBupVJMN0ZNX4XO6TJQNuhEN0LwcfyWZmufjtNUObaG3lZ
DPzaCIeOf2fe9E8Xjt8Ls6XlObjmvJskbGlUSBRD83boG14S6YV5dbD7wlSrpMyC/8NLov17eS/5
D54SXamf5ySrTs3EEMq+bTtI4iWa/+UVuR08E+Jmq4E7BUbaNAmjPMgXSkYVTNEao2n8na10qS4N
V013EfguFuWQBQ59poKt1dOriWPVjHxqylvm+JDILwKst/Pdx2PlPU1ZTy8w/DzNc4Fc+guhC6ev
cPDnwLoN8aJtdgvV+P40bjBcrZ9a7InW5Oky76HuORQ+SXzkwlO6dXPQ7NGIUz4kmWzys2Vc8nZj
hWb34rfmdPfxef7DLOgJCkfSzDjZX4iIGCgMyg2ldesQcwRMrwFyqwYgt8zQOjbIeH5TqeoV9M1b
jAMHo5qsAtNy0IG/pz5Cf7ZTM5u72xFk75L2iPOMqkr/TwBtD6aYblrhAniHSUhlD7Mqxm0RjdZ9
Mmh3T4E9xYtAd3eTYmNwZiIRe0oE7R+px8TpFnWsGu4KW8bggMAIMN2CmGUYiTy3Pa3SxeDmN/S9
1wr7f3g3mEBxJTxnQG1pk4nxvh+5+FngUYpGt+Qmz+ugnheE1p6RfsIfdu73pYrVSLyySvuN7RAB
jWdmEca7gKTtdEUakzDXMwgk+jFbbc2i93bqlAcdu91gAVVGs9Z1OIBLpliAQMx4NB5qA7rxBgIu
ktsRXyJnTdcUGIeEb96MVOdPswToKOqUToD06/J20CHVflekB7vwq2tYHh4+ylVLTg9phMYXa/ay
T1Y159/NrLM2OXUAWZfzsiCHnlT8MpMT4l70WDVskp71+4KeayFW8Izqm+aUnz3FOktb6lhtB34C
OirPM+rHoczTcSNCz7sPCDAyiU0huR44DTBkVUAPQs/mBoB4bm/731DbtT4Yf9cjUsHYw6bLNkjM
3Bvs+89DdicHOxoot2sVXkCBD+7nUdHJ9IDs21tyuSyJmbumhDWdjaV1gUahvvGiIm/XuHbG4QbL
ruAxigeW3Ywx4oGSEKZczcEWNizurpQGWCLhD8/ZVY7z3AWSMqH0mW0oAXW7F8+Cuy6Z+TW21ujk
Q4Gsjvg8mpoT+Jx38DMvG1iZrdgi0Hx5jTcXp6xzV1TNASUyCejRaxx6nUz+uYRFf62IEsVSC93k
KrJjEyAybTeExGo9qGx3LfGQVcPeajTN5YvV+QSdKp/Qa+qAb2SyV2z/aA3CSwp39iKqr3h04uAi
DOhPbh2/MFCmH9EQprptHJUbE2UPqsOwLwFnaoc0GE+tGViFKWgIlNPkrxBOzSviJV9kY7qw6ZOo
PhqOn2QEOPh0Uy7Kkryko6dI+A7IrSTA1dsUXuHrLIUZyrdLYBKhAzZ/WvZoI2XOZGKQ6wm7anYL
8o2soP5ixADfnG6Wlu2GTkPh7wxTFz+LM91V4EMkz+uEVTPyKYaYweVzQyo16fX0gGcgqzB/mIyO
JzaH9HWLGRL5WnmBbpnp7lmCFLzDKMbS1GVCEcQaMW79FOAanaxda+GhAq8aa9NsUagjfa4xFKVz
j4UrU3Yio9vBo3m5XmZXPod0TGCImniR9rmObipG4jXDJXgERuxeOhCfc6BNJh7JPOTJItgWLTGh
gJcxrUjEdXz83OgGLzsOlN7YAj2igfM32VxUl1mZ2ceGbEJ+qMrBVXqMjmFleYCZuQyKaGNZPd9B
tMw14QdsXb92EhdP9xZ9TA6eW0y44Lnlgp8AhEivca5mimFf7R+ipggOgVdNd3jYsKgnBjPqaY6k
hvMPocMiemouhhiFvTSBvpWnnnTXDfz1dLa0NmifiUZONxVlp42DQTLfNKdaJMtdABCadDRYI0Ad
YkIt0oSoDGfdilfWEmxPpIEhYbsh4PKTRWSzPPdTPW5mXT3ONvfeKnRfmVeSI2Wx6l7whZjoK/I3
1c6AM7SwoRdkynlG1xFs4Xx1L3XOatsEUfOUZgXVL255892pUMCHsZwvpjR3n08usKRE8GgbTgaP
3/SFNgCtscQT4hzDcfMax2cDSmCILS4WKNWBYcSzA3KneK8aFp4OrKcLOSMzNSnCqwo3A8fK6qdw
0HHEcwYnZBui4ngmW4kOOF1C1ARN13Lmit9Bq12NM60UowViOhU4gy5VsoX2+uvmR+g1eU4Jr9+Q
lSeJtjGyJkUD7AI/jM5MTxr/hefYw+HqjGWHE6xtHPNXPhYF6bYurPAbibAcvDy9QlboIGtXuG9Q
BrHy9Jt2vPXlCKc+6HhGdehT3PFlEGnRJBoq5rZKb1WyuECuPUMoYBoQ5y5P+rrshHfO5VSXgob8
HSq/eV6RjcLZ0sXTzjSsuL0enk6ZW9dmlLIyZeQpt9tUUa5KOt/DVT1GRrwvYhJ5t5ZLEP2KTGQa
tgBenEzoMICJpNFQnOUHj5NKvGOa+U2+7RszOcNTjzFyQqTiYuSeEpfD9Z8mAbIlp7s5KbkrOf7b
B3cG9WtI4LysXX34YoQucGIVQFOtn1KrogOvETzK/WbfhIKnmthIVnIWcu7DSAkalEn4iJhiupmw
1HhufYwaMmI1CWZIFoP8Hoc3vm07zuQ0EiUdue5yTJgCHIsafftKJJFRE3U3wRTa47lf6QeUNpKp
ya7CZl+0wJ9Jv0zBqmc72iFpQ9dAe26gBrJRPt7PJkinSFPoHXT4CWJL2YbIybegCgE7Q3ifLbVi
nsdtdU4CTaioedEbOoc3pytkJaJG7lxmIDw7krPThncZjfoJZxpe0YgtasLUjRcFW9rj0PBN6K48
ll5XaQuSRpwkTpQKvWzOi8mIqpGEwCs9sTicmjQz2zdI0rGLTTsM7GT0XWtrNQWbdLTyZdPq04ld
riJD3vNcDz3va6n5UzQoea2WWYQbTyxiN3Q5jAQHB2i4zRkvl004KyT2rnXEKmbIY5+fhdMdvjOu
2I6KBs2cOLB5HDLQnLupHcuWxh1WW3B6TOf5L8ZKAvEGBQTb1nyQ51lTGdUWf9UxvyiUy2/nQ2w3
95CcRyr2MONGE7xtXWO3q+e+yU6NsyqytKVMrSK9JZc9+5W4YExAAQ4Or3OR3rir1GZe0BNrG3ms
OKexG2LMEeFXXuPy5CXzt5Zl6PY0PqU9hGcpQMCZKjHluMJHiSGCih7CB+mgF6jUkLO9Dohi/G/2
zqO5biSL0n+lY/ZQwJuJmVkAD8/SG5HUBkGJIrxN2Pz18+GpakpSVUvRs+5NR3VQ5DMAMvPee853
SvcdYljO7Kgbu70CLyQsVph+bNNLOd8VNiJTWt16pDHfrHiQ20q7AlrBo5MLJa0DhkgaiCHrrGaS
xAI6rU4TAsYA+p50/UDf2qqEXRL2bk78bOEg1G2oPbUrzeQjcMtpDxbAr2mjFTFPloPm/k5HiWZs
QdzMN0NWs9obqXZtObq8pVLnplZpyQ2riAMiwFrikeJFO7WOHL7sPjorXsDakx3iTGsziA0IYXBs
LBORSz2LQh13Y7RtFWarYTWs7zYbeh4zo1143bhZ5jtQcJQEDaUaMUFoVGLr7EJacGFBDjB7ZZOZ
uLsRVCsNuAfNTed9P4xVcq0xca4PFcvoVaeCnqRo7Ff9U1pzt6taJLuH3ho4hMRK7n08hwxUBDjw
eR1vujEH3bkf3Lm8hhz/JVEiJci9TOwtSEm+07GyT3mcvccGYSPOmppt2JTUwVgbPMAzmjq47+xI
SzrJoKfl6XFCWeyPebbwPafY1fzamuS8U/DqbFXYZiNg/Jo59ziXh7RpskuIMZoWsGuWByr7eb+q
VUhdbZrqMqqN+t2bC84Ltj6zGHLIjPxO6L0bzrPo1SNB6EjGsojo3QD3CmeqwSSWXS8A+oNsoQtD
p2gI2gJhzT2gFy5PVzb8b+tpfEmGJecbOoA4r4yp20NWZ11qR844yOPnuxZm310e95zw5hZMQotE
6Vwo50wYThP0tvVVV6eE2vH2UKXQbNJrzgcIeXin83kziRLWbQmdKP9ac8Zkd0F+ECL6MQ7oZKKP
EcGg0J/W2jlWyTTHnJZBLerQ/z/UGN2jE/00xmWoBS9SL2Zm1nja1Vmbpym9eNPl4m5sY9UMcTsZ
W9iC7J8ds579UMasVtJO9YeRVw7O6yaMSRZHZLNGuLQVz0SxnjebyHMvys5Ny02EZOBhmk2cbAVh
ihAVOaohSLvqC7wnaaTkR6W2tna8rsxS1uxA1HbJXreS9Ks52qo4AWjiievXRBUrb70L5dsJo61P
w6qKK3M4NwfHQX55oGCb+72gvvHJ3Oh2ULgHrJm67lKrICRUczTtsM1p2Vng8gL6PHwlTqawbUSR
TiVxnlfZTPkeEjrWm7NYr7FmngcZsxl9OzJbavmOj2D26ZKV6jbOS8cN7aXXt7xy8kCWyfxIfr28
SEj9fUTikG8wJXiszlQ7couycnDALACIABLTKDeYj2qS+qRXuaHRGfNeR8j2ZfVJv2XeIL8WnCrf
a9yOHLcnZsGcq3Q6F0K9QN1f7wqaK88Ile1uM5D1kZB8B7ojbOu5PVoIuK4A8QEgyOz0qWz6+B5M
zTgHQ0mmSi4sdbe41nLlGU30mECn+VK3C3/JqrBMclKuvPhGAtJB2aaiWkI6qnYEgXij/W3e9d8J
z28mPIBD1n78v5/w7F+n1zT9frrzx6/8Od2xzA9IzVWalbgWaO7TsvxzumOrq7R9ndLgouaf0KP/
Y8Sj6x9QZdJqB+/J5Fx36UD/MeLR3A8Q7MkZ1vEzw1Pw/rMRz09jF85IDGqps3B8wGeg3ftji5OG
RSEzaEn3QjQNnRdZigUkHe8zkMT8XTQmXYwkLTqEJtSBSZIrd7qH3KIyaTsHReqiuxYzikMVA/WG
qCWUc0oTWjOVqlBV/o6toF30KZfTm6wDXO8r7H6HOpnz7cDTHzaAUi90BbcpMueJ+IB82dX6kt/J
zJB7j7QWP9GU4WslFQnbz5zMa2VOk2tC99A1JKKfCBZrllegiEu6QW7naEFCLAFy5LyTW6dQedIW
pfk86En2CvRguSF3C9U6B/6XhRhFmmSYXgNjkf3XsYs1X2+o5GLwCbfkyd+u1S2NjkLojwOpI/nm
u/vlHwZf56b1dw279RLYtutwVZl9kSa6jmq+MxCUEoK2Egn7XnaGd7CMwQo5Q3JIALtI28LQ297x
U730bvBO6RcVOQ6p39hubaF4RjAlE5xZ+HrrgyeH8VJGVnKlszu+YeRSnuB+ibtktY4xiyes3Opp
drhJX3wsisjdxUnXcKA16mvX7R6p0K09KpELJ5500tL0nZN46I7s9vOvP7T30+CGADvAtVwJ11WR
XOCi+PFDN/SIyHlqsCLWZfSirVc/hlX8zEiU6t9ROxh8RneAu92HJtpf3S/Bcm2FkcnLeZjVz02u
8TV41jRfxxBXCKMyrPto4b9aQ9e/AkTTTrGiT9cJM7wLg5CcG8uNPjL91ndemhYfQdSMgc0Gv0+r
qSJnoVN2+WjYm6Xu+lCqJff0Kkg7qdJ4q+zhYkIIwlEssvaLy0DANyOyLmbEN7M16aHaeAlCm5ei
8cDFmPX0JU2QBRO6NX1p4IgenAVpQNdTCUV0/jkwDls43vMdD2V+5Yx0vgq6P/vceCM+jaxRO+ps
9JiZhJdoEm+dIhYhUzuFI1I7mbdTZYfzNx1IyK6oTyDr2PjiqzS7LBOjvQCHpT8tfdV8dYu2JLiC
UzLCOItacpaOBnhGiD3zzvQEQUi9jNZyiBTW8ZJtnA+nGwMlR5vIbL90SeYF0oz1OwjV87VAx3Jh
ACLcQkOQeyiWPJvElTImnsSTSc7qZw+b8YUJ0SlQ43n+TePe+nHNWj02ACBW4MY66MY5vjpyvntg
dCK7o3h0lLuEcKXb3gNBoMBi+YiVETCrM3g0n9d7p6vll0l3ZSB60SyBOS3JW9bU81VD2NsRFW37
5LRms6FeV3dkaz7Tj803iOzKx7Llr+Qj9cWa2lTtCq79RR0Rg6L2sQyFFc8hzTH9bla73PQhD3i4
cpTlkoYuOEBwjltIbfq6oNb5sbOaXgutXtHDVB1a/uY8zlcdEbu359u2yVpQTam9XHatpV1oTR1x
onDVZ1cpBfZtTTwxZGyvUpGyvaMHZppqIBn/XKn5rq2RmQWggwcY+cNg78xF5k6Yu4l77aqwdsNf
P7r6j87W9etHXeDiE8RYhe/KWR/t777+qdUESaNddKd3jY34iAmzv3Stcp9Jj0+gZTro1VYoD9mS
YjW1GCYgW+uqZN65HFsWqIsMe3y9aKOjS0PzNR/tbkHTN+GLaghrfOlMTmq4gArt0KaD8puJ2D99
AHPdXrF+si+T7vDjB6hkLjotiZ27wpZ9SEtkvmqbON622KI6VDKsM1FLMwCbJEtMlVhKaBNW8MqB
1Dppkx298+wZa1ujfjVmR7uwAfUdYTAO1H6FGz3QuqMoSKq4cP1ff/nn/fivzeL85WN4czRNx/+o
M9H78b1PJYYvaU7WXY1Gn3GUENE7dzMBlx2NQaI/UnlJLOR8XThjtetpfKfQsCoksk06HuvSTYPJ
07tDYU3doXZa5QF+nrfzJrMHNYiB6Fq6Ir1wEKzfTCXwTb8Xk3iHS0Zf20vNzyKahoMqpTsGeUtR
NZhTXu0cBJQBgjfpz3rHMjQM0ZNOo3evuIp7JH1Bx8/l2NtCGPG2KZL5BXMbjphpjA7pknShrJzK
DXp0r1+hbrBe6aVJ9plodC2URgNJvc6BXdLjBJjV+kbeNIfCHKOXyuFR50xA0bg+epGnxG8dyusx
hCXG26MTc5Rzp98Bb8diW2bGiOOgTd5U5OvbTE2iF+688atZlOsKsn41mRMdh7Qi3k1d5RdmycrX
pJ2Kd6vMH9RGlyg+WztFtJp9wTZHGzVOZuSYugg6xkiBQoz3BZRxwdypmK/wRLOX/PpG4JDIlf7h
TiC4gDMDgkfrfBz86djAWg0HD/bNHUkdvRMQx53M/nltJkWp3WETwOxPHxMvFNOVLUex5tXWe3kr
NdakMC4FOXets6FDWhzbtBATni01peRXsrT047ja9m2+Pq5I3T4vuOcf14CCz/pkjl+H1DGVjWcT
KbARiUtPCaxAcTkC7w4xgi/cB2ZF56AwiqjYFhrjGB8X2rB3Y2XeLLJxSOYuH2ek3AbvUixFoOjp
zmtt5RYT3DJtxKAOb+B6WSJR7uODb+v9rEmcZjy1e6dI1yPnel3Jte6fxJzvLSUfl81M55Pe+/Kk
0VjYGJhtfN5PAgsw44GgquZmzXRhBjaJ2V+ACNAPhEd7JMFd3UsPgKVv4+7byRZX46U+RyZ52kOe
fGQfSD8KJUMiTJa24eJfL7MngT2U6itv7XhPgabOQWmwGvgCnt+b4uE8UsZpPeDQYTmqyD13ChD5
TSfXBo6RDH3YE3On8nFzlrwCpLQKdr7jv6N+4DFYEl1GgQsH1dygL6geYii1h0g12XWklhmfE9D+
SxBrdpOflL5fjz/ecksro1ZCIrPVz2VRs672beluFlZ2NVAqqV3E1pQfF24E8gsnOs0A4BLmdZph
PGtMqPCYkgJ+S/MOmq6G2oUA8WHcE2nIxFdADH9ngubC5ZMKfcmS8Smx1toqNJRTaI6jR0lvA5HH
5uH4U8c4x2cUaNR0Sjq8Xlau+FYTqRuMlMW740x3fd2uclGOrZE/wSMOiolIb8cpkxu9dKaAzcDj
m0FHfXt+kP5b2f6mssVQvXrn/31l+4QG8V//6M/+9pt/FLiO8wEJlg3CQNMsYC6rCfuPAtfVScDW
OeqTNK2hItQpLv8ocE31A9AwDUCG4+HFBun1/wpcw/kAjMVW8Wcj6Oak5/0nGsafUzKoLAybMoMC
m02Tc99ZH/PdcSVeTPyJWZwcROkMp9qtaNJXeiNOxgI4lvRTRjr5YGh3KMFZAQGlqOmcbsiun/Z5
0ikYi6LB2Xa9191TvkGkNgoGImQR7xI2G984u0Gwc7VbTo54RObVLoJQ0Om2QzZEq1PCxFFCjFdh
kZYA1Gf0FqKeV/MJHPkjSdYDBuAlJi2vdONHrRIe8zlgMgFRDs/eNH3kdIurhfjd5RHEGCIk1OHb
dFQA468+GJ5g7YgIFXPMvPpkaFVjmZFK1N5ZxPxi9ZVas+lUB3dNrdymUZOJTTJn077DA3YpJ9g1
8+rMkatHJ1vdOlGzGFvslDx+nqCwANu/srixcYToBNNNuvp+iCcZyTuZlvI+Tixri827wd7Bjx0V
1xCd18caa9UaBjteuuaydckMCRQg8xA3a9AixO709zm+yJuIjeA2OluU6rNdqYbSSeIQFNMNab+e
T6ohodU0LH0bD9uG90wGqMCeZdYkZuoKiZ7RbDwNed7sEdww58Y5BaDzOkY/T6N4Uc1i4xDXFZjW
ZPpVEUvzoseKFHHis1dcr+x9mIh74pH7R1MsGFuaVGqhMkICN7MFa1cnKovrYQ0X0tX3PQawdHWC
DasnLI/6jxEY4KM3dY9LvpgAotXqE/iy5agl2FxKUPXE7S5hrPXWpsji+E6wR5IbTOLRpZuV7VVx
tqh5BYB2vwHEfh0Pwr7JDSXaKIkzvkRdpN8CWs1CONTzBdvo1/5shKsWUN1Rm9INxI12nOmYdplt
BHAy54tiddMVGpa4ocIhoBn9M4niFYZwJz8kZyPedDblzWeDHoHn4pM6tcN7mo1IDIF6n7K4Ne5z
clmA11UDThzR2kE/lnxlU1N2l7iiP9FHHq6URldCfVK/Agn55EwTqQqlVbWHcXUUFqu3kJAlTWyA
X7svwBCGB6kMdZCNUYHxIsKayCEBm6J6tixGdl0VUJmm6RM29VrdaAtDx1AorZhREuF7JMZaDy2H
6HAGq6N6O64OyXz1SjYtGqkAXH90O2KlnCztRQrvRe3g4qCfArOgls3es1N0CKaDqWg3rrZMzGD2
k4VTM46aryqDr2WNZyLwdjV0WgUTg+ukMJFjYH8NQPbo+5g1546/APHAEMmVaNOTC+D6AB6+ZCJk
mwnt3FhM+qU4W0rdaO7iYOial/JsOe1W92mnim22+lHH1ZnarR7V5exWXX2rAwZW/GHJIT+bWnVJ
VPd+iLSSXXZYshP2uiwPUwExwJ/V2roUlhGFjlEnB2a5Wtg2/eTbDigXjbbRE8wzAES9PFWqo+w5
TiS73KVxHdk6sRsRgxtPXaZtZWaIOuYifwZauXBwbqeTmzroVfrSX8W9tPGFSWJal1m3SV3mYWPn
uOynpAzcMTfBiJXtMcsNItnww+xGmGXBqJXx5TRaE98AGQvo+lTrYMEOuMSHqnycYgyZxWlQ83hT
FqJBBhPXjIAAEW2z5mQv8zOJ2/YG3Ll+IEhIhhb/6lRYan2pFUaLkNJU5s5v61ZH9DWgIT3kKFlY
qbr21vA648G1XI4lNj33BOzSFCyNXMhJj2on8Io8f5E09WEIONMJvEjms0DAq3BJLxgHztdIerst
OhXNn+V4Vch4eUcfMPJTImsSK4bp76TNAGpCfDEju93YNNBIarcrbVPr6nCISo66NeYNCD/DJzYW
gquhO+0r2U48pVGtkKnYTBN8bEBiX/SK3SakIBQXJLJ62zHW7mNEf3vQVuoJzU8TdJWb7QoH1BX+
sr1omCNCrnXhNtdLQGrJuCdARz2oC23RyMuTg02xFK7S5pPdT6rPju1uRaPqF4Ojeae5clIkKMUd
wRBAGkXs7BhDCRckYvo+oKqoEZm5uLgb1t5JGwsEYXqLkEErmXbGebtRZ+Om0+pAqWcd0D2P6GXS
xAw6VNAledEoAQ0Kb2PpqXYkdC7aTkN7msuyDVU5izds0YRElM2E8K3A7W8g/pKDmRw66X12sZ7C
u+rQAcVDOOTT57I0h1BFCxIOA9uN1iUHunMxyWQY8cvIvRq16K4XlXFllDr5FcNo3cJYK7edIq7i
JbsbVKHcTkl2M/O9HqPZ0nkai6vYKeV2tnOPrTGFhefbo7C3lsQsaBJNA+xtHHqGz/PyaOYoTaCG
T+ZdO6SxfUQyg5RkEWpchzo7J9VsOhugPlQDyqVvTvWihjYKPjVMIo8xb5mqnvJMuOBM8BP+f7lJ
Lbh+THkrh1Iq14rCDB36bsu+sdJ7y+lW3ugoOcoIAtwR6iHkCICeGD7BWhj/VQ2//FJrs+Vzjm+v
dci7yabJOvlkNMP8VBJLcXT6TDsNbSV27aJM51yvmYTshZG+aucTS39R8R1gfdtTGUoUnKyYaxTC
65K5hJDUQ3bEXD+Qm6Q75Z0rh/RIBoigN2XRkPam7aK78VurD8qOLr11I0g62k5uC3a/67PKLyuW
1xw1BzH1C6J9Urrjj+YSNaQ0lNDIG+QAMCYMc782PcaNKq2BuIlBm3x2N8nE0myMU9cMZRL2dKM0
gUB08FwmgaO6tQR7m+8uiUvMlTMA98gZIS8kF8SwWsVIG2M13BaMNA4KtG8OfpE6EHtD3X2tWYrd
B3Uv23SbW2ipatdDSJsYg73JKatehJUl2mbO1OzWTbr2DlnUJBCOLikENc/aCZLzth3+gb3UEiKA
0OuPqq8unYNTr1v6p8LzvE0kPO2CCI/S8gsu/rM0UnNrC2tn9NHQ+qnsB/SO1YSuFVUK9DRjBBOi
TKMPPjwOjVkpr0xwgfF6AmqLoGSWdDBTU32iV5mRQkRycxCDg2Tuu5gVsIy8V6HC9/0zi7cMDb6k
E3Caz6aT5zzYDE99rii20iLH3+Z7AHvCqR+yxe8GSw/6HkdkYNpJeV210PlpoCdD2FvJZUM8zNab
yv5iGhzrYCcuLVd8JdatIAyM7FBUVzsTK3rocdGOLjEp46aozOVtjtzkk8eZ+1FfbOcU0e5HlExk
yIVQOZptoliLvctStYxAX5znvjTE0xJRPtuxZW4LRcaBPlvqoUMc3AWCmMKXNd8APKyLECRlMsde
onuXRbYsX3UlWovhVHtlPU2P6aRoDMdN+5kegFiCvCudaKu0aeJuaC7rftyXGMCr3rjDkWyEIMwr
v0aZHCIbpW02l8M66hpRC4zT1UJA6J1wSKCChIbR2cp1v86b5HWhndj6el2bWy2tMVA1WoNXVB/7
oKznFMti34aKndhbfQQ9hyVnvsBsI6/cVjb3DYx8K2A9z97rXhMPpNAUz7GmFjGMgMw7Qp+KjsAm
1CMgXxw83K8nlfCJW0P2UzCpTX3QkUSFCrGGFPNmEwKm1Dj7q3ZoWRE0FcAVOUtzWW0nu7F2WaFU
h1kFF9B4xfRQwzRB/9qFPRkw12mMDjtb7eKZg3GcRWLc8ADysDijvhEjK58BmSqgudSE+Wo/X85O
dJozrV+v9vT8bFRPOaMUpdpygMLGnpwd7c7Z3E4H/n3s6+nNPnvfgf/OlyOdQWM7reb4/9b/VZ/2
y2/r/7M14Bf1fyq+1MTe/GhdZFL5F5vNtZltU9ZT+DMHcD2VUfkftb+nf0CqQe43WAmy285T9D9r
f+cDIwQ0cZgdVsQwafd/DrdN/QMlusN8G2Pvaogz/6Pa/4cOKb4d0DpArfGD89f+niOK5S7JBzRg
32SU8HZp6WvoYOSyoOfpO0S93zVI/mGUy8f9riX77QVphuBgXB0l9jlf9LtWA9E5eqM3pXUiNICo
lHEibGP1ZdmFy23OzvO7Sdg/vZ4JoZKtwgCO95P7zctsShqMoCenTuzXbBXNnmWYwoLT9euP9uPM
7fzRuNTrwMeCn8TIlrfy3UfrkglWXa6Zp3xVl6cOJkyinhHd2DC+rnqJ2tzJM5Q4qwT51y/9s0+H
y8idZHE3uCoG0Z8bOFPLyqEqnXkSOoaryoVe4VOGIt1CGFr+xlCo/dhWP39Q7kDNWw/xDKHXu/37
Dzoz5y+dOTVPU41NFXEzWjufPCC6k2PvsNFWGEySY4ksjSZph/wbdU+NIHcuUgT7HNh/40L7+8en
F8asDYsSxELz58T1TEtQcMeReXIniurgjNxSMYru/j9fC1IRlmJuYW6cn24okgvUIlkW82SICaW8
qYg3auv5blgFo7++quv3+Nf4Yv2ebRxp9OVQvqBm+dnDmKIzRVg1mKcxSt6/Ibx0rGi/fpF/+u5Y
hLTzi7FK/XQxsWyZTq8X5omRX01U14hM17WpQMgAoyX96xf7CSr77SMZuqPhSGUwh7Thx1vHjYjA
lWQxnDK4teXmbA3USB6x/TN3jJRPtL72wkO6WimXpDcOjLKNw2/ext/vYLhjLHvq+qgioPnpbUQ6
CIaI4ddpdnv9aOQVnbt2Ff01iuAORdJbhsScIzBZ5IAO5vzwwotLd6wgv/NW/9MVME2g5956pXF3
//id5IVnz2Xe8PBCrrxTVwXmGVuIRvd3sdr/9FKwM1y8oWwt+s931Ny4iMed1jilFl+vd+Y1KgWp
muv45Hc+ux+XepZvwOGe6ngmOwul8s8vRlpSXbRtoxwj1O/SVxT6OQy80H+e8XXVwurwm+v64xK8
vqTjsjfCM+XRMf9mU29yaepYub2jSim+g2OIhFV0Yr6zJwUXsIi4rmedKwUPevkYKl6JL+7kKBVC
VZhY7V6uMtDzCvLNxLBIpmXoURQYkOlqOPj1W4ar+sNTbrHxg/WHi0ornxQYtsYfL3/lzpk5U8Ad
RaGWAHYTua1TW9nGGtFcfq2WhDAEyGC7GsocGS12qPHHbjtsA2f2XAMOqIxYeyNyRt6kUfZvs56v
2qizXlvHnZds0DyiqrE0BMw+pQJerFXOW9gACdWMXyO3YJXf8HtArnRQjXrWvvSrHxMQlnHsMr5A
HyDdchOnBS4ZgAzex16SdEwEXtRqe01Y/GnhJN20gZ1vQ4rviIT2Y+hw9q6oWl5jtV6c+c1ti+TJ
N0cTDjfdSqieJLiQqWUiDsaN1sudgpjUPp5dp6KPSxxmnVYlR6rT/g1/ZPtCMpfeHMkHWO6Qi6GH
0nsFFiUkj/STtnhcMkcaNgXbhPPhY8uA76Xqc/s1T0maoletW6+LRjTFNzyIPWJJKjEAfWnAIO/H
1mnvOrsvgc8h6HbS2Bx9XXij5RMDwA5z9tUQIoP8fcb0YkYI8I3Z5BvFCPtxMZnTnq3faKDcNS5T
e+hBaOJsg+Z3B7KOfMER01TjrUL30p7Aic6deMsZo+vMVuHoSBEx9nURzXwcmoV/pUSLcSCZnr9S
roJy2fO9mXRmACGsO2rFTr1thF0Qg1ImXbZCTHrMJI6zSrATG/pzSQ/cOSbrweTsPj/bylQgj3c5
PtEZgJ6CIeZs/SEclbuGrqn16tg53ya9/ob2Rw3ANxjVyLGPZ5G0gnND7ARx3cWOQHreDOk0eRkS
vSre7JrkLO7geInDUrraVaJg6dwsVonZAKsamnxgh+w3fY7sl5xyg3uZVGrvo4A8B5ynR7lFY3O+
abRVpNHTjZ+3C9nJSC5IYTGCxojlJXBw6lstxZw81q31auMTBUZRdV5B8ad197Eh9b2UEO42emyb
n6pxrB5cmS6XRUtzjk55ra2hk5pL6al2x7SoR5h7q0lOFPMMRFbWw0YlFBzfiUwnnwQnCFMkHy5X
rkqTsDSTGgpXDpKephQtdcZZ4Njk8pB7qgWTLWka0HgLShnuSXLPKdpvMUO4wOGioUQK3/Xvrinr
A12i4QrNwFDh4M0i2uI5K9OqMy1DqlSYYT2a0mcS3TqxFdZif1mVahvRV9UFJt4OEQOIgsn3hgYa
XVZXu7Ee6iuPMcUUVFIkn+LVW+rUPd1ziukdDrvopC290+5cYo9fGrwjFPON/GQzMjsaKDsIf55M
+QnIVk4trKMVo6XZbYjcRd+ST9UnogQIbsQ1jRZP7RwkgvBRfWfGzbtZzfNhyxnQH/EVbUsXrh8L
E/62Wo3uBrpXB0ANzSHrErFdrGH5GsX1FCZKqtwCWC2f03w0A+Kre7+pQN1n5BLDD+xend7k+cDC
tSHwPQmGsdO2JWV81rkKziqsuIw9oxqGZWfQhbIdnJXA+9aRh+V39Hbjer3yq5CTVvAeMdRibYi+
npghRryQWXjRBvIfvVIAYQFZdclG1gujm7IeHhsgzE0wVmI7MK/CA6V+KRxRP3tFqvupp81bQbDf
Zih4H17Ul7fsShLGOsv7hW22k9/EKlfUwV9/gbK+ugFm0twAjuGmVmxOZK9nQ5yiZzwSCJisOayb
Xs9O9rwaJJgi4g5jte3f4k5lQaqlpz0squSWVXs8mkj8oCm4A02fkGC/GatQ3aq4ozGZygBTe/0S
aWh/zl6Os+yyZ/SCy2CwItx5ugkXuyvWv6bNjdh9I8zAAOBghjrwRiEl9EoIDJsbm8Hpw9iYPPpD
YrV7czYhnpxtlU3Dbbv2PNbxMS6UF71uiWIYkwHwg1HrNc98IpryE31Ct3lfmtFcTbM9TQ+nJ78y
M6ev0BbaOEAMYT3hVPcOXeKJPamd9IirOU6ZmGlZ8lmM/WuGZDq0yFWNgwhlj3gumJsp96kk+XHv
6gltbnwggV2QvZxMU7vPQJdtF1Rrj3j0S8f3HHN6ZKZc3mG+e9cL+Tzrpnad9zqWDLsgoUL3uiE0
wY6+xX0Sv8k0ne7jweHK8cRnYYtgxcNk50ykeRPxvPhtIZwjYdyCsMmpaMpAQECjhTbQBdv33qye
TNSHl6hJjTtbzoQgdWU+ML/lKmTM3PBPAmaeq3DW+gKBYGdeo14rrlt4pXdl6rZBV2uMUUalCGnE
Gp9rzx5Pvd3QlrMiPbV94RppwIw+ofsuJ6C4bcFy4UXWJitd84gR/3PUKNP91Mc5hJhBvSQexfqU
T3YeBx0AR/ZK0JU+7qz4ysMOctkx6zoqxEHYfjLG4lVPp+YEj438TrB9J81WFYgCPQK1ncaSB1a3
GsbNjFov8skcdOhhQ7l5sJGn7cfKkPdNmkQX6oKWpk9UwpvHeHohAqZlZiGEmR7ndJ6twK2hR4CH
nJAC2zPWrZ2XDGJPlatcZI6sH9W0071AycEcr51eldRJbp6riR3+XRtbcTk0DQmlbIQnEGBlsUGN
HDF91CgvEha3XW5GGhnNnCyUAO3seBvrI13lKoushvuy6F7yuSdXdCmsiznVWUZRAXh90DYjmny9
7IaIQWytX/bOIi0fNojmhm7hmCyI2vS11m3Ej57SSlxuOJdME8WfsSq1xOCkd6LU2sdBW8RHMjbM
cERFH8iMxieRpKZvqhi6GKhlDjlck5NCT5Xo88qefahXlzGIlDEtNiZf1c0oqVOqAnEFXNYovYZ8
Mj+q3aRcWmnPpCg1WmPrKkYHV7KprG0rHGsKaj31xG7g3n3HgjM/Na7Rf5msyHmb7N5OtyoWZhFg
68RPmNWF0/mRiyNNru3/TZfA6dg7ffNuJXN8IzIM875MRX9E6ZXU+KarFjVF2i6+CVwlyNmdr5UC
x7Ou2lG/wcHgHWO5zIR6w9RHETtASz/lg4o/2XTG5wQnNsCIWGbXOJ6IUYmY5F5XXkFUEJ1gBSSW
wVUDCKiZewZjxTx8nJMWadq3Cva/Wqjf9kLpkn1X2mxe+9d/fT13Ua9eSwIuniBfwHH73uZDaMv6
O3/afFTzAwMIHSIT6ihaKOiZ/rT5aBo/Wt3IxCCBpqRs/bMRan1AAkVUEXueSddwlU79CXJTP9DT
c7RVbI0SyiX14v/8ry/z/4y/1n/0IcVP//97EuePvRZakSp5KRThFu4JuHHGWjl/17yLhklLLSTN
V0P5FosCyefn776Nf2h88sG/a+b8/QXWMvC7F+hmoyibmRdwMxZOt/QH7zUdr1IP+/Hbr1/qXFn/
1TjitWis0F3BqItv6e+goEUTWmFxTIbZWVB7czSFcK/aqJNdIpWsTyKbY5fUzMgl9x6xrlAk1FYL
5/0Rtk0bl29ISV0nRlxjJqrn7KIuXm121fA15cCblhdDZwrw1So7zaEgVD3qHtxMJQca/FT0sLT9
lgaPdRSMT28y1DgpBUTUVn3A3AZ/p9FZ+CdGW2EeOI2GB8m5KNskvwdFG4/4oZjDOZzPapcZZ4pb
UPjVoB87WI6PC/SyUxG1gxNIaLTTtmTlM8qT01vZxpptJkJabk2flFq1AZjHJcB+Jp8BVE7TuDYV
p5GnrPcS5X4C5m9WIbnbSKKboM+zfo52DoWr2J2vyH9Xjd+sGuQ2rQ3Ffz9BucIolPxr85rXPYOE
b+vJ4e1//48/fvGPpcMjj4bxiGoxoQBIRbPyr6VjXVVMm8HKX/OVP9eOFQKJO48fr50+loi/1g7r
A5IjnA38GhOH1Vf401rxy7XD4fW/e7hpa5JvDBYRbzxhibDXWNq+f7hJz6Pynh39QqqWGcsdg+el
j1Y5C5o2cUmKtxc2JTFQ/uhaWeuzCMoXRS+wAiLx2IuxUS4i1j3mrEoJZAjqvAO95LKOq33SGcOR
WpmIDDqFp3qolPv/y92Z7baNZGH4VYK5l8B9uZgGRquXOHEnTtKdG0GxFYkUd4qSqKefr0g6LdJO
Op0yMMQQfdVyimTx1Fn/8x8ACck4jtaD653nqCROQuv93kmOH3zQH9GoiCE6UJM0HoW5n46tHIg6
66kzDRq2CA9rwUiH1AU8yb8Zgcm5IEa4sfQwu6I3GZqGdPH7AUjEEb8Vmj1SNWGiXqR5opMadrZj
O7CumDHLNF9AKpt1+lCQWZoUxCrMJ8n8cQbv1w06Y01dXJlQ1KeZngk+eMOD6QISjBmRymluEg3A
2aPNB5EZfXLLvT/Nk603OQHkCI7Z2wyE4HSw3u6WmbbTZ4EdQpZiUq/WQ4v7h0AZ2Cljsosc96Jk
kM07e72JoURSTxfJFl8QDAlIabw+EFz+26x0FQimtqcpEznUUQGsFrcq0acbrNYExADJnbA4wvoS
5Fdbz77ZqGBMVT185yqhAIzacxd0fkIzx2gRgJMhPAX1CDHHRFso84Hnq2NzU340d/uSOoh4iWS7
m+wKODGCssCbBi8xDZziS5i7E/14DK8SPOtrgvpyrDObIRYzKLwgAUGTRhPG/AxGHvniUWpaF+7C
vdqVsTJ2thpd3KfF4GOpezEeKK2QeZw49DUdjzPNIAAZ7MPyUos3/p3to55z1dlPwI+ns/yoAkDN
B+UkPzIrNqLECEHCen4s8DBTKoRTV/U/J0dS0fAzXDJUKSRU1NNJkcOVrQfrOdgO4qQ0SSdBMJhu
/fQuzq2PzvH02tcOcO7vLWM2iDxlqhLozu0kXJ5M/7Of7oy5D6BrfGBM3FRx/cFVqrkrg7HxE6JV
YhEoRWiRBRmHSDjZ+nc39uMZfeflWIMoagzvwHjvMDfPIEk6Ahx6mWq++rk0Tip4hPyaJtAvpxLM
FkTw0LhDu3BhRjQEnk6Rw+xhZMGjo3xirxPjYnMCDWXQyzdWAv4fsKA/BvkuhOP9uJjAOU9HTVym
c0bdGdOYrP3M8sE3LHT/Q6ZZ65tI2YQz3fmydnPl6rgmPcgMmcEd1pY5UIUFXT2NF967cM9cjyi3
lBEcj+U88dzsTomOlDxtl7Zd4GETegRu8h1D1Rx/e5hqC6ANJ6IXUF+KPY2OtArsaPm99azsBOyL
pBr0YSQ6QExMqIv4osXRulQ1MNDe2gHCxqCFnblnatRAKSYDbZN8ANzHLlJ0mWgGY9ustXtgdkg1
4iGGvdD0lQ/lwlDIKamA6Rh2M2M4BiC/4gS5xmkbvd8O9PJ2kRTKlUqPkwl2x9rQHTUA8QI88DCB
H9EaF0Cep3qZb2c8avGaXDqjjq3B6yhmQmu8td4MjO0Xb29txn7kBJckV6EOdPZMzTuxn8kpN+Fz
CHziEuUrnNuk/A6xeZXsiWF9a/cef+OyiPbWlXOy6TTKzHfWAnaAA9PBphsXzMjpEFgTg2znSEvd
+2IXQGwEAYVa3AYQ6I0U31PnENGtQuNUzoLsdJ3tbIaO8fe5Hc0PFsi0yIiiGYNKs3GY5cmkXOxp
qLZpYFENb5nGa8jDnNP7PNYYdSq6UoKtPSCzDLoN7tESJqGYTFeUIlJrK7spNXtWhNrSTQG0OZ6v
j/dhTuettlmPQ5tBPDTQ0LXkz49GutrDh0auuly8MTNfnyuBql4tnAB6/QBywa1gzSp32wSKs9C5
2IAOjgPts2Xlr/214V/m5vGjc8hhY/DAYgWlbl0Wihfdue7+U8Bg6EmS2CuLdMd4v/B248M6uNPU
4to2dtmbxNFgz83CkQkN4k1gMwVDyW6DzSKCHY+BCos0/ZplBR0orrEYmacinhtMA5wsQNRMUyCZ
r/G+sjlzS2D60RfuRQBeLdcBKpWOe1ca5QWTANTrk+UXs71WprOdAw7m6HDHSOBa94Z3m28ZE6Vi
hI6DBXjlg8t5VtfBDCQVsLzQfJ9saeS0QCNdl2l+uc5SSLv3+gDQUaHBIoV5YWSJ9WewPf5xWBTE
oKX9EBcacNN1sJkVcGPNGXBONSVamGMmKLhvgZLeKmtizJS2Yh78cJOkzJfdmVoyZsgwhYh4eiDg
PaZkelFowaW6GXwq3MQfpYPjg+4l8Kcz5OXS2Z/gxfK8bFpSTLxA/3pXm71xmK9JeUwPzsAEwoyj
T5exPvdOujkjM6TPtCAhQwz57Xxt+58OjDC+PA0cmJzz63ybZqNksP6qDxKbUdgBOCuS2yMjsdSZ
GUPSoRqhcuWARAXXhyU/oVVnDP6JJwcmBevRl8CiN/OD4e2YB4fMDlI3ujgecHOTMRlDJz583C32
oc1RTK3ch98F6Qudtwszcw/JyN5QHOGQxT6TWfWLVIu9PYwZohf4g14cRPJ6VNLx4KynZg7Rlb9l
IhzNZVti8IX5jmSxbWV/QvcZnaKrjOKu7ZIroInMJItC7X8TkHHI6KC4+f9yr5s4QcTM0ypk/r1Y
ZeW7VU4a65ujKX69jb1odxf/2h89erDPL9Q413/jsNMoiW/b8terZ6oe+EdLBEsAVcUDiQCakzTT
sBjgB1mDuCi+B/iizc8DkNVDst2AAAxAB+I6/9jPP3y9VT9+wZ/5m9Yb3OMq78RngP6pheAiA/Bz
e9BZ4WwP3KGpiFCFYnR10YN8vgcuoQns1JYo+ldXfcMzOfmeJLzwHnx3LClpFZ5ZThC0oW0BK6MN
u/32AhNnUOzWmKBbX/8jCfj+21v0qsi+vj2kWgeIT8yeOP/4jjmEG0AAxKC6FVfvPj7Ac55Z6uMb
6hBkIWOIdbM+AR0tYCMcejWrlkwbd+qT6AvmFdnXN4c6OhCMEwpVXJ0jYLlD4JZ0fDKZt7p6JwPA
2+ovU6dUv+nlf2IJjCHMI6CraCqtrs4mqKR9xR5Rzwa/x4WM9E0UzPqZpDYBIB+TAdRGEjraABQw
aWcgOyD8qqt354HSt0hoSakD3RiSthOE6/WXFsblXCdC7jYkVNIZGtQ7ISA1Lo6v1PsbzOF2gMtS
WKi/cuf9baEubbDgguFKXPWG90grkt6kZCG1CTq8bLRwmyAu65fs2ARVEbN5QPBZtevRo7fnDKjS
MqAMVQTcpTJTvz7f+PwM2Aaz2plUAoK7vnpnExzIL2RlQCTlobGBQbV5y84mmEMcJktMqat/7506
ZBqBgDXLnQQdhkKcf01tRKGjDhxl6LgGupBgqbrqo9ejAwEu3ZE2Ci5TvXCNOBPN1ZYF4gR8B3oq
4Hisrt4dCIaSSYuCIKtE6amix6elDugBEt1BwLXr3end2yO80o6B5gzhZmIwFQFXdXWUIgQphkP/
E2W6+vfemQaGtir1p5FwEqGBMYiGDLfRBx3L6OhDUAkwLYFTqK7e7YKA+MtmjgwknniRBibj21ue
nwhVIXNkgNCgeaRSwL3Sh7Zaf5RflwLDGHLWFRtUYX3iO6EC5DywBdEsAFilf+8P8EPSKsJ4BPpG
pQumMQid93fcIWYHCIDzl++AGe6RFBDrwsUk5xuIzAnJUZ1woD4FHY1I7pBJXDaps74GjIT7jrSz
rA3JjVikUJ/XBa5OhhV0B4aj3qX+eUj0Pkp7yw7Wz+Bbi7YwcXXsguugMcgkk2uuNUa97X06EXjL
sn6iYZFMgx4NcODzu2AIOjQdZ6S+U49enyZZR9Ys6AAdxew9hn886ya7KsGC6qB7GrXZO+Oo4d3J
KgSRPBD5dBP9eu4U2NbQVlTyjI+llP65RmC+ZGWArn9KZjiAduMGdxQB+SPgcXhPzT736AgQ44rp
r1LxMp6Rw7szmvN5z4iSChtDJCniSXH1zhqQQLJkrQFCgJjD1UDlrLqQqtZRMIcgqxXSjE2+vX+7
AOmDrDXQqRxBfEGmrP7Uon58vgt4idQTUDlas0t93AVpm4g6hLSTmgHJqOrqeonEzfCGCGe53qb+
7QIGW7rC5A5p8hYD3p+PGFTVQhhMtKIYosBVH8E+aUfdUmX1gk7aHJp/QeRSf2ts7fmJsImb6AeA
IKOJKPonCwZFFlkboQzhlDHxFJ/HXJBJggWG8yC4LqqrumGfZAEqX1lHQciCw5Boq0mZPokYQCXU
DTMYy57uAgZMVhbIryPv5AoaiEXHRpCzG1JwVRmN2DshwHbJCgGJFAco7mO49CRshJCaiTp0LVS0
SEhBnbnp0VEAPKHVWurX02k6xgGXmVpTcxY6JrKCH9jETXBz904KBHJK9hAQE2jMgXn0AMRXbpkF
Ek1iuJBAYFRXLXZ9kgKSB9JJRZAH2FhBbl6/Zcc44j4xSEwhv9BseJ/eH4oiaRfJBGxHspDZZZUH
JPzvcymgyAYjvRiy9hcyo19JVSATTWLn13UBAST9fRAeiWkw568PDg3KNuiCwJ5UV+8y68xwkkdi
qVTVoRLE4tVCgNk73wVyykzDFGnGBpHZP4MAcZKsQgSZTPHIcQmc6m/dVYjOUNhM2BgbD7F/siC6
C2XNgo2frAJOZq5EdXUVYuUbCQBsE1r2zkV6bi7HP0ap860NjU0gdfjcLoDAsKjBgNdpTkz/jGPN
MyqbVwODDiKJ1vr6ausFcikgmKnPu32tvjccA3K7QF6NlCHMcI0j1NELVNuIFlTSDEyfrK6fdxd/
wpv41gEyZkjoQ9X74a3y51pEvvcHj00BT39vGh6qlmq6Glp/KFpB6nuvvrHh/taCxFel1bMfH0ut
1X2af9684NNbt+71+FaP//PCW2XL7H5TVj+UzWPWTBL/CZZfluHyvB2cM8j5++tJ/v2v1nOeacS/
WTjfdtYVSG/pdTPvFEfthSv0tPzC22WUL/PHRxSfEWJ0FLLsyuNl4H2Ns8hrPXXd/SO9dhzE2fIh
fnxK8dQ1elR+5Sha3e88mjhbi1ftCrKLT1YBg4qz1fnKNeBRemWIbjLvfvcq/voKHo0i/NLe9hpF
JnuXGbvuPbS+ZwPQkl15voqzdfuRG9CT7MrfHw39TSP92lG/fFhuWgKoMhDyBVTIZRB49C23TySu
EhZDdi8uowdv2dEiNchSeuX40BaLGp8hu+z1U91UQx6kF2aB4n5bPu5ppfbqjizZpV/HBRNgu9tc
F+ll175ZelFLewBKeAnzcrOEUmwZPZxvR1NRl3/kPF/ew5O22u1aMg1fiqhZS6/v3W+89bLdXVnX
g+WXxhbkXdqYGm0iv3aee/yXJN7jHlQeVF29fInV4yLrLi1KgtJLx9GuI9wNMFN25TerL9my4z01
aDf5pffLtt0iHydKg/ILH15dLMMk33hts9509LzE+lerLF+1NFXTKvISi9+sjt59y4w1vVgvsfif
cbZ93ONKumuEgvTSFaPTeJnFWMqW2YHTSZQ6X+YG36eMkvQc3m689o7XpUnZp367DfBI2lGNVtf7
pJfOVutuA3tVQpNd+HYVRYwV3i87YQJzH0SJSnb5d5v4YfXqMn9i2+rah+zy7+MCarHnBLHp4HmZ
GzwVRLH8C/iDd+z+Ks9XLZdCrysCso9+tzq2o8omySy77ofdcvMoGEKnNGU82WU/rrIQy9ZauS4K
SK/sEdl0xFuvU82yS39aYneiNTNl289dZXClF/+7ycOSWvDTjyYbya79fabQH678XKbpG/r/af7p
kQ/kuX/WTq6Jv7gPVsvst/8CAAD//w==</cx:binary>
              </cx:geoCache>
            </cx:geography>
          </cx:layoutPr>
          <cx:valueColors>
            <cx:minColor>
              <a:srgbClr val="F0F4F6"/>
            </cx:minColor>
            <cx:midColor>
              <a:schemeClr val="accent5">
                <a:lumMod val="50000"/>
              </a:schemeClr>
            </cx:midColor>
            <cx:maxColor>
              <a:srgbClr val="385F7C"/>
            </cx:maxColor>
          </cx:valueColors>
        </cx:series>
      </cx:plotAreaRegion>
    </cx:plotArea>
    <cx:legend pos="b" align="ctr" overlay="0">
      <cx:spPr>
        <a:ln>
          <a:noFill/>
        </a:ln>
      </cx:spPr>
      <cx:txPr>
        <a:bodyPr vertOverflow="overflow" horzOverflow="overflow" wrap="square" lIns="0" tIns="0" rIns="0" bIns="0"/>
        <a:lstStyle/>
        <a:p>
          <a:pPr algn="ctr" rtl="0">
            <a:defRPr sz="1200" b="0" i="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GH" sz="1200">
            <a:solidFill>
              <a:schemeClr val="tx1">
                <a:lumMod val="65000"/>
                <a:lumOff val="35000"/>
              </a:schemeClr>
            </a:solidFill>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225854</xdr:colOff>
      <xdr:row>1</xdr:row>
      <xdr:rowOff>19593</xdr:rowOff>
    </xdr:from>
    <xdr:to>
      <xdr:col>32</xdr:col>
      <xdr:colOff>91440</xdr:colOff>
      <xdr:row>45</xdr:row>
      <xdr:rowOff>114502</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3273854" y="202473"/>
          <a:ext cx="16324786" cy="8141629"/>
        </a:xfrm>
        <a:custGeom>
          <a:avLst/>
          <a:gdLst>
            <a:gd name="connsiteX0" fmla="*/ 0 w 15590521"/>
            <a:gd name="connsiteY0" fmla="*/ 1346805 h 8080669"/>
            <a:gd name="connsiteX1" fmla="*/ 1346805 w 15590521"/>
            <a:gd name="connsiteY1" fmla="*/ 0 h 8080669"/>
            <a:gd name="connsiteX2" fmla="*/ 14243716 w 15590521"/>
            <a:gd name="connsiteY2" fmla="*/ 0 h 8080669"/>
            <a:gd name="connsiteX3" fmla="*/ 15590521 w 15590521"/>
            <a:gd name="connsiteY3" fmla="*/ 1346805 h 8080669"/>
            <a:gd name="connsiteX4" fmla="*/ 15590521 w 15590521"/>
            <a:gd name="connsiteY4" fmla="*/ 6733864 h 8080669"/>
            <a:gd name="connsiteX5" fmla="*/ 14243716 w 15590521"/>
            <a:gd name="connsiteY5" fmla="*/ 8080669 h 8080669"/>
            <a:gd name="connsiteX6" fmla="*/ 1346805 w 15590521"/>
            <a:gd name="connsiteY6" fmla="*/ 8080669 h 8080669"/>
            <a:gd name="connsiteX7" fmla="*/ 0 w 15590521"/>
            <a:gd name="connsiteY7" fmla="*/ 6733864 h 8080669"/>
            <a:gd name="connsiteX8" fmla="*/ 0 w 15590521"/>
            <a:gd name="connsiteY8" fmla="*/ 1346805 h 8080669"/>
            <a:gd name="connsiteX0" fmla="*/ 0 w 15590521"/>
            <a:gd name="connsiteY0" fmla="*/ 1392525 h 8126389"/>
            <a:gd name="connsiteX1" fmla="*/ 813405 w 15590521"/>
            <a:gd name="connsiteY1" fmla="*/ 0 h 8126389"/>
            <a:gd name="connsiteX2" fmla="*/ 14243716 w 15590521"/>
            <a:gd name="connsiteY2" fmla="*/ 45720 h 8126389"/>
            <a:gd name="connsiteX3" fmla="*/ 15590521 w 15590521"/>
            <a:gd name="connsiteY3" fmla="*/ 1392525 h 8126389"/>
            <a:gd name="connsiteX4" fmla="*/ 15590521 w 15590521"/>
            <a:gd name="connsiteY4" fmla="*/ 6779584 h 8126389"/>
            <a:gd name="connsiteX5" fmla="*/ 14243716 w 15590521"/>
            <a:gd name="connsiteY5" fmla="*/ 8126389 h 8126389"/>
            <a:gd name="connsiteX6" fmla="*/ 1346805 w 15590521"/>
            <a:gd name="connsiteY6" fmla="*/ 8126389 h 8126389"/>
            <a:gd name="connsiteX7" fmla="*/ 0 w 15590521"/>
            <a:gd name="connsiteY7" fmla="*/ 6779584 h 8126389"/>
            <a:gd name="connsiteX8" fmla="*/ 0 w 15590521"/>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90521 w 15590588"/>
            <a:gd name="connsiteY4" fmla="*/ 6779584 h 8126389"/>
            <a:gd name="connsiteX5" fmla="*/ 14243716 w 15590588"/>
            <a:gd name="connsiteY5" fmla="*/ 8126389 h 8126389"/>
            <a:gd name="connsiteX6" fmla="*/ 1346805 w 15590588"/>
            <a:gd name="connsiteY6" fmla="*/ 8126389 h 8126389"/>
            <a:gd name="connsiteX7" fmla="*/ 0 w 15590588"/>
            <a:gd name="connsiteY7" fmla="*/ 6779584 h 8126389"/>
            <a:gd name="connsiteX8" fmla="*/ 0 w 15590588"/>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90521 w 15590588"/>
            <a:gd name="connsiteY4" fmla="*/ 6779584 h 8126389"/>
            <a:gd name="connsiteX5" fmla="*/ 14807596 w 15590588"/>
            <a:gd name="connsiteY5" fmla="*/ 8095909 h 8126389"/>
            <a:gd name="connsiteX6" fmla="*/ 1346805 w 15590588"/>
            <a:gd name="connsiteY6" fmla="*/ 8126389 h 8126389"/>
            <a:gd name="connsiteX7" fmla="*/ 0 w 15590588"/>
            <a:gd name="connsiteY7" fmla="*/ 6779584 h 8126389"/>
            <a:gd name="connsiteX8" fmla="*/ 0 w 15590588"/>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60041 w 15590588"/>
            <a:gd name="connsiteY4" fmla="*/ 7053904 h 8126389"/>
            <a:gd name="connsiteX5" fmla="*/ 14807596 w 15590588"/>
            <a:gd name="connsiteY5" fmla="*/ 8095909 h 8126389"/>
            <a:gd name="connsiteX6" fmla="*/ 1346805 w 15590588"/>
            <a:gd name="connsiteY6" fmla="*/ 8126389 h 8126389"/>
            <a:gd name="connsiteX7" fmla="*/ 0 w 15590588"/>
            <a:gd name="connsiteY7" fmla="*/ 6779584 h 8126389"/>
            <a:gd name="connsiteX8" fmla="*/ 0 w 15590588"/>
            <a:gd name="connsiteY8" fmla="*/ 1392525 h 8126389"/>
            <a:gd name="connsiteX0" fmla="*/ 2746 w 15593334"/>
            <a:gd name="connsiteY0" fmla="*/ 139252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779584 h 8141629"/>
            <a:gd name="connsiteX8" fmla="*/ 2746 w 15593334"/>
            <a:gd name="connsiteY8" fmla="*/ 1392525 h 8141629"/>
            <a:gd name="connsiteX0" fmla="*/ 2746 w 15593334"/>
            <a:gd name="connsiteY0" fmla="*/ 139252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992944 h 8141629"/>
            <a:gd name="connsiteX8" fmla="*/ 2746 w 15593334"/>
            <a:gd name="connsiteY8" fmla="*/ 1392525 h 8141629"/>
            <a:gd name="connsiteX0" fmla="*/ 2746 w 15593334"/>
            <a:gd name="connsiteY0" fmla="*/ 79816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992944 h 8141629"/>
            <a:gd name="connsiteX8" fmla="*/ 2746 w 15593334"/>
            <a:gd name="connsiteY8" fmla="*/ 798165 h 8141629"/>
            <a:gd name="connsiteX0" fmla="*/ 2746 w 15578332"/>
            <a:gd name="connsiteY0" fmla="*/ 798165 h 8141629"/>
            <a:gd name="connsiteX1" fmla="*/ 816151 w 15578332"/>
            <a:gd name="connsiteY1" fmla="*/ 0 h 8141629"/>
            <a:gd name="connsiteX2" fmla="*/ 14871302 w 15578332"/>
            <a:gd name="connsiteY2" fmla="*/ 45720 h 8141629"/>
            <a:gd name="connsiteX3" fmla="*/ 15578027 w 15578332"/>
            <a:gd name="connsiteY3" fmla="*/ 981045 h 8141629"/>
            <a:gd name="connsiteX4" fmla="*/ 15562787 w 15578332"/>
            <a:gd name="connsiteY4" fmla="*/ 7053904 h 8141629"/>
            <a:gd name="connsiteX5" fmla="*/ 14810342 w 15578332"/>
            <a:gd name="connsiteY5" fmla="*/ 8095909 h 8141629"/>
            <a:gd name="connsiteX6" fmla="*/ 663751 w 15578332"/>
            <a:gd name="connsiteY6" fmla="*/ 8141629 h 8141629"/>
            <a:gd name="connsiteX7" fmla="*/ 2746 w 15578332"/>
            <a:gd name="connsiteY7" fmla="*/ 6992944 h 8141629"/>
            <a:gd name="connsiteX8" fmla="*/ 2746 w 15578332"/>
            <a:gd name="connsiteY8" fmla="*/ 798165 h 81416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578332" h="8141629">
              <a:moveTo>
                <a:pt x="2746" y="798165"/>
              </a:moveTo>
              <a:cubicBezTo>
                <a:pt x="2746" y="54345"/>
                <a:pt x="72331" y="0"/>
                <a:pt x="816151" y="0"/>
              </a:cubicBezTo>
              <a:lnTo>
                <a:pt x="14871302" y="45720"/>
              </a:lnTo>
              <a:cubicBezTo>
                <a:pt x="15615122" y="45720"/>
                <a:pt x="15578027" y="237225"/>
                <a:pt x="15578027" y="981045"/>
              </a:cubicBezTo>
              <a:lnTo>
                <a:pt x="15562787" y="7053904"/>
              </a:lnTo>
              <a:cubicBezTo>
                <a:pt x="15562787" y="7797724"/>
                <a:pt x="15554162" y="8095909"/>
                <a:pt x="14810342" y="8095909"/>
              </a:cubicBezTo>
              <a:lnTo>
                <a:pt x="663751" y="8141629"/>
              </a:lnTo>
              <a:cubicBezTo>
                <a:pt x="-80069" y="8141629"/>
                <a:pt x="2746" y="7736764"/>
                <a:pt x="2746" y="6992944"/>
              </a:cubicBezTo>
              <a:lnTo>
                <a:pt x="2746" y="798165"/>
              </a:lnTo>
              <a:close/>
            </a:path>
          </a:pathLst>
        </a:custGeom>
        <a:solidFill>
          <a:srgbClr val="CCDC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396240</xdr:colOff>
      <xdr:row>2</xdr:row>
      <xdr:rowOff>1658</xdr:rowOff>
    </xdr:from>
    <xdr:to>
      <xdr:col>31</xdr:col>
      <xdr:colOff>548640</xdr:colOff>
      <xdr:row>44</xdr:row>
      <xdr:rowOff>144982</xdr:rowOff>
    </xdr:to>
    <xdr:sp macro="" textlink="">
      <xdr:nvSpPr>
        <xdr:cNvPr id="5" name="Rounded Rectangle 1">
          <a:extLst>
            <a:ext uri="{FF2B5EF4-FFF2-40B4-BE49-F238E27FC236}">
              <a16:creationId xmlns:a16="http://schemas.microsoft.com/office/drawing/2014/main" id="{00000000-0008-0000-0200-000005000000}"/>
            </a:ext>
          </a:extLst>
        </xdr:cNvPr>
        <xdr:cNvSpPr/>
      </xdr:nvSpPr>
      <xdr:spPr>
        <a:xfrm>
          <a:off x="3444240" y="371772"/>
          <a:ext cx="16002000" cy="7915724"/>
        </a:xfrm>
        <a:custGeom>
          <a:avLst/>
          <a:gdLst>
            <a:gd name="connsiteX0" fmla="*/ 0 w 15590521"/>
            <a:gd name="connsiteY0" fmla="*/ 1346805 h 8080669"/>
            <a:gd name="connsiteX1" fmla="*/ 1346805 w 15590521"/>
            <a:gd name="connsiteY1" fmla="*/ 0 h 8080669"/>
            <a:gd name="connsiteX2" fmla="*/ 14243716 w 15590521"/>
            <a:gd name="connsiteY2" fmla="*/ 0 h 8080669"/>
            <a:gd name="connsiteX3" fmla="*/ 15590521 w 15590521"/>
            <a:gd name="connsiteY3" fmla="*/ 1346805 h 8080669"/>
            <a:gd name="connsiteX4" fmla="*/ 15590521 w 15590521"/>
            <a:gd name="connsiteY4" fmla="*/ 6733864 h 8080669"/>
            <a:gd name="connsiteX5" fmla="*/ 14243716 w 15590521"/>
            <a:gd name="connsiteY5" fmla="*/ 8080669 h 8080669"/>
            <a:gd name="connsiteX6" fmla="*/ 1346805 w 15590521"/>
            <a:gd name="connsiteY6" fmla="*/ 8080669 h 8080669"/>
            <a:gd name="connsiteX7" fmla="*/ 0 w 15590521"/>
            <a:gd name="connsiteY7" fmla="*/ 6733864 h 8080669"/>
            <a:gd name="connsiteX8" fmla="*/ 0 w 15590521"/>
            <a:gd name="connsiteY8" fmla="*/ 1346805 h 8080669"/>
            <a:gd name="connsiteX0" fmla="*/ 0 w 15590521"/>
            <a:gd name="connsiteY0" fmla="*/ 1392525 h 8126389"/>
            <a:gd name="connsiteX1" fmla="*/ 813405 w 15590521"/>
            <a:gd name="connsiteY1" fmla="*/ 0 h 8126389"/>
            <a:gd name="connsiteX2" fmla="*/ 14243716 w 15590521"/>
            <a:gd name="connsiteY2" fmla="*/ 45720 h 8126389"/>
            <a:gd name="connsiteX3" fmla="*/ 15590521 w 15590521"/>
            <a:gd name="connsiteY3" fmla="*/ 1392525 h 8126389"/>
            <a:gd name="connsiteX4" fmla="*/ 15590521 w 15590521"/>
            <a:gd name="connsiteY4" fmla="*/ 6779584 h 8126389"/>
            <a:gd name="connsiteX5" fmla="*/ 14243716 w 15590521"/>
            <a:gd name="connsiteY5" fmla="*/ 8126389 h 8126389"/>
            <a:gd name="connsiteX6" fmla="*/ 1346805 w 15590521"/>
            <a:gd name="connsiteY6" fmla="*/ 8126389 h 8126389"/>
            <a:gd name="connsiteX7" fmla="*/ 0 w 15590521"/>
            <a:gd name="connsiteY7" fmla="*/ 6779584 h 8126389"/>
            <a:gd name="connsiteX8" fmla="*/ 0 w 15590521"/>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90521 w 15590588"/>
            <a:gd name="connsiteY4" fmla="*/ 6779584 h 8126389"/>
            <a:gd name="connsiteX5" fmla="*/ 14243716 w 15590588"/>
            <a:gd name="connsiteY5" fmla="*/ 8126389 h 8126389"/>
            <a:gd name="connsiteX6" fmla="*/ 1346805 w 15590588"/>
            <a:gd name="connsiteY6" fmla="*/ 8126389 h 8126389"/>
            <a:gd name="connsiteX7" fmla="*/ 0 w 15590588"/>
            <a:gd name="connsiteY7" fmla="*/ 6779584 h 8126389"/>
            <a:gd name="connsiteX8" fmla="*/ 0 w 15590588"/>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90521 w 15590588"/>
            <a:gd name="connsiteY4" fmla="*/ 6779584 h 8126389"/>
            <a:gd name="connsiteX5" fmla="*/ 14807596 w 15590588"/>
            <a:gd name="connsiteY5" fmla="*/ 8095909 h 8126389"/>
            <a:gd name="connsiteX6" fmla="*/ 1346805 w 15590588"/>
            <a:gd name="connsiteY6" fmla="*/ 8126389 h 8126389"/>
            <a:gd name="connsiteX7" fmla="*/ 0 w 15590588"/>
            <a:gd name="connsiteY7" fmla="*/ 6779584 h 8126389"/>
            <a:gd name="connsiteX8" fmla="*/ 0 w 15590588"/>
            <a:gd name="connsiteY8" fmla="*/ 1392525 h 8126389"/>
            <a:gd name="connsiteX0" fmla="*/ 0 w 15590588"/>
            <a:gd name="connsiteY0" fmla="*/ 1392525 h 8126389"/>
            <a:gd name="connsiteX1" fmla="*/ 813405 w 15590588"/>
            <a:gd name="connsiteY1" fmla="*/ 0 h 8126389"/>
            <a:gd name="connsiteX2" fmla="*/ 14868556 w 15590588"/>
            <a:gd name="connsiteY2" fmla="*/ 45720 h 8126389"/>
            <a:gd name="connsiteX3" fmla="*/ 15590521 w 15590588"/>
            <a:gd name="connsiteY3" fmla="*/ 1392525 h 8126389"/>
            <a:gd name="connsiteX4" fmla="*/ 15560041 w 15590588"/>
            <a:gd name="connsiteY4" fmla="*/ 7053904 h 8126389"/>
            <a:gd name="connsiteX5" fmla="*/ 14807596 w 15590588"/>
            <a:gd name="connsiteY5" fmla="*/ 8095909 h 8126389"/>
            <a:gd name="connsiteX6" fmla="*/ 1346805 w 15590588"/>
            <a:gd name="connsiteY6" fmla="*/ 8126389 h 8126389"/>
            <a:gd name="connsiteX7" fmla="*/ 0 w 15590588"/>
            <a:gd name="connsiteY7" fmla="*/ 6779584 h 8126389"/>
            <a:gd name="connsiteX8" fmla="*/ 0 w 15590588"/>
            <a:gd name="connsiteY8" fmla="*/ 1392525 h 8126389"/>
            <a:gd name="connsiteX0" fmla="*/ 2746 w 15593334"/>
            <a:gd name="connsiteY0" fmla="*/ 139252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779584 h 8141629"/>
            <a:gd name="connsiteX8" fmla="*/ 2746 w 15593334"/>
            <a:gd name="connsiteY8" fmla="*/ 1392525 h 8141629"/>
            <a:gd name="connsiteX0" fmla="*/ 2746 w 15593334"/>
            <a:gd name="connsiteY0" fmla="*/ 139252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992944 h 8141629"/>
            <a:gd name="connsiteX8" fmla="*/ 2746 w 15593334"/>
            <a:gd name="connsiteY8" fmla="*/ 1392525 h 8141629"/>
            <a:gd name="connsiteX0" fmla="*/ 2746 w 15593334"/>
            <a:gd name="connsiteY0" fmla="*/ 798165 h 8141629"/>
            <a:gd name="connsiteX1" fmla="*/ 816151 w 15593334"/>
            <a:gd name="connsiteY1" fmla="*/ 0 h 8141629"/>
            <a:gd name="connsiteX2" fmla="*/ 14871302 w 15593334"/>
            <a:gd name="connsiteY2" fmla="*/ 45720 h 8141629"/>
            <a:gd name="connsiteX3" fmla="*/ 15593267 w 15593334"/>
            <a:gd name="connsiteY3" fmla="*/ 1392525 h 8141629"/>
            <a:gd name="connsiteX4" fmla="*/ 15562787 w 15593334"/>
            <a:gd name="connsiteY4" fmla="*/ 7053904 h 8141629"/>
            <a:gd name="connsiteX5" fmla="*/ 14810342 w 15593334"/>
            <a:gd name="connsiteY5" fmla="*/ 8095909 h 8141629"/>
            <a:gd name="connsiteX6" fmla="*/ 663751 w 15593334"/>
            <a:gd name="connsiteY6" fmla="*/ 8141629 h 8141629"/>
            <a:gd name="connsiteX7" fmla="*/ 2746 w 15593334"/>
            <a:gd name="connsiteY7" fmla="*/ 6992944 h 8141629"/>
            <a:gd name="connsiteX8" fmla="*/ 2746 w 15593334"/>
            <a:gd name="connsiteY8" fmla="*/ 798165 h 8141629"/>
            <a:gd name="connsiteX0" fmla="*/ 2746 w 15578332"/>
            <a:gd name="connsiteY0" fmla="*/ 798165 h 8141629"/>
            <a:gd name="connsiteX1" fmla="*/ 816151 w 15578332"/>
            <a:gd name="connsiteY1" fmla="*/ 0 h 8141629"/>
            <a:gd name="connsiteX2" fmla="*/ 14871302 w 15578332"/>
            <a:gd name="connsiteY2" fmla="*/ 45720 h 8141629"/>
            <a:gd name="connsiteX3" fmla="*/ 15578027 w 15578332"/>
            <a:gd name="connsiteY3" fmla="*/ 981045 h 8141629"/>
            <a:gd name="connsiteX4" fmla="*/ 15562787 w 15578332"/>
            <a:gd name="connsiteY4" fmla="*/ 7053904 h 8141629"/>
            <a:gd name="connsiteX5" fmla="*/ 14810342 w 15578332"/>
            <a:gd name="connsiteY5" fmla="*/ 8095909 h 8141629"/>
            <a:gd name="connsiteX6" fmla="*/ 663751 w 15578332"/>
            <a:gd name="connsiteY6" fmla="*/ 8141629 h 8141629"/>
            <a:gd name="connsiteX7" fmla="*/ 2746 w 15578332"/>
            <a:gd name="connsiteY7" fmla="*/ 6992944 h 8141629"/>
            <a:gd name="connsiteX8" fmla="*/ 2746 w 15578332"/>
            <a:gd name="connsiteY8" fmla="*/ 798165 h 81416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5578332" h="8141629">
              <a:moveTo>
                <a:pt x="2746" y="798165"/>
              </a:moveTo>
              <a:cubicBezTo>
                <a:pt x="2746" y="54345"/>
                <a:pt x="72331" y="0"/>
                <a:pt x="816151" y="0"/>
              </a:cubicBezTo>
              <a:lnTo>
                <a:pt x="14871302" y="45720"/>
              </a:lnTo>
              <a:cubicBezTo>
                <a:pt x="15615122" y="45720"/>
                <a:pt x="15578027" y="237225"/>
                <a:pt x="15578027" y="981045"/>
              </a:cubicBezTo>
              <a:lnTo>
                <a:pt x="15562787" y="7053904"/>
              </a:lnTo>
              <a:cubicBezTo>
                <a:pt x="15562787" y="7797724"/>
                <a:pt x="15554162" y="8095909"/>
                <a:pt x="14810342" y="8095909"/>
              </a:cubicBezTo>
              <a:lnTo>
                <a:pt x="663751" y="8141629"/>
              </a:lnTo>
              <a:cubicBezTo>
                <a:pt x="-80069" y="8141629"/>
                <a:pt x="2746" y="7736764"/>
                <a:pt x="2746" y="6992944"/>
              </a:cubicBezTo>
              <a:lnTo>
                <a:pt x="2746" y="798165"/>
              </a:lnTo>
              <a:close/>
            </a:path>
          </a:pathLst>
        </a:custGeom>
        <a:solidFill>
          <a:srgbClr val="E1EAF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502919</xdr:colOff>
      <xdr:row>8</xdr:row>
      <xdr:rowOff>76200</xdr:rowOff>
    </xdr:from>
    <xdr:to>
      <xdr:col>12</xdr:col>
      <xdr:colOff>579120</xdr:colOff>
      <xdr:row>16</xdr:row>
      <xdr:rowOff>134103</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3550919" y="1539240"/>
          <a:ext cx="4343401" cy="1520943"/>
        </a:xfrm>
        <a:prstGeom prst="roundRect">
          <a:avLst>
            <a:gd name="adj" fmla="val 58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502920</xdr:colOff>
      <xdr:row>17</xdr:row>
      <xdr:rowOff>60960</xdr:rowOff>
    </xdr:from>
    <xdr:to>
      <xdr:col>12</xdr:col>
      <xdr:colOff>548640</xdr:colOff>
      <xdr:row>43</xdr:row>
      <xdr:rowOff>91440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3550920" y="3169920"/>
          <a:ext cx="4312920" cy="4785360"/>
        </a:xfrm>
        <a:prstGeom prst="roundRect">
          <a:avLst>
            <a:gd name="adj" fmla="val 58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45720</xdr:colOff>
      <xdr:row>8</xdr:row>
      <xdr:rowOff>91440</xdr:rowOff>
    </xdr:from>
    <xdr:to>
      <xdr:col>22</xdr:col>
      <xdr:colOff>518160</xdr:colOff>
      <xdr:row>26</xdr:row>
      <xdr:rowOff>76200</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7970520" y="1554480"/>
          <a:ext cx="5958840" cy="3276600"/>
        </a:xfrm>
        <a:prstGeom prst="roundRect">
          <a:avLst>
            <a:gd name="adj" fmla="val 58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xdr:colOff>
      <xdr:row>26</xdr:row>
      <xdr:rowOff>152400</xdr:rowOff>
    </xdr:from>
    <xdr:to>
      <xdr:col>22</xdr:col>
      <xdr:colOff>518160</xdr:colOff>
      <xdr:row>43</xdr:row>
      <xdr:rowOff>106680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7955280" y="4907280"/>
          <a:ext cx="5974080" cy="3063240"/>
        </a:xfrm>
        <a:prstGeom prst="roundRect">
          <a:avLst>
            <a:gd name="adj" fmla="val 58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30480</xdr:colOff>
      <xdr:row>8</xdr:row>
      <xdr:rowOff>91440</xdr:rowOff>
    </xdr:from>
    <xdr:to>
      <xdr:col>31</xdr:col>
      <xdr:colOff>320040</xdr:colOff>
      <xdr:row>43</xdr:row>
      <xdr:rowOff>91440</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4051280" y="1554480"/>
          <a:ext cx="5166360" cy="6400800"/>
        </a:xfrm>
        <a:prstGeom prst="roundRect">
          <a:avLst>
            <a:gd name="adj" fmla="val 582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568235</xdr:colOff>
      <xdr:row>8</xdr:row>
      <xdr:rowOff>152400</xdr:rowOff>
    </xdr:from>
    <xdr:to>
      <xdr:col>8</xdr:col>
      <xdr:colOff>60961</xdr:colOff>
      <xdr:row>16</xdr:row>
      <xdr:rowOff>45720</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3616235" y="1615440"/>
          <a:ext cx="1321526" cy="1356360"/>
        </a:xfrm>
        <a:prstGeom prst="roundRect">
          <a:avLst>
            <a:gd name="adj" fmla="val 5824"/>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156754</xdr:colOff>
      <xdr:row>8</xdr:row>
      <xdr:rowOff>152400</xdr:rowOff>
    </xdr:from>
    <xdr:to>
      <xdr:col>10</xdr:col>
      <xdr:colOff>315686</xdr:colOff>
      <xdr:row>16</xdr:row>
      <xdr:rowOff>0</xdr:rowOff>
    </xdr:to>
    <xdr:sp macro="" textlink="">
      <xdr:nvSpPr>
        <xdr:cNvPr id="18" name="Rounded Rectangle 17">
          <a:extLst>
            <a:ext uri="{FF2B5EF4-FFF2-40B4-BE49-F238E27FC236}">
              <a16:creationId xmlns:a16="http://schemas.microsoft.com/office/drawing/2014/main" id="{00000000-0008-0000-0200-000012000000}"/>
            </a:ext>
          </a:extLst>
        </xdr:cNvPr>
        <xdr:cNvSpPr/>
      </xdr:nvSpPr>
      <xdr:spPr>
        <a:xfrm>
          <a:off x="5033554" y="1615440"/>
          <a:ext cx="1378132" cy="1310640"/>
        </a:xfrm>
        <a:prstGeom prst="roundRect">
          <a:avLst>
            <a:gd name="adj" fmla="val 5824"/>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411480</xdr:colOff>
      <xdr:row>8</xdr:row>
      <xdr:rowOff>152400</xdr:rowOff>
    </xdr:from>
    <xdr:to>
      <xdr:col>12</xdr:col>
      <xdr:colOff>515983</xdr:colOff>
      <xdr:row>16</xdr:row>
      <xdr:rowOff>60960</xdr:rowOff>
    </xdr:to>
    <xdr:sp macro="" textlink="">
      <xdr:nvSpPr>
        <xdr:cNvPr id="19" name="Rounded Rectangle 18">
          <a:extLst>
            <a:ext uri="{FF2B5EF4-FFF2-40B4-BE49-F238E27FC236}">
              <a16:creationId xmlns:a16="http://schemas.microsoft.com/office/drawing/2014/main" id="{00000000-0008-0000-0200-000013000000}"/>
            </a:ext>
          </a:extLst>
        </xdr:cNvPr>
        <xdr:cNvSpPr/>
      </xdr:nvSpPr>
      <xdr:spPr>
        <a:xfrm>
          <a:off x="6507480" y="1615440"/>
          <a:ext cx="1323703" cy="1371600"/>
        </a:xfrm>
        <a:prstGeom prst="roundRect">
          <a:avLst>
            <a:gd name="adj" fmla="val 5824"/>
          </a:avLst>
        </a:prstGeom>
        <a:solidFill>
          <a:srgbClr val="F0F4F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548640</xdr:colOff>
      <xdr:row>3</xdr:row>
      <xdr:rowOff>145869</xdr:rowOff>
    </xdr:from>
    <xdr:to>
      <xdr:col>13</xdr:col>
      <xdr:colOff>579120</xdr:colOff>
      <xdr:row>6</xdr:row>
      <xdr:rowOff>69669</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3596640" y="694509"/>
          <a:ext cx="49072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385F7C"/>
              </a:solidFill>
              <a:latin typeface="+mn-lt"/>
              <a:ea typeface="+mn-ea"/>
              <a:cs typeface="+mn-cs"/>
            </a:rPr>
            <a:t>FURNITURE</a:t>
          </a:r>
          <a:r>
            <a:rPr lang="en-US" sz="2800" b="1"/>
            <a:t> </a:t>
          </a:r>
          <a:r>
            <a:rPr lang="en-US" sz="2800" b="1">
              <a:solidFill>
                <a:srgbClr val="385F7C"/>
              </a:solidFill>
              <a:latin typeface="+mn-lt"/>
              <a:ea typeface="+mn-ea"/>
              <a:cs typeface="+mn-cs"/>
            </a:rPr>
            <a:t>SALES</a:t>
          </a:r>
          <a:r>
            <a:rPr lang="en-US" sz="2800" b="1"/>
            <a:t> </a:t>
          </a:r>
          <a:r>
            <a:rPr lang="en-US" sz="2800" b="1">
              <a:solidFill>
                <a:srgbClr val="385F7C"/>
              </a:solidFill>
            </a:rPr>
            <a:t>OVERVIEW</a:t>
          </a:r>
        </a:p>
      </xdr:txBody>
    </xdr:sp>
    <xdr:clientData/>
  </xdr:twoCellAnchor>
  <xdr:twoCellAnchor>
    <xdr:from>
      <xdr:col>5</xdr:col>
      <xdr:colOff>502920</xdr:colOff>
      <xdr:row>6</xdr:row>
      <xdr:rowOff>34835</xdr:rowOff>
    </xdr:from>
    <xdr:to>
      <xdr:col>21</xdr:col>
      <xdr:colOff>30480</xdr:colOff>
      <xdr:row>8</xdr:row>
      <xdr:rowOff>4355</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3550920" y="1132115"/>
          <a:ext cx="928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2">
                  <a:lumMod val="50000"/>
                </a:schemeClr>
              </a:solidFill>
              <a:latin typeface="+mn-lt"/>
              <a:ea typeface="+mn-ea"/>
              <a:cs typeface="+mn-cs"/>
            </a:rPr>
            <a:t>Summary of Sales Performance, Shipping Trends</a:t>
          </a:r>
          <a:r>
            <a:rPr lang="en-US" sz="1800" b="0" baseline="0">
              <a:solidFill>
                <a:schemeClr val="bg2">
                  <a:lumMod val="50000"/>
                </a:schemeClr>
              </a:solidFill>
              <a:latin typeface="+mn-lt"/>
              <a:ea typeface="+mn-ea"/>
              <a:cs typeface="+mn-cs"/>
            </a:rPr>
            <a:t> and Regional Distribution accros the U.S</a:t>
          </a:r>
          <a:endParaRPr lang="en-US" sz="1800" b="0">
            <a:solidFill>
              <a:schemeClr val="bg2">
                <a:lumMod val="50000"/>
              </a:schemeClr>
            </a:solidFill>
          </a:endParaRPr>
        </a:p>
      </xdr:txBody>
    </xdr:sp>
    <xdr:clientData/>
  </xdr:twoCellAnchor>
  <xdr:twoCellAnchor>
    <xdr:from>
      <xdr:col>6</xdr:col>
      <xdr:colOff>228600</xdr:colOff>
      <xdr:row>8</xdr:row>
      <xdr:rowOff>137160</xdr:rowOff>
    </xdr:from>
    <xdr:to>
      <xdr:col>7</xdr:col>
      <xdr:colOff>304800</xdr:colOff>
      <xdr:row>10</xdr:row>
      <xdr:rowOff>152400</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3886200" y="1600200"/>
          <a:ext cx="685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a:solidFill>
                <a:schemeClr val="bg2">
                  <a:lumMod val="50000"/>
                </a:schemeClr>
              </a:solidFill>
              <a:latin typeface="+mn-lt"/>
              <a:ea typeface="+mn-ea"/>
              <a:cs typeface="+mn-cs"/>
            </a:rPr>
            <a:t>Sales</a:t>
          </a:r>
          <a:endParaRPr lang="en-US" sz="1800" b="0">
            <a:solidFill>
              <a:schemeClr val="bg2">
                <a:lumMod val="50000"/>
              </a:schemeClr>
            </a:solidFill>
          </a:endParaRPr>
        </a:p>
      </xdr:txBody>
    </xdr:sp>
    <xdr:clientData/>
  </xdr:twoCellAnchor>
  <xdr:twoCellAnchor>
    <xdr:from>
      <xdr:col>8</xdr:col>
      <xdr:colOff>510540</xdr:colOff>
      <xdr:row>8</xdr:row>
      <xdr:rowOff>137160</xdr:rowOff>
    </xdr:from>
    <xdr:to>
      <xdr:col>10</xdr:col>
      <xdr:colOff>68580</xdr:colOff>
      <xdr:row>10</xdr:row>
      <xdr:rowOff>137160</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5387340" y="1600200"/>
          <a:ext cx="7772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a:solidFill>
                <a:schemeClr val="bg2">
                  <a:lumMod val="50000"/>
                </a:schemeClr>
              </a:solidFill>
              <a:latin typeface="+mn-lt"/>
              <a:ea typeface="+mn-ea"/>
              <a:cs typeface="+mn-cs"/>
            </a:rPr>
            <a:t>Profit</a:t>
          </a:r>
          <a:endParaRPr lang="en-US" sz="1800" b="0">
            <a:solidFill>
              <a:schemeClr val="bg2">
                <a:lumMod val="50000"/>
              </a:schemeClr>
            </a:solidFill>
          </a:endParaRPr>
        </a:p>
      </xdr:txBody>
    </xdr:sp>
    <xdr:clientData/>
  </xdr:twoCellAnchor>
  <xdr:twoCellAnchor>
    <xdr:from>
      <xdr:col>11</xdr:col>
      <xdr:colOff>60960</xdr:colOff>
      <xdr:row>8</xdr:row>
      <xdr:rowOff>137160</xdr:rowOff>
    </xdr:from>
    <xdr:to>
      <xdr:col>12</xdr:col>
      <xdr:colOff>472440</xdr:colOff>
      <xdr:row>10</xdr:row>
      <xdr:rowOff>137160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6766560" y="1600200"/>
          <a:ext cx="10210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a:solidFill>
                <a:schemeClr val="bg2">
                  <a:lumMod val="50000"/>
                </a:schemeClr>
              </a:solidFill>
              <a:latin typeface="+mn-lt"/>
              <a:ea typeface="+mn-ea"/>
              <a:cs typeface="+mn-cs"/>
            </a:rPr>
            <a:t>Quantity</a:t>
          </a:r>
          <a:endParaRPr lang="en-US" sz="1800" b="0">
            <a:solidFill>
              <a:schemeClr val="bg2">
                <a:lumMod val="50000"/>
              </a:schemeClr>
            </a:solidFill>
          </a:endParaRPr>
        </a:p>
      </xdr:txBody>
    </xdr:sp>
    <xdr:clientData/>
  </xdr:twoCellAnchor>
  <xdr:twoCellAnchor>
    <xdr:from>
      <xdr:col>13</xdr:col>
      <xdr:colOff>152400</xdr:colOff>
      <xdr:row>8</xdr:row>
      <xdr:rowOff>167640</xdr:rowOff>
    </xdr:from>
    <xdr:to>
      <xdr:col>15</xdr:col>
      <xdr:colOff>228600</xdr:colOff>
      <xdr:row>10</xdr:row>
      <xdr:rowOff>106680</xdr:rowOff>
    </xdr:to>
    <xdr:sp macro="" textlink="">
      <xdr:nvSpPr>
        <xdr:cNvPr id="27" name="TextBox 26">
          <a:extLst>
            <a:ext uri="{FF2B5EF4-FFF2-40B4-BE49-F238E27FC236}">
              <a16:creationId xmlns:a16="http://schemas.microsoft.com/office/drawing/2014/main" id="{00000000-0008-0000-0200-00001B000000}"/>
            </a:ext>
          </a:extLst>
        </xdr:cNvPr>
        <xdr:cNvSpPr txBox="1"/>
      </xdr:nvSpPr>
      <xdr:spPr>
        <a:xfrm>
          <a:off x="8077200" y="163068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Sales Trend</a:t>
          </a:r>
          <a:endParaRPr lang="en-US" sz="1800" b="0">
            <a:solidFill>
              <a:srgbClr val="385F7C"/>
            </a:solidFill>
          </a:endParaRPr>
        </a:p>
      </xdr:txBody>
    </xdr:sp>
    <xdr:clientData/>
  </xdr:twoCellAnchor>
  <xdr:twoCellAnchor>
    <xdr:from>
      <xdr:col>13</xdr:col>
      <xdr:colOff>106680</xdr:colOff>
      <xdr:row>27</xdr:row>
      <xdr:rowOff>15240</xdr:rowOff>
    </xdr:from>
    <xdr:to>
      <xdr:col>16</xdr:col>
      <xdr:colOff>320040</xdr:colOff>
      <xdr:row>28</xdr:row>
      <xdr:rowOff>167640</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8031480" y="4953000"/>
          <a:ext cx="2042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Shipping Duration</a:t>
          </a:r>
          <a:endParaRPr lang="en-US" sz="1800" b="0">
            <a:solidFill>
              <a:srgbClr val="385F7C"/>
            </a:solidFill>
          </a:endParaRPr>
        </a:p>
      </xdr:txBody>
    </xdr:sp>
    <xdr:clientData/>
  </xdr:twoCellAnchor>
  <xdr:twoCellAnchor>
    <xdr:from>
      <xdr:col>23</xdr:col>
      <xdr:colOff>274320</xdr:colOff>
      <xdr:row>8</xdr:row>
      <xdr:rowOff>91440</xdr:rowOff>
    </xdr:from>
    <xdr:to>
      <xdr:col>28</xdr:col>
      <xdr:colOff>548640</xdr:colOff>
      <xdr:row>10</xdr:row>
      <xdr:rowOff>91440</xdr:rowOff>
    </xdr:to>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14295120" y="1554480"/>
          <a:ext cx="33223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Sales</a:t>
          </a:r>
          <a:r>
            <a:rPr lang="en-US" sz="1800" b="0" baseline="0">
              <a:solidFill>
                <a:srgbClr val="385F7C"/>
              </a:solidFill>
              <a:latin typeface="+mn-lt"/>
              <a:ea typeface="+mn-ea"/>
              <a:cs typeface="+mn-cs"/>
            </a:rPr>
            <a:t> Distribution by State</a:t>
          </a:r>
          <a:endParaRPr lang="en-US" sz="1800" b="0">
            <a:solidFill>
              <a:srgbClr val="385F7C"/>
            </a:solidFill>
          </a:endParaRPr>
        </a:p>
      </xdr:txBody>
    </xdr:sp>
    <xdr:clientData/>
  </xdr:twoCellAnchor>
  <xdr:twoCellAnchor>
    <xdr:from>
      <xdr:col>6</xdr:col>
      <xdr:colOff>30480</xdr:colOff>
      <xdr:row>17</xdr:row>
      <xdr:rowOff>30480</xdr:rowOff>
    </xdr:from>
    <xdr:to>
      <xdr:col>11</xdr:col>
      <xdr:colOff>304800</xdr:colOff>
      <xdr:row>19</xdr:row>
      <xdr:rowOff>30480</xdr:rowOff>
    </xdr:to>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3688080" y="3139440"/>
          <a:ext cx="33223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Shipping</a:t>
          </a:r>
          <a:r>
            <a:rPr lang="en-US" sz="1800" b="0" baseline="0">
              <a:solidFill>
                <a:srgbClr val="385F7C"/>
              </a:solidFill>
              <a:latin typeface="+mn-lt"/>
              <a:ea typeface="+mn-ea"/>
              <a:cs typeface="+mn-cs"/>
            </a:rPr>
            <a:t> Mode</a:t>
          </a:r>
          <a:endParaRPr lang="en-US" sz="1800" b="0">
            <a:solidFill>
              <a:srgbClr val="385F7C"/>
            </a:solidFill>
          </a:endParaRPr>
        </a:p>
      </xdr:txBody>
    </xdr:sp>
    <xdr:clientData/>
  </xdr:twoCellAnchor>
  <xdr:twoCellAnchor>
    <xdr:from>
      <xdr:col>6</xdr:col>
      <xdr:colOff>15240</xdr:colOff>
      <xdr:row>10</xdr:row>
      <xdr:rowOff>106680</xdr:rowOff>
    </xdr:from>
    <xdr:to>
      <xdr:col>7</xdr:col>
      <xdr:colOff>457200</xdr:colOff>
      <xdr:row>13</xdr:row>
      <xdr:rowOff>15240</xdr:rowOff>
    </xdr:to>
    <xdr:sp macro="" textlink="sales">
      <xdr:nvSpPr>
        <xdr:cNvPr id="31" name="TextBox 30">
          <a:extLst>
            <a:ext uri="{FF2B5EF4-FFF2-40B4-BE49-F238E27FC236}">
              <a16:creationId xmlns:a16="http://schemas.microsoft.com/office/drawing/2014/main" id="{00000000-0008-0000-0200-00001F000000}"/>
            </a:ext>
          </a:extLst>
        </xdr:cNvPr>
        <xdr:cNvSpPr txBox="1"/>
      </xdr:nvSpPr>
      <xdr:spPr>
        <a:xfrm>
          <a:off x="3672840" y="1935480"/>
          <a:ext cx="10515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AA137A-8E59-4547-A74A-BA5F680E479C}" type="TxLink">
            <a:rPr lang="en-US" sz="1800" b="0" i="0" u="none" strike="noStrike">
              <a:solidFill>
                <a:srgbClr val="385F7C"/>
              </a:solidFill>
              <a:latin typeface="Calibri"/>
              <a:ea typeface="+mn-ea"/>
              <a:cs typeface="Calibri"/>
            </a:rPr>
            <a:pPr marL="0" indent="0" algn="ctr"/>
            <a:t>$742K</a:t>
          </a:fld>
          <a:endParaRPr lang="en-US" sz="1800" b="0" i="0" u="none" strike="noStrike">
            <a:solidFill>
              <a:srgbClr val="385F7C"/>
            </a:solidFill>
            <a:latin typeface="Calibri"/>
            <a:ea typeface="+mn-ea"/>
            <a:cs typeface="Calibri"/>
          </a:endParaRPr>
        </a:p>
      </xdr:txBody>
    </xdr:sp>
    <xdr:clientData/>
  </xdr:twoCellAnchor>
  <xdr:twoCellAnchor>
    <xdr:from>
      <xdr:col>8</xdr:col>
      <xdr:colOff>518160</xdr:colOff>
      <xdr:row>10</xdr:row>
      <xdr:rowOff>137160</xdr:rowOff>
    </xdr:from>
    <xdr:to>
      <xdr:col>10</xdr:col>
      <xdr:colOff>121920</xdr:colOff>
      <xdr:row>13</xdr:row>
      <xdr:rowOff>106680</xdr:rowOff>
    </xdr:to>
    <xdr:sp macro="" textlink="profit">
      <xdr:nvSpPr>
        <xdr:cNvPr id="34" name="TextBox 33">
          <a:extLst>
            <a:ext uri="{FF2B5EF4-FFF2-40B4-BE49-F238E27FC236}">
              <a16:creationId xmlns:a16="http://schemas.microsoft.com/office/drawing/2014/main" id="{00000000-0008-0000-0200-000022000000}"/>
            </a:ext>
          </a:extLst>
        </xdr:cNvPr>
        <xdr:cNvSpPr txBox="1"/>
      </xdr:nvSpPr>
      <xdr:spPr>
        <a:xfrm>
          <a:off x="5394960" y="1965960"/>
          <a:ext cx="8229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534F61-C6D8-450D-BB3E-B3FC352558A5}" type="TxLink">
            <a:rPr lang="en-US" sz="1800" b="0" i="0" u="none" strike="noStrike">
              <a:solidFill>
                <a:srgbClr val="385F7C"/>
              </a:solidFill>
              <a:latin typeface="Calibri"/>
              <a:ea typeface="+mn-ea"/>
              <a:cs typeface="Calibri"/>
            </a:rPr>
            <a:pPr marL="0" indent="0" algn="ctr"/>
            <a:t>$18.5K</a:t>
          </a:fld>
          <a:endParaRPr lang="en-US" sz="1800" b="0" i="0" u="none" strike="noStrike">
            <a:solidFill>
              <a:srgbClr val="385F7C"/>
            </a:solidFill>
            <a:latin typeface="Calibri"/>
            <a:ea typeface="+mn-ea"/>
            <a:cs typeface="Calibri"/>
          </a:endParaRPr>
        </a:p>
      </xdr:txBody>
    </xdr:sp>
    <xdr:clientData/>
  </xdr:twoCellAnchor>
  <xdr:twoCellAnchor>
    <xdr:from>
      <xdr:col>11</xdr:col>
      <xdr:colOff>60960</xdr:colOff>
      <xdr:row>10</xdr:row>
      <xdr:rowOff>137160</xdr:rowOff>
    </xdr:from>
    <xdr:to>
      <xdr:col>12</xdr:col>
      <xdr:colOff>289560</xdr:colOff>
      <xdr:row>13</xdr:row>
      <xdr:rowOff>15240</xdr:rowOff>
    </xdr:to>
    <xdr:sp macro="" textlink="quantity">
      <xdr:nvSpPr>
        <xdr:cNvPr id="35" name="TextBox 34">
          <a:extLst>
            <a:ext uri="{FF2B5EF4-FFF2-40B4-BE49-F238E27FC236}">
              <a16:creationId xmlns:a16="http://schemas.microsoft.com/office/drawing/2014/main" id="{00000000-0008-0000-0200-000023000000}"/>
            </a:ext>
          </a:extLst>
        </xdr:cNvPr>
        <xdr:cNvSpPr txBox="1"/>
      </xdr:nvSpPr>
      <xdr:spPr>
        <a:xfrm>
          <a:off x="6766560" y="1965960"/>
          <a:ext cx="83820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0ED43-E5AD-43D6-8870-D91C40E9ECEC}" type="TxLink">
            <a:rPr lang="en-US" sz="1800" b="0" i="0" u="none" strike="noStrike">
              <a:solidFill>
                <a:srgbClr val="385F7C"/>
              </a:solidFill>
              <a:latin typeface="Calibri"/>
              <a:cs typeface="Calibri"/>
            </a:rPr>
            <a:pPr algn="ctr"/>
            <a:t>8K</a:t>
          </a:fld>
          <a:endParaRPr lang="en-US" sz="3200" b="0">
            <a:solidFill>
              <a:srgbClr val="385F7C"/>
            </a:solidFill>
          </a:endParaRPr>
        </a:p>
      </xdr:txBody>
    </xdr:sp>
    <xdr:clientData/>
  </xdr:twoCellAnchor>
  <xdr:twoCellAnchor>
    <xdr:from>
      <xdr:col>6</xdr:col>
      <xdr:colOff>106680</xdr:colOff>
      <xdr:row>13</xdr:row>
      <xdr:rowOff>152400</xdr:rowOff>
    </xdr:from>
    <xdr:to>
      <xdr:col>7</xdr:col>
      <xdr:colOff>381000</xdr:colOff>
      <xdr:row>15</xdr:row>
      <xdr:rowOff>91440</xdr:rowOff>
    </xdr:to>
    <xdr:sp macro="" textlink="salesyoy">
      <xdr:nvSpPr>
        <xdr:cNvPr id="36" name="TextBox 35">
          <a:extLst>
            <a:ext uri="{FF2B5EF4-FFF2-40B4-BE49-F238E27FC236}">
              <a16:creationId xmlns:a16="http://schemas.microsoft.com/office/drawing/2014/main" id="{00000000-0008-0000-0200-000024000000}"/>
            </a:ext>
          </a:extLst>
        </xdr:cNvPr>
        <xdr:cNvSpPr txBox="1"/>
      </xdr:nvSpPr>
      <xdr:spPr>
        <a:xfrm>
          <a:off x="3764280" y="2558143"/>
          <a:ext cx="883920" cy="309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F7E86F-BA81-4492-A3EF-2881CCE64782}" type="TxLink">
            <a:rPr lang="en-US" sz="1200" b="0" i="0" u="none" strike="noStrike">
              <a:solidFill>
                <a:srgbClr val="00B050"/>
              </a:solidFill>
              <a:latin typeface="Calibri"/>
              <a:ea typeface="+mn-ea"/>
              <a:cs typeface="Calibri"/>
            </a:rPr>
            <a:pPr marL="0" indent="0" algn="ctr"/>
            <a:t>▲8% YoY</a:t>
          </a:fld>
          <a:endParaRPr lang="en-US" sz="1200" b="0" i="0" u="none" strike="noStrike">
            <a:solidFill>
              <a:srgbClr val="00B050"/>
            </a:solidFill>
            <a:latin typeface="Calibri"/>
            <a:ea typeface="+mn-ea"/>
            <a:cs typeface="Calibri"/>
          </a:endParaRPr>
        </a:p>
      </xdr:txBody>
    </xdr:sp>
    <xdr:clientData/>
  </xdr:twoCellAnchor>
  <xdr:twoCellAnchor>
    <xdr:from>
      <xdr:col>8</xdr:col>
      <xdr:colOff>449580</xdr:colOff>
      <xdr:row>14</xdr:row>
      <xdr:rowOff>0</xdr:rowOff>
    </xdr:from>
    <xdr:to>
      <xdr:col>10</xdr:col>
      <xdr:colOff>114300</xdr:colOff>
      <xdr:row>15</xdr:row>
      <xdr:rowOff>121920</xdr:rowOff>
    </xdr:to>
    <xdr:sp macro="" textlink="profityoy">
      <xdr:nvSpPr>
        <xdr:cNvPr id="37" name="TextBox 36">
          <a:extLst>
            <a:ext uri="{FF2B5EF4-FFF2-40B4-BE49-F238E27FC236}">
              <a16:creationId xmlns:a16="http://schemas.microsoft.com/office/drawing/2014/main" id="{00000000-0008-0000-0200-000025000000}"/>
            </a:ext>
          </a:extLst>
        </xdr:cNvPr>
        <xdr:cNvSpPr txBox="1"/>
      </xdr:nvSpPr>
      <xdr:spPr>
        <a:xfrm>
          <a:off x="5326380" y="2560320"/>
          <a:ext cx="8839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CA234DF-2E4D-4D63-BCC5-580FACE35206}" type="TxLink">
            <a:rPr lang="en-US" sz="1200" b="0" i="0" u="none" strike="noStrike">
              <a:solidFill>
                <a:srgbClr val="FF0000"/>
              </a:solidFill>
              <a:latin typeface="Calibri"/>
              <a:ea typeface="+mn-ea"/>
              <a:cs typeface="Calibri"/>
            </a:rPr>
            <a:pPr marL="0" indent="0" algn="ctr"/>
            <a:t>▼57% YoY</a:t>
          </a:fld>
          <a:endParaRPr lang="en-US" sz="1200" b="0" i="0" u="none" strike="noStrike">
            <a:solidFill>
              <a:srgbClr val="FF0000"/>
            </a:solidFill>
            <a:latin typeface="Calibri"/>
            <a:ea typeface="+mn-ea"/>
            <a:cs typeface="Calibri"/>
          </a:endParaRPr>
        </a:p>
      </xdr:txBody>
    </xdr:sp>
    <xdr:clientData/>
  </xdr:twoCellAnchor>
  <xdr:twoCellAnchor>
    <xdr:from>
      <xdr:col>11</xdr:col>
      <xdr:colOff>121920</xdr:colOff>
      <xdr:row>14</xdr:row>
      <xdr:rowOff>0</xdr:rowOff>
    </xdr:from>
    <xdr:to>
      <xdr:col>12</xdr:col>
      <xdr:colOff>396240</xdr:colOff>
      <xdr:row>15</xdr:row>
      <xdr:rowOff>121920</xdr:rowOff>
    </xdr:to>
    <xdr:sp macro="" textlink="quantityyoy">
      <xdr:nvSpPr>
        <xdr:cNvPr id="38" name="TextBox 37">
          <a:extLst>
            <a:ext uri="{FF2B5EF4-FFF2-40B4-BE49-F238E27FC236}">
              <a16:creationId xmlns:a16="http://schemas.microsoft.com/office/drawing/2014/main" id="{00000000-0008-0000-0200-000026000000}"/>
            </a:ext>
          </a:extLst>
        </xdr:cNvPr>
        <xdr:cNvSpPr txBox="1"/>
      </xdr:nvSpPr>
      <xdr:spPr>
        <a:xfrm>
          <a:off x="6827520" y="2560320"/>
          <a:ext cx="8839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C9A38-021C-4FD7-BAEF-DA8E46651145}" type="TxLink">
            <a:rPr lang="en-US" sz="1200" b="0" i="0" u="none" strike="noStrike">
              <a:solidFill>
                <a:srgbClr val="00B050"/>
              </a:solidFill>
              <a:latin typeface="Calibri"/>
              <a:ea typeface="+mn-ea"/>
              <a:cs typeface="Calibri"/>
            </a:rPr>
            <a:pPr marL="0" indent="0" algn="ctr"/>
            <a:t>▲11% YoY</a:t>
          </a:fld>
          <a:endParaRPr lang="en-US" sz="1200" b="0" i="0" u="none" strike="noStrike">
            <a:solidFill>
              <a:srgbClr val="00B050"/>
            </a:solidFill>
            <a:latin typeface="Calibri"/>
            <a:ea typeface="+mn-ea"/>
            <a:cs typeface="Calibri"/>
          </a:endParaRPr>
        </a:p>
      </xdr:txBody>
    </xdr:sp>
    <xdr:clientData/>
  </xdr:twoCellAnchor>
  <xdr:twoCellAnchor>
    <xdr:from>
      <xdr:col>13</xdr:col>
      <xdr:colOff>152400</xdr:colOff>
      <xdr:row>11</xdr:row>
      <xdr:rowOff>76200</xdr:rowOff>
    </xdr:from>
    <xdr:to>
      <xdr:col>22</xdr:col>
      <xdr:colOff>396240</xdr:colOff>
      <xdr:row>25</xdr:row>
      <xdr:rowOff>134303</xdr:rowOff>
    </xdr:to>
    <xdr:graphicFrame macro="">
      <xdr:nvGraphicFramePr>
        <xdr:cNvPr id="3" name="Sales Trend">
          <a:extLst>
            <a:ext uri="{FF2B5EF4-FFF2-40B4-BE49-F238E27FC236}">
              <a16:creationId xmlns:a16="http://schemas.microsoft.com/office/drawing/2014/main" id="{D2DDDFD5-7613-3E79-DDE2-BA30FCAAF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10</xdr:row>
      <xdr:rowOff>76200</xdr:rowOff>
    </xdr:from>
    <xdr:to>
      <xdr:col>19</xdr:col>
      <xdr:colOff>365760</xdr:colOff>
      <xdr:row>11</xdr:row>
      <xdr:rowOff>137160</xdr:rowOff>
    </xdr:to>
    <xdr:sp macro="" textlink="salestrend">
      <xdr:nvSpPr>
        <xdr:cNvPr id="32" name="TextBox 31">
          <a:extLst>
            <a:ext uri="{FF2B5EF4-FFF2-40B4-BE49-F238E27FC236}">
              <a16:creationId xmlns:a16="http://schemas.microsoft.com/office/drawing/2014/main" id="{C2FA366B-8862-D33B-7AD0-BC3C1A3DE797}"/>
            </a:ext>
          </a:extLst>
        </xdr:cNvPr>
        <xdr:cNvSpPr txBox="1"/>
      </xdr:nvSpPr>
      <xdr:spPr>
        <a:xfrm>
          <a:off x="8077200" y="1905000"/>
          <a:ext cx="3870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64B78D-63C6-4EEB-A426-FCC2A2DECFB7}" type="TxLink">
            <a:rPr lang="en-US" sz="1200" b="0" i="0" u="none" strike="noStrike">
              <a:solidFill>
                <a:schemeClr val="tx1">
                  <a:lumMod val="65000"/>
                  <a:lumOff val="35000"/>
                </a:schemeClr>
              </a:solidFill>
              <a:latin typeface="Calibri"/>
              <a:cs typeface="Calibri"/>
            </a:rPr>
            <a:pPr/>
            <a:t>Peak Sales Month: Dec with $121,818 in Sales</a:t>
          </a:fld>
          <a:endParaRPr lang="en-US" sz="2000" b="0">
            <a:solidFill>
              <a:schemeClr val="tx1">
                <a:lumMod val="65000"/>
                <a:lumOff val="35000"/>
              </a:schemeClr>
            </a:solidFill>
          </a:endParaRPr>
        </a:p>
      </xdr:txBody>
    </xdr:sp>
    <xdr:clientData/>
  </xdr:twoCellAnchor>
  <xdr:twoCellAnchor>
    <xdr:from>
      <xdr:col>12</xdr:col>
      <xdr:colOff>605788</xdr:colOff>
      <xdr:row>29</xdr:row>
      <xdr:rowOff>152400</xdr:rowOff>
    </xdr:from>
    <xdr:to>
      <xdr:col>22</xdr:col>
      <xdr:colOff>487679</xdr:colOff>
      <xdr:row>43</xdr:row>
      <xdr:rowOff>87631</xdr:rowOff>
    </xdr:to>
    <xdr:graphicFrame macro="">
      <xdr:nvGraphicFramePr>
        <xdr:cNvPr id="4" name="Shipping duration">
          <a:extLst>
            <a:ext uri="{FF2B5EF4-FFF2-40B4-BE49-F238E27FC236}">
              <a16:creationId xmlns:a16="http://schemas.microsoft.com/office/drawing/2014/main" id="{C98C8D4C-E741-DBE5-F967-557C70961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121920</xdr:colOff>
      <xdr:row>28</xdr:row>
      <xdr:rowOff>106680</xdr:rowOff>
    </xdr:from>
    <xdr:to>
      <xdr:col>19</xdr:col>
      <xdr:colOff>335280</xdr:colOff>
      <xdr:row>29</xdr:row>
      <xdr:rowOff>167640</xdr:rowOff>
    </xdr:to>
    <xdr:sp macro="" textlink="ordersduration">
      <xdr:nvSpPr>
        <xdr:cNvPr id="7" name="TextBox 6">
          <a:extLst>
            <a:ext uri="{FF2B5EF4-FFF2-40B4-BE49-F238E27FC236}">
              <a16:creationId xmlns:a16="http://schemas.microsoft.com/office/drawing/2014/main" id="{FE77C633-44C0-AC51-82F5-51A6E6A8A382}"/>
            </a:ext>
          </a:extLst>
        </xdr:cNvPr>
        <xdr:cNvSpPr txBox="1"/>
      </xdr:nvSpPr>
      <xdr:spPr>
        <a:xfrm>
          <a:off x="8046720" y="5227320"/>
          <a:ext cx="3870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4BFC67-62C5-4C65-8EA7-117010B48BD6}" type="TxLink">
            <a:rPr lang="en-US" sz="1200" b="0" i="0" u="none" strike="noStrike">
              <a:solidFill>
                <a:schemeClr val="tx1">
                  <a:lumMod val="65000"/>
                  <a:lumOff val="35000"/>
                </a:schemeClr>
              </a:solidFill>
              <a:latin typeface="Calibri"/>
              <a:cs typeface="Calibri"/>
            </a:rPr>
            <a:pPr/>
            <a:t>Most Orders (28%) were delivered in 4 days.</a:t>
          </a:fld>
          <a:endParaRPr lang="en-US" sz="2400" b="0">
            <a:solidFill>
              <a:schemeClr val="tx1">
                <a:lumMod val="65000"/>
                <a:lumOff val="35000"/>
              </a:schemeClr>
            </a:solidFill>
          </a:endParaRPr>
        </a:p>
      </xdr:txBody>
    </xdr:sp>
    <xdr:clientData/>
  </xdr:twoCellAnchor>
  <xdr:twoCellAnchor>
    <xdr:from>
      <xdr:col>23</xdr:col>
      <xdr:colOff>41910</xdr:colOff>
      <xdr:row>10</xdr:row>
      <xdr:rowOff>30480</xdr:rowOff>
    </xdr:from>
    <xdr:to>
      <xdr:col>31</xdr:col>
      <xdr:colOff>243840</xdr:colOff>
      <xdr:row>27</xdr:row>
      <xdr:rowOff>167640</xdr:rowOff>
    </xdr:to>
    <mc:AlternateContent xmlns:mc="http://schemas.openxmlformats.org/markup-compatibility/2006">
      <mc:Choice xmlns:cx4="http://schemas.microsoft.com/office/drawing/2016/5/10/chartex" Requires="cx4">
        <xdr:graphicFrame macro="">
          <xdr:nvGraphicFramePr>
            <xdr:cNvPr id="8" name="Chart 3">
              <a:extLst>
                <a:ext uri="{FF2B5EF4-FFF2-40B4-BE49-F238E27FC236}">
                  <a16:creationId xmlns:a16="http://schemas.microsoft.com/office/drawing/2014/main" id="{68FE1074-1C4F-0E70-A92F-BCFC724FB5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062710" y="1859280"/>
              <a:ext cx="5078730" cy="3246120"/>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106680</xdr:colOff>
      <xdr:row>28</xdr:row>
      <xdr:rowOff>91440</xdr:rowOff>
    </xdr:from>
    <xdr:to>
      <xdr:col>31</xdr:col>
      <xdr:colOff>411480</xdr:colOff>
      <xdr:row>43</xdr:row>
      <xdr:rowOff>134303</xdr:rowOff>
    </xdr:to>
    <xdr:graphicFrame macro="">
      <xdr:nvGraphicFramePr>
        <xdr:cNvPr id="11" name="Chart 4">
          <a:extLst>
            <a:ext uri="{FF2B5EF4-FFF2-40B4-BE49-F238E27FC236}">
              <a16:creationId xmlns:a16="http://schemas.microsoft.com/office/drawing/2014/main" id="{36319696-7F62-A7F2-C4B3-517B3C4A7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106680</xdr:colOff>
      <xdr:row>27</xdr:row>
      <xdr:rowOff>121920</xdr:rowOff>
    </xdr:from>
    <xdr:to>
      <xdr:col>29</xdr:col>
      <xdr:colOff>320040</xdr:colOff>
      <xdr:row>29</xdr:row>
      <xdr:rowOff>0</xdr:rowOff>
    </xdr:to>
    <xdr:sp macro="" textlink="topsellingcity">
      <xdr:nvSpPr>
        <xdr:cNvPr id="12" name="TextBox 11">
          <a:extLst>
            <a:ext uri="{FF2B5EF4-FFF2-40B4-BE49-F238E27FC236}">
              <a16:creationId xmlns:a16="http://schemas.microsoft.com/office/drawing/2014/main" id="{FFA2C302-98BF-5EE6-1E71-D5536512CCA2}"/>
            </a:ext>
          </a:extLst>
        </xdr:cNvPr>
        <xdr:cNvSpPr txBox="1"/>
      </xdr:nvSpPr>
      <xdr:spPr>
        <a:xfrm>
          <a:off x="14127480" y="5059680"/>
          <a:ext cx="3870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DC3A2D-928B-4D9B-8308-B3CE865241DD}" type="TxLink">
            <a:rPr lang="en-US" sz="1200" b="0" i="0" u="none" strike="noStrike">
              <a:solidFill>
                <a:schemeClr val="tx1">
                  <a:lumMod val="65000"/>
                  <a:lumOff val="35000"/>
                </a:schemeClr>
              </a:solidFill>
              <a:latin typeface="Calibri"/>
              <a:cs typeface="Calibri"/>
            </a:rPr>
            <a:pPr/>
            <a:t>Top Selling City: New York City (75,691)</a:t>
          </a:fld>
          <a:endParaRPr lang="en-US" sz="2400" b="0">
            <a:solidFill>
              <a:schemeClr val="tx1">
                <a:lumMod val="65000"/>
                <a:lumOff val="35000"/>
              </a:schemeClr>
            </a:solidFill>
          </a:endParaRPr>
        </a:p>
      </xdr:txBody>
    </xdr:sp>
    <xdr:clientData/>
  </xdr:twoCellAnchor>
  <xdr:twoCellAnchor>
    <xdr:from>
      <xdr:col>5</xdr:col>
      <xdr:colOff>524827</xdr:colOff>
      <xdr:row>20</xdr:row>
      <xdr:rowOff>30480</xdr:rowOff>
    </xdr:from>
    <xdr:to>
      <xdr:col>12</xdr:col>
      <xdr:colOff>426720</xdr:colOff>
      <xdr:row>30</xdr:row>
      <xdr:rowOff>15240</xdr:rowOff>
    </xdr:to>
    <xdr:graphicFrame macro="">
      <xdr:nvGraphicFramePr>
        <xdr:cNvPr id="16" name="Chart 5">
          <a:extLst>
            <a:ext uri="{FF2B5EF4-FFF2-40B4-BE49-F238E27FC236}">
              <a16:creationId xmlns:a16="http://schemas.microsoft.com/office/drawing/2014/main" id="{0F765C95-84F6-5CE9-7196-BB29AED6B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15240</xdr:colOff>
      <xdr:row>18</xdr:row>
      <xdr:rowOff>174170</xdr:rowOff>
    </xdr:from>
    <xdr:to>
      <xdr:col>10</xdr:col>
      <xdr:colOff>598714</xdr:colOff>
      <xdr:row>20</xdr:row>
      <xdr:rowOff>15239</xdr:rowOff>
    </xdr:to>
    <xdr:sp macro="" textlink="shipmode">
      <xdr:nvSpPr>
        <xdr:cNvPr id="17" name="TextBox 16">
          <a:extLst>
            <a:ext uri="{FF2B5EF4-FFF2-40B4-BE49-F238E27FC236}">
              <a16:creationId xmlns:a16="http://schemas.microsoft.com/office/drawing/2014/main" id="{69D2A2C5-BE9D-386E-A9F1-C3450159067B}"/>
            </a:ext>
          </a:extLst>
        </xdr:cNvPr>
        <xdr:cNvSpPr txBox="1"/>
      </xdr:nvSpPr>
      <xdr:spPr>
        <a:xfrm>
          <a:off x="3672840" y="3505199"/>
          <a:ext cx="3021874" cy="21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FF4849-E2B3-4127-A5DA-C349E03D6AAD}" type="TxLink">
            <a:rPr lang="en-US" sz="1200" b="0" i="0" u="none" strike="noStrike">
              <a:solidFill>
                <a:schemeClr val="tx1">
                  <a:lumMod val="65000"/>
                  <a:lumOff val="35000"/>
                </a:schemeClr>
              </a:solidFill>
              <a:latin typeface="Calibri"/>
              <a:cs typeface="Calibri"/>
            </a:rPr>
            <a:pPr/>
            <a:t>Most Orders Used Standard Class(59%)</a:t>
          </a:fld>
          <a:endParaRPr lang="en-US" sz="2800" b="0">
            <a:solidFill>
              <a:schemeClr val="tx1">
                <a:lumMod val="65000"/>
                <a:lumOff val="35000"/>
              </a:schemeClr>
            </a:solidFill>
          </a:endParaRPr>
        </a:p>
      </xdr:txBody>
    </xdr:sp>
    <xdr:clientData/>
  </xdr:twoCellAnchor>
  <xdr:twoCellAnchor>
    <xdr:from>
      <xdr:col>7</xdr:col>
      <xdr:colOff>15240</xdr:colOff>
      <xdr:row>21</xdr:row>
      <xdr:rowOff>60960</xdr:rowOff>
    </xdr:from>
    <xdr:to>
      <xdr:col>9</xdr:col>
      <xdr:colOff>274320</xdr:colOff>
      <xdr:row>29</xdr:row>
      <xdr:rowOff>76200</xdr:rowOff>
    </xdr:to>
    <xdr:sp macro="" textlink="">
      <xdr:nvSpPr>
        <xdr:cNvPr id="21" name="Oval 20">
          <a:extLst>
            <a:ext uri="{FF2B5EF4-FFF2-40B4-BE49-F238E27FC236}">
              <a16:creationId xmlns:a16="http://schemas.microsoft.com/office/drawing/2014/main" id="{7B66885C-BCFD-6021-23D4-884F5B6653A2}"/>
            </a:ext>
          </a:extLst>
        </xdr:cNvPr>
        <xdr:cNvSpPr/>
      </xdr:nvSpPr>
      <xdr:spPr>
        <a:xfrm>
          <a:off x="4282440" y="3901440"/>
          <a:ext cx="1478280" cy="1478280"/>
        </a:xfrm>
        <a:prstGeom prst="ellipse">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304800</xdr:colOff>
      <xdr:row>24</xdr:row>
      <xdr:rowOff>91440</xdr:rowOff>
    </xdr:from>
    <xdr:to>
      <xdr:col>9</xdr:col>
      <xdr:colOff>91440</xdr:colOff>
      <xdr:row>26</xdr:row>
      <xdr:rowOff>15240</xdr:rowOff>
    </xdr:to>
    <xdr:sp macro="" textlink="">
      <xdr:nvSpPr>
        <xdr:cNvPr id="22" name="TextBox 21">
          <a:extLst>
            <a:ext uri="{FF2B5EF4-FFF2-40B4-BE49-F238E27FC236}">
              <a16:creationId xmlns:a16="http://schemas.microsoft.com/office/drawing/2014/main" id="{4CEE7DBB-BE14-332D-04E3-FB0AE6641801}"/>
            </a:ext>
          </a:extLst>
        </xdr:cNvPr>
        <xdr:cNvSpPr txBox="1"/>
      </xdr:nvSpPr>
      <xdr:spPr>
        <a:xfrm>
          <a:off x="4572000" y="4480560"/>
          <a:ext cx="10058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a:solidFill>
                <a:schemeClr val="tx1">
                  <a:lumMod val="65000"/>
                  <a:lumOff val="35000"/>
                </a:schemeClr>
              </a:solidFill>
              <a:latin typeface="+mn-lt"/>
              <a:ea typeface="+mn-ea"/>
              <a:cs typeface="+mn-cs"/>
            </a:rPr>
            <a:t>Ship</a:t>
          </a:r>
          <a:r>
            <a:rPr lang="en-US" sz="1400" b="0" baseline="0">
              <a:solidFill>
                <a:schemeClr val="tx1">
                  <a:lumMod val="65000"/>
                  <a:lumOff val="35000"/>
                </a:schemeClr>
              </a:solidFill>
              <a:latin typeface="+mn-lt"/>
              <a:ea typeface="+mn-ea"/>
              <a:cs typeface="+mn-cs"/>
            </a:rPr>
            <a:t> Mode</a:t>
          </a:r>
          <a:endParaRPr lang="en-US" sz="1400" b="0">
            <a:solidFill>
              <a:schemeClr val="tx1">
                <a:lumMod val="65000"/>
                <a:lumOff val="35000"/>
              </a:schemeClr>
            </a:solidFill>
          </a:endParaRPr>
        </a:p>
      </xdr:txBody>
    </xdr:sp>
    <xdr:clientData/>
  </xdr:twoCellAnchor>
  <xdr:twoCellAnchor>
    <xdr:from>
      <xdr:col>5</xdr:col>
      <xdr:colOff>289560</xdr:colOff>
      <xdr:row>32</xdr:row>
      <xdr:rowOff>129627</xdr:rowOff>
    </xdr:from>
    <xdr:to>
      <xdr:col>12</xdr:col>
      <xdr:colOff>243840</xdr:colOff>
      <xdr:row>43</xdr:row>
      <xdr:rowOff>17279</xdr:rowOff>
    </xdr:to>
    <xdr:graphicFrame macro="">
      <xdr:nvGraphicFramePr>
        <xdr:cNvPr id="33" name="Chart 6">
          <a:extLst>
            <a:ext uri="{FF2B5EF4-FFF2-40B4-BE49-F238E27FC236}">
              <a16:creationId xmlns:a16="http://schemas.microsoft.com/office/drawing/2014/main" id="{0620C2FE-1DDB-81E6-8501-173180E4E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37011</xdr:colOff>
      <xdr:row>31</xdr:row>
      <xdr:rowOff>97971</xdr:rowOff>
    </xdr:from>
    <xdr:to>
      <xdr:col>11</xdr:col>
      <xdr:colOff>587829</xdr:colOff>
      <xdr:row>32</xdr:row>
      <xdr:rowOff>163285</xdr:rowOff>
    </xdr:to>
    <xdr:sp macro="" textlink="highsubcategory">
      <xdr:nvSpPr>
        <xdr:cNvPr id="39" name="TextBox 38">
          <a:extLst>
            <a:ext uri="{FF2B5EF4-FFF2-40B4-BE49-F238E27FC236}">
              <a16:creationId xmlns:a16="http://schemas.microsoft.com/office/drawing/2014/main" id="{309AB829-48B6-966A-7E9B-CF8630ADBDF7}"/>
            </a:ext>
          </a:extLst>
        </xdr:cNvPr>
        <xdr:cNvSpPr txBox="1"/>
      </xdr:nvSpPr>
      <xdr:spPr>
        <a:xfrm>
          <a:off x="3694611" y="5834742"/>
          <a:ext cx="3598818" cy="25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38B989-B459-4513-8840-CE2B297AF75A}" type="TxLink">
            <a:rPr lang="en-US" sz="1200" b="0" i="0" u="none" strike="noStrike">
              <a:solidFill>
                <a:schemeClr val="tx1">
                  <a:lumMod val="65000"/>
                  <a:lumOff val="35000"/>
                </a:schemeClr>
              </a:solidFill>
              <a:latin typeface="Calibri"/>
              <a:cs typeface="Calibri"/>
            </a:rPr>
            <a:pPr/>
            <a:t>Highest Sales from Sub-Category: Chairs($328,449)</a:t>
          </a:fld>
          <a:endParaRPr lang="en-US" sz="3200" b="0">
            <a:solidFill>
              <a:schemeClr val="tx1">
                <a:lumMod val="65000"/>
                <a:lumOff val="35000"/>
              </a:schemeClr>
            </a:solidFill>
          </a:endParaRPr>
        </a:p>
      </xdr:txBody>
    </xdr:sp>
    <xdr:clientData/>
  </xdr:twoCellAnchor>
  <xdr:twoCellAnchor editAs="oneCell">
    <xdr:from>
      <xdr:col>26</xdr:col>
      <xdr:colOff>30481</xdr:colOff>
      <xdr:row>5</xdr:row>
      <xdr:rowOff>152401</xdr:rowOff>
    </xdr:from>
    <xdr:to>
      <xdr:col>31</xdr:col>
      <xdr:colOff>457201</xdr:colOff>
      <xdr:row>7</xdr:row>
      <xdr:rowOff>182641</xdr:rowOff>
    </xdr:to>
    <mc:AlternateContent xmlns:mc="http://schemas.openxmlformats.org/markup-compatibility/2006" xmlns:a14="http://schemas.microsoft.com/office/drawing/2010/main">
      <mc:Choice Requires="a14">
        <xdr:graphicFrame macro="">
          <xdr:nvGraphicFramePr>
            <xdr:cNvPr id="40" name="Segment">
              <a:extLst>
                <a:ext uri="{FF2B5EF4-FFF2-40B4-BE49-F238E27FC236}">
                  <a16:creationId xmlns:a16="http://schemas.microsoft.com/office/drawing/2014/main" id="{BE68E457-11F5-4C99-8CEC-EA035320C2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880081" y="1066801"/>
              <a:ext cx="3474720" cy="396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167640</xdr:colOff>
      <xdr:row>5</xdr:row>
      <xdr:rowOff>163830</xdr:rowOff>
    </xdr:from>
    <xdr:to>
      <xdr:col>25</xdr:col>
      <xdr:colOff>596265</xdr:colOff>
      <xdr:row>8</xdr:row>
      <xdr:rowOff>11190</xdr:rowOff>
    </xdr:to>
    <mc:AlternateContent xmlns:mc="http://schemas.openxmlformats.org/markup-compatibility/2006" xmlns:a14="http://schemas.microsoft.com/office/drawing/2010/main">
      <mc:Choice Requires="a14">
        <xdr:graphicFrame macro="">
          <xdr:nvGraphicFramePr>
            <xdr:cNvPr id="41" name="Region">
              <a:extLst>
                <a:ext uri="{FF2B5EF4-FFF2-40B4-BE49-F238E27FC236}">
                  <a16:creationId xmlns:a16="http://schemas.microsoft.com/office/drawing/2014/main" id="{80BDA131-ED10-4A0D-94A8-9AFB82A7CF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59640" y="1078230"/>
              <a:ext cx="3476625" cy="3960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91440</xdr:colOff>
      <xdr:row>9</xdr:row>
      <xdr:rowOff>137160</xdr:rowOff>
    </xdr:from>
    <xdr:to>
      <xdr:col>4</xdr:col>
      <xdr:colOff>586740</xdr:colOff>
      <xdr:row>16</xdr:row>
      <xdr:rowOff>177165</xdr:rowOff>
    </xdr:to>
    <mc:AlternateContent xmlns:mc="http://schemas.openxmlformats.org/markup-compatibility/2006">
      <mc:Choice xmlns:tsle="http://schemas.microsoft.com/office/drawing/2012/timeslicer" Requires="tsle">
        <xdr:graphicFrame macro="">
          <xdr:nvGraphicFramePr>
            <xdr:cNvPr id="42" name="Order Date">
              <a:extLst>
                <a:ext uri="{FF2B5EF4-FFF2-40B4-BE49-F238E27FC236}">
                  <a16:creationId xmlns:a16="http://schemas.microsoft.com/office/drawing/2014/main" id="{5A227B99-EAE7-4D02-97A3-373363B6F3B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01040" y="1783080"/>
              <a:ext cx="2324100" cy="1320165"/>
            </a:xfrm>
            <a:prstGeom prst="rect">
              <a:avLst/>
            </a:prstGeom>
            <a:solidFill>
              <a:prstClr val="white"/>
            </a:solidFill>
            <a:ln w="1">
              <a:solidFill>
                <a:prstClr val="green"/>
              </a:solidFill>
            </a:ln>
          </xdr:spPr>
          <xdr:txBody>
            <a:bodyPr vertOverflow="clip" horzOverflow="clip"/>
            <a:lstStyle/>
            <a:p>
              <a:r>
                <a:rPr lang="en-GH"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8</xdr:row>
      <xdr:rowOff>95250</xdr:rowOff>
    </xdr:from>
    <xdr:to>
      <xdr:col>11</xdr:col>
      <xdr:colOff>381000</xdr:colOff>
      <xdr:row>23</xdr:row>
      <xdr:rowOff>136208</xdr:rowOff>
    </xdr:to>
    <xdr:graphicFrame macro="">
      <xdr:nvGraphicFramePr>
        <xdr:cNvPr id="2" name="Chart 4">
          <a:extLst>
            <a:ext uri="{FF2B5EF4-FFF2-40B4-BE49-F238E27FC236}">
              <a16:creationId xmlns:a16="http://schemas.microsoft.com/office/drawing/2014/main" id="{5D248E61-FFF6-4D12-A4C9-D3C9423B3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xdr:colOff>
      <xdr:row>7</xdr:row>
      <xdr:rowOff>0</xdr:rowOff>
    </xdr:from>
    <xdr:to>
      <xdr:col>9</xdr:col>
      <xdr:colOff>308610</xdr:colOff>
      <xdr:row>8</xdr:row>
      <xdr:rowOff>60960</xdr:rowOff>
    </xdr:to>
    <xdr:sp macro="" textlink="topsellingcity">
      <xdr:nvSpPr>
        <xdr:cNvPr id="3" name="TextBox 2">
          <a:extLst>
            <a:ext uri="{FF2B5EF4-FFF2-40B4-BE49-F238E27FC236}">
              <a16:creationId xmlns:a16="http://schemas.microsoft.com/office/drawing/2014/main" id="{EB81554C-F755-46F3-A1DE-7F89376AC534}"/>
            </a:ext>
          </a:extLst>
        </xdr:cNvPr>
        <xdr:cNvSpPr txBox="1"/>
      </xdr:nvSpPr>
      <xdr:spPr>
        <a:xfrm>
          <a:off x="1924050" y="1266825"/>
          <a:ext cx="387096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DC3A2D-928B-4D9B-8308-B3CE865241DD}" type="TxLink">
            <a:rPr lang="en-US" sz="1200" b="0" i="0" u="none" strike="noStrike">
              <a:solidFill>
                <a:schemeClr val="tx1">
                  <a:lumMod val="65000"/>
                  <a:lumOff val="35000"/>
                </a:schemeClr>
              </a:solidFill>
              <a:latin typeface="Calibri"/>
              <a:cs typeface="Calibri"/>
            </a:rPr>
            <a:pPr/>
            <a:t>Top Selling City: New York City (75,691)</a:t>
          </a:fld>
          <a:endParaRPr lang="en-US" sz="2400" b="0">
            <a:solidFill>
              <a:schemeClr val="tx1">
                <a:lumMod val="65000"/>
                <a:lumOff val="35000"/>
              </a:schemeClr>
            </a:solidFill>
          </a:endParaRPr>
        </a:p>
      </xdr:txBody>
    </xdr:sp>
    <xdr:clientData/>
  </xdr:twoCellAnchor>
  <xdr:twoCellAnchor>
    <xdr:from>
      <xdr:col>3</xdr:col>
      <xdr:colOff>104775</xdr:colOff>
      <xdr:row>4</xdr:row>
      <xdr:rowOff>180974</xdr:rowOff>
    </xdr:from>
    <xdr:to>
      <xdr:col>6</xdr:col>
      <xdr:colOff>295275</xdr:colOff>
      <xdr:row>6</xdr:row>
      <xdr:rowOff>152399</xdr:rowOff>
    </xdr:to>
    <xdr:sp macro="" textlink="">
      <xdr:nvSpPr>
        <xdr:cNvPr id="4" name="TextBox 3">
          <a:extLst>
            <a:ext uri="{FF2B5EF4-FFF2-40B4-BE49-F238E27FC236}">
              <a16:creationId xmlns:a16="http://schemas.microsoft.com/office/drawing/2014/main" id="{9BD4C5CA-3EC5-4228-8C20-3181E4D75681}"/>
            </a:ext>
          </a:extLst>
        </xdr:cNvPr>
        <xdr:cNvSpPr txBox="1"/>
      </xdr:nvSpPr>
      <xdr:spPr>
        <a:xfrm>
          <a:off x="1933575" y="904874"/>
          <a:ext cx="20193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Top Cities by Sales</a:t>
          </a:r>
          <a:endParaRPr lang="en-US" sz="1800" b="0">
            <a:solidFill>
              <a:srgbClr val="385F7C"/>
            </a:solidFill>
          </a:endParaRPr>
        </a:p>
      </xdr:txBody>
    </xdr:sp>
    <xdr:clientData/>
  </xdr:twoCellAnchor>
  <xdr:twoCellAnchor>
    <xdr:from>
      <xdr:col>13</xdr:col>
      <xdr:colOff>241934</xdr:colOff>
      <xdr:row>8</xdr:row>
      <xdr:rowOff>28575</xdr:rowOff>
    </xdr:from>
    <xdr:to>
      <xdr:col>19</xdr:col>
      <xdr:colOff>459959</xdr:colOff>
      <xdr:row>10</xdr:row>
      <xdr:rowOff>75529</xdr:rowOff>
    </xdr:to>
    <xdr:sp macro="" textlink="">
      <xdr:nvSpPr>
        <xdr:cNvPr id="5" name="TextBox 4">
          <a:extLst>
            <a:ext uri="{FF2B5EF4-FFF2-40B4-BE49-F238E27FC236}">
              <a16:creationId xmlns:a16="http://schemas.microsoft.com/office/drawing/2014/main" id="{37A98605-94EE-408D-9711-09D29850CCB2}"/>
            </a:ext>
          </a:extLst>
        </xdr:cNvPr>
        <xdr:cNvSpPr txBox="1"/>
      </xdr:nvSpPr>
      <xdr:spPr>
        <a:xfrm>
          <a:off x="8166734" y="1476375"/>
          <a:ext cx="3875625" cy="408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rgbClr val="385F7C"/>
              </a:solidFill>
              <a:latin typeface="+mn-lt"/>
              <a:ea typeface="+mn-ea"/>
              <a:cs typeface="+mn-cs"/>
            </a:rPr>
            <a:t>Sales</a:t>
          </a:r>
          <a:r>
            <a:rPr lang="en-US" sz="1800" b="0" baseline="0">
              <a:solidFill>
                <a:srgbClr val="385F7C"/>
              </a:solidFill>
              <a:latin typeface="+mn-lt"/>
              <a:ea typeface="+mn-ea"/>
              <a:cs typeface="+mn-cs"/>
            </a:rPr>
            <a:t> Distribution by State</a:t>
          </a:r>
          <a:endParaRPr lang="en-US" sz="1800" b="0">
            <a:solidFill>
              <a:srgbClr val="385F7C"/>
            </a:solidFill>
          </a:endParaRPr>
        </a:p>
      </xdr:txBody>
    </xdr:sp>
    <xdr:clientData/>
  </xdr:twoCellAnchor>
  <xdr:twoCellAnchor>
    <xdr:from>
      <xdr:col>13</xdr:col>
      <xdr:colOff>38100</xdr:colOff>
      <xdr:row>10</xdr:row>
      <xdr:rowOff>171449</xdr:rowOff>
    </xdr:from>
    <xdr:to>
      <xdr:col>22</xdr:col>
      <xdr:colOff>476250</xdr:colOff>
      <xdr:row>30</xdr:row>
      <xdr:rowOff>180974</xdr:rowOff>
    </xdr:to>
    <mc:AlternateContent xmlns:mc="http://schemas.openxmlformats.org/markup-compatibility/2006">
      <mc:Choice xmlns:cx4="http://schemas.microsoft.com/office/drawing/2016/5/10/chartex" Requires="cx4">
        <xdr:graphicFrame macro="">
          <xdr:nvGraphicFramePr>
            <xdr:cNvPr id="6" name="Chart 3">
              <a:extLst>
                <a:ext uri="{FF2B5EF4-FFF2-40B4-BE49-F238E27FC236}">
                  <a16:creationId xmlns:a16="http://schemas.microsoft.com/office/drawing/2014/main" id="{5B4A1F77-F88D-4DAB-8E10-5308DE98F4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62900" y="1981199"/>
              <a:ext cx="5924550" cy="3629025"/>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guenon Rodrigue" refreshedDate="45811.853268171297" createdVersion="6" refreshedVersion="6" minRefreshableVersion="3" recordCount="2121" xr:uid="{00000000-000A-0000-FFFF-FFFF00000000}">
  <cacheSource type="worksheet">
    <worksheetSource name="Furniture_data"/>
  </cacheSource>
  <cacheFields count="22">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1" base="1">
        <rangePr groupBy="months" startDate="2014-01-06T00:00:00" endDate="2017-12-31T00:00:00"/>
        <groupItems count="14">
          <s v="&lt;06/01/2014"/>
          <s v="Jan"/>
          <s v="Feb"/>
          <s v="Mar"/>
          <s v="Apr"/>
          <s v="May"/>
          <s v="Jun"/>
          <s v="Jul"/>
          <s v="Aug"/>
          <s v="Sep"/>
          <s v="Oct"/>
          <s v="Nov"/>
          <s v="Dec"/>
          <s v="&gt;31/12/2017"/>
        </groupItems>
      </fieldGroup>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06/01/2014"/>
          <s v="Qtr1"/>
          <s v="Qtr2"/>
          <s v="Qtr3"/>
          <s v="Qtr4"/>
          <s v="&gt;31/12/2017"/>
        </groupItems>
      </fieldGroup>
    </cacheField>
    <cacheField name="Years"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172249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x v="0"/>
    <x v="0"/>
    <s v="Bush Somerset Collection Bookcase"/>
    <n v="261.95999999999998"/>
    <n v="2"/>
    <n v="41.913600000000002"/>
    <x v="0"/>
    <x v="0"/>
  </r>
  <r>
    <s v="CA-2016-152156"/>
    <x v="0"/>
    <d v="2016-11-11T00:00:00"/>
    <x v="0"/>
    <s v="CG-12520"/>
    <s v="Claire Gute"/>
    <x v="0"/>
    <s v="United States"/>
    <x v="0"/>
    <x v="0"/>
    <x v="0"/>
    <s v="FUR-CH-10000454"/>
    <x v="0"/>
    <x v="1"/>
    <s v="Hon Deluxe Fabric Upholstered Stacking Chairs, Rounded Back"/>
    <n v="731.94"/>
    <n v="3"/>
    <n v="219.58199999999999"/>
    <x v="0"/>
    <x v="0"/>
  </r>
  <r>
    <s v="US-2015-108966"/>
    <x v="1"/>
    <d v="2015-10-18T00:00:00"/>
    <x v="1"/>
    <s v="SO-20335"/>
    <s v="Sean O'Donnell"/>
    <x v="0"/>
    <s v="United States"/>
    <x v="1"/>
    <x v="1"/>
    <x v="0"/>
    <s v="FUR-TA-10000577"/>
    <x v="0"/>
    <x v="2"/>
    <s v="Bretford CR4500 Series Slim Rectangular Table"/>
    <n v="957.57749999999999"/>
    <n v="5"/>
    <n v="-383.03100000000001"/>
    <x v="1"/>
    <x v="1"/>
  </r>
  <r>
    <s v="CA-2014-115812"/>
    <x v="2"/>
    <d v="2014-06-14T00:00:00"/>
    <x v="1"/>
    <s v="BH-11710"/>
    <s v="Brosina Hoffman"/>
    <x v="0"/>
    <s v="United States"/>
    <x v="2"/>
    <x v="2"/>
    <x v="1"/>
    <s v="FUR-FU-10001487"/>
    <x v="0"/>
    <x v="3"/>
    <s v="Eldon Expressions Wood and Plastic Desk Accessories, Cherry Wood"/>
    <n v="48.86"/>
    <n v="7"/>
    <n v="14.1694"/>
    <x v="2"/>
    <x v="2"/>
  </r>
  <r>
    <s v="CA-2014-115812"/>
    <x v="2"/>
    <d v="2014-06-14T00:00:00"/>
    <x v="1"/>
    <s v="BH-11710"/>
    <s v="Brosina Hoffman"/>
    <x v="0"/>
    <s v="United States"/>
    <x v="2"/>
    <x v="2"/>
    <x v="1"/>
    <s v="FUR-TA-10001539"/>
    <x v="0"/>
    <x v="2"/>
    <s v="Chromcraft Rectangular Conference Tables"/>
    <n v="1706.184"/>
    <n v="9"/>
    <n v="85.309200000000004"/>
    <x v="2"/>
    <x v="2"/>
  </r>
  <r>
    <s v="US-2017-156909"/>
    <x v="3"/>
    <d v="2017-07-18T00:00:00"/>
    <x v="0"/>
    <s v="SF-20065"/>
    <s v="Sandra Flanagan"/>
    <x v="0"/>
    <s v="United States"/>
    <x v="3"/>
    <x v="3"/>
    <x v="2"/>
    <s v="FUR-CH-10002774"/>
    <x v="0"/>
    <x v="1"/>
    <s v="Global Deluxe Stacking Chair, Gray"/>
    <n v="71.372"/>
    <n v="2"/>
    <n v="-1.0196000000000001"/>
    <x v="3"/>
    <x v="3"/>
  </r>
  <r>
    <s v="CA-2015-106320"/>
    <x v="4"/>
    <d v="2015-09-30T00:00:00"/>
    <x v="1"/>
    <s v="EB-13870"/>
    <s v="Emily Burns"/>
    <x v="0"/>
    <s v="United States"/>
    <x v="4"/>
    <x v="4"/>
    <x v="1"/>
    <s v="FUR-TA-10000577"/>
    <x v="0"/>
    <x v="2"/>
    <s v="Bretford CR4500 Series Slim Rectangular Table"/>
    <n v="1044.6300000000001"/>
    <n v="3"/>
    <n v="240.26490000000001"/>
    <x v="2"/>
    <x v="4"/>
  </r>
  <r>
    <s v="US-2015-150630"/>
    <x v="5"/>
    <d v="2015-09-21T00:00:00"/>
    <x v="1"/>
    <s v="TB-21520"/>
    <s v="Tracy Blumstein"/>
    <x v="0"/>
    <s v="United States"/>
    <x v="3"/>
    <x v="3"/>
    <x v="2"/>
    <s v="FUR-BO-10004834"/>
    <x v="0"/>
    <x v="0"/>
    <s v="Riverside Palais Royal Lawyers Bookcase, Royale Cherry Finish"/>
    <n v="3083.43"/>
    <n v="7"/>
    <n v="-1665.0522000000001"/>
    <x v="4"/>
    <x v="4"/>
  </r>
  <r>
    <s v="US-2015-150630"/>
    <x v="5"/>
    <d v="2015-09-21T00:00:00"/>
    <x v="1"/>
    <s v="TB-21520"/>
    <s v="Tracy Blumstein"/>
    <x v="0"/>
    <s v="United States"/>
    <x v="3"/>
    <x v="3"/>
    <x v="2"/>
    <s v="FUR-FU-10004848"/>
    <x v="0"/>
    <x v="3"/>
    <s v="Howard Miller 13-3/4&quot; Diameter Brushed Chrome Round Wall Clock"/>
    <n v="124.2"/>
    <n v="3"/>
    <n v="15.525"/>
    <x v="4"/>
    <x v="4"/>
  </r>
  <r>
    <s v="CA-2016-117590"/>
    <x v="6"/>
    <d v="2016-12-10T00:00:00"/>
    <x v="2"/>
    <s v="GH-14485"/>
    <s v="Gene Hale"/>
    <x v="1"/>
    <s v="United States"/>
    <x v="5"/>
    <x v="5"/>
    <x v="3"/>
    <s v="FUR-FU-10003664"/>
    <x v="0"/>
    <x v="3"/>
    <s v="Electrix Architect's Clamp-On Swing Arm Lamp, Black"/>
    <n v="190.92"/>
    <n v="5"/>
    <n v="-147.96299999999999"/>
    <x v="3"/>
    <x v="5"/>
  </r>
  <r>
    <s v="CA-2015-117415"/>
    <x v="7"/>
    <d v="2015-12-31T00:00:00"/>
    <x v="1"/>
    <s v="SN-20710"/>
    <s v="Steve Nguyen"/>
    <x v="2"/>
    <s v="United States"/>
    <x v="6"/>
    <x v="5"/>
    <x v="3"/>
    <s v="FUR-BO-10002545"/>
    <x v="0"/>
    <x v="0"/>
    <s v="Atlantic Metals Mobile 3-Shelf Bookcases, Custom Colors"/>
    <n v="532.39919999999995"/>
    <n v="3"/>
    <n v="-46.976399999999998"/>
    <x v="4"/>
    <x v="5"/>
  </r>
  <r>
    <s v="CA-2015-117415"/>
    <x v="7"/>
    <d v="2015-12-31T00:00:00"/>
    <x v="1"/>
    <s v="SN-20710"/>
    <s v="Steve Nguyen"/>
    <x v="2"/>
    <s v="United States"/>
    <x v="6"/>
    <x v="5"/>
    <x v="3"/>
    <s v="FUR-CH-10004218"/>
    <x v="0"/>
    <x v="1"/>
    <s v="Global Fabric Manager's Chair, Dark Gray"/>
    <n v="212.05799999999999"/>
    <n v="3"/>
    <n v="-15.147"/>
    <x v="4"/>
    <x v="5"/>
  </r>
  <r>
    <s v="CA-2015-115742"/>
    <x v="8"/>
    <d v="2015-04-22T00:00:00"/>
    <x v="1"/>
    <s v="DP-13000"/>
    <s v="Darren Powers"/>
    <x v="0"/>
    <s v="United States"/>
    <x v="7"/>
    <x v="6"/>
    <x v="3"/>
    <s v="FUR-FU-10001706"/>
    <x v="0"/>
    <x v="3"/>
    <s v="Longer-Life Soft White Bulbs"/>
    <n v="6.16"/>
    <n v="2"/>
    <n v="2.9567999999999999"/>
    <x v="4"/>
    <x v="6"/>
  </r>
  <r>
    <s v="CA-2015-115742"/>
    <x v="8"/>
    <d v="2015-04-22T00:00:00"/>
    <x v="1"/>
    <s v="DP-13000"/>
    <s v="Darren Powers"/>
    <x v="0"/>
    <s v="United States"/>
    <x v="7"/>
    <x v="6"/>
    <x v="3"/>
    <s v="FUR-CH-10003061"/>
    <x v="0"/>
    <x v="1"/>
    <s v="Global Leather Task Chair, Black"/>
    <n v="89.99"/>
    <n v="1"/>
    <n v="17.098099999999999"/>
    <x v="4"/>
    <x v="6"/>
  </r>
  <r>
    <s v="CA-2016-111682"/>
    <x v="9"/>
    <d v="2016-06-18T00:00:00"/>
    <x v="2"/>
    <s v="TB-21055"/>
    <s v="Ted Butterfield"/>
    <x v="0"/>
    <s v="United States"/>
    <x v="8"/>
    <x v="7"/>
    <x v="2"/>
    <s v="FUR-CH-10003968"/>
    <x v="0"/>
    <x v="1"/>
    <s v="Novimex Turbo Task Chair"/>
    <n v="319.41000000000003"/>
    <n v="5"/>
    <n v="7.0979999999999999"/>
    <x v="5"/>
    <x v="2"/>
  </r>
  <r>
    <s v="CA-2015-135545"/>
    <x v="10"/>
    <d v="2015-11-30T00:00:00"/>
    <x v="1"/>
    <s v="KM-16720"/>
    <s v="Kunst Miller"/>
    <x v="0"/>
    <s v="United States"/>
    <x v="2"/>
    <x v="2"/>
    <x v="1"/>
    <s v="FUR-FU-10000397"/>
    <x v="0"/>
    <x v="3"/>
    <s v="Luxo Economy Swing Arm Lamp"/>
    <n v="79.760000000000005"/>
    <n v="4"/>
    <n v="22.332799999999999"/>
    <x v="6"/>
    <x v="0"/>
  </r>
  <r>
    <s v="US-2015-164175"/>
    <x v="11"/>
    <d v="2015-05-05T00:00:00"/>
    <x v="1"/>
    <s v="PS-18970"/>
    <s v="Paul Stevenson"/>
    <x v="2"/>
    <s v="United States"/>
    <x v="9"/>
    <x v="8"/>
    <x v="3"/>
    <s v="FUR-CH-10001146"/>
    <x v="0"/>
    <x v="1"/>
    <s v="Global Value Mid-Back Manager's Chair, Gray"/>
    <n v="213.11500000000001"/>
    <n v="5"/>
    <n v="-15.2225"/>
    <x v="2"/>
    <x v="6"/>
  </r>
  <r>
    <s v="US-2015-134026"/>
    <x v="12"/>
    <d v="2015-05-02T00:00:00"/>
    <x v="1"/>
    <s v="JE-15745"/>
    <s v="Joel Eaton"/>
    <x v="0"/>
    <s v="United States"/>
    <x v="10"/>
    <x v="9"/>
    <x v="0"/>
    <s v="FUR-CH-10000513"/>
    <x v="0"/>
    <x v="1"/>
    <s v="High-Back Leather Manager's Chair"/>
    <n v="831.93600000000004"/>
    <n v="8"/>
    <n v="-114.3912"/>
    <x v="6"/>
    <x v="6"/>
  </r>
  <r>
    <s v="US-2015-134026"/>
    <x v="12"/>
    <d v="2015-05-02T00:00:00"/>
    <x v="1"/>
    <s v="JE-15745"/>
    <s v="Joel Eaton"/>
    <x v="0"/>
    <s v="United States"/>
    <x v="10"/>
    <x v="9"/>
    <x v="0"/>
    <s v="FUR-FU-10003708"/>
    <x v="0"/>
    <x v="3"/>
    <s v="Tenex Traditional Chairmats for Medium Pile Carpet, Standard Lip, 36&quot; x 48&quot;"/>
    <n v="97.04"/>
    <n v="2"/>
    <n v="1.2130000000000001"/>
    <x v="6"/>
    <x v="6"/>
  </r>
  <r>
    <s v="US-2017-118038"/>
    <x v="13"/>
    <d v="2017-12-11T00:00:00"/>
    <x v="2"/>
    <s v="KB-16600"/>
    <s v="Ken Brennan"/>
    <x v="1"/>
    <s v="United States"/>
    <x v="6"/>
    <x v="5"/>
    <x v="3"/>
    <s v="FUR-FU-10000260"/>
    <x v="0"/>
    <x v="3"/>
    <s v="6&quot; Cubicle Wall Clock, Black"/>
    <n v="9.7080000000000002"/>
    <n v="3"/>
    <n v="-5.8247999999999998"/>
    <x v="3"/>
    <x v="5"/>
  </r>
  <r>
    <s v="US-2014-147606"/>
    <x v="14"/>
    <d v="2014-12-01T00:00:00"/>
    <x v="0"/>
    <s v="JE-15745"/>
    <s v="Joel Eaton"/>
    <x v="0"/>
    <s v="United States"/>
    <x v="6"/>
    <x v="5"/>
    <x v="3"/>
    <s v="FUR-FU-10003194"/>
    <x v="0"/>
    <x v="3"/>
    <s v="Eldon Expressions Desk Accessory, Wood Pencil Holder, Oak"/>
    <n v="19.3"/>
    <n v="5"/>
    <n v="-14.475"/>
    <x v="2"/>
    <x v="0"/>
  </r>
  <r>
    <s v="CA-2017-140088"/>
    <x v="15"/>
    <d v="2017-05-30T00:00:00"/>
    <x v="0"/>
    <s v="PO-18865"/>
    <s v="Patrick O'Donnell"/>
    <x v="0"/>
    <s v="United States"/>
    <x v="11"/>
    <x v="10"/>
    <x v="0"/>
    <s v="FUR-CH-10000863"/>
    <x v="0"/>
    <x v="1"/>
    <s v="Novimex Swivel Fabric Task Chair"/>
    <n v="301.95999999999998"/>
    <n v="2"/>
    <n v="33.215600000000002"/>
    <x v="3"/>
    <x v="7"/>
  </r>
  <r>
    <s v="CA-2015-149587"/>
    <x v="16"/>
    <d v="2015-02-05T00:00:00"/>
    <x v="0"/>
    <s v="KB-16315"/>
    <s v="Karl Braun"/>
    <x v="0"/>
    <s v="United States"/>
    <x v="12"/>
    <x v="11"/>
    <x v="3"/>
    <s v="FUR-FU-10003799"/>
    <x v="0"/>
    <x v="3"/>
    <s v="Seth Thomas 13 1/2&quot; Wall Clock"/>
    <n v="53.34"/>
    <n v="3"/>
    <n v="16.535399999999999"/>
    <x v="2"/>
    <x v="8"/>
  </r>
  <r>
    <s v="CA-2017-161018"/>
    <x v="17"/>
    <d v="2017-11-11T00:00:00"/>
    <x v="0"/>
    <s v="PN-18775"/>
    <s v="Parhena Norris"/>
    <x v="2"/>
    <s v="United States"/>
    <x v="13"/>
    <x v="7"/>
    <x v="2"/>
    <s v="FUR-FU-10000629"/>
    <x v="0"/>
    <x v="3"/>
    <s v="9-3/4 Diameter Round Wall Clock"/>
    <n v="96.53"/>
    <n v="7"/>
    <n v="40.5426"/>
    <x v="3"/>
    <x v="0"/>
  </r>
  <r>
    <s v="US-2015-156867"/>
    <x v="18"/>
    <d v="2015-11-17T00:00:00"/>
    <x v="1"/>
    <s v="LC-16870"/>
    <s v="Lena Cacioppo"/>
    <x v="0"/>
    <s v="United States"/>
    <x v="14"/>
    <x v="12"/>
    <x v="1"/>
    <s v="FUR-FU-10004006"/>
    <x v="0"/>
    <x v="3"/>
    <s v="Deflect-o DuraMat Lighweight, Studded, Beveled Mat for Low Pile Carpeting"/>
    <n v="102.36"/>
    <n v="3"/>
    <n v="-3.8384999999999998"/>
    <x v="4"/>
    <x v="0"/>
  </r>
  <r>
    <s v="CA-2017-146780"/>
    <x v="19"/>
    <d v="2017-12-30T00:00:00"/>
    <x v="1"/>
    <s v="CV-12805"/>
    <s v="Cynthia Voltz"/>
    <x v="1"/>
    <s v="United States"/>
    <x v="13"/>
    <x v="7"/>
    <x v="2"/>
    <s v="FUR-FU-10001934"/>
    <x v="0"/>
    <x v="3"/>
    <s v="Magnifier Swing Arm Lamp"/>
    <n v="41.96"/>
    <n v="2"/>
    <n v="10.909599999999999"/>
    <x v="2"/>
    <x v="5"/>
  </r>
  <r>
    <s v="CA-2015-110457"/>
    <x v="20"/>
    <d v="2015-03-06T00:00:00"/>
    <x v="1"/>
    <s v="DK-13090"/>
    <s v="Dave Kipp"/>
    <x v="0"/>
    <s v="United States"/>
    <x v="15"/>
    <x v="13"/>
    <x v="1"/>
    <s v="FUR-TA-10001768"/>
    <x v="0"/>
    <x v="2"/>
    <s v="Hon Racetrack Conference Tables"/>
    <n v="787.53"/>
    <n v="3"/>
    <n v="165.38130000000001"/>
    <x v="4"/>
    <x v="9"/>
  </r>
  <r>
    <s v="CA-2016-103730"/>
    <x v="21"/>
    <d v="2016-06-15T00:00:00"/>
    <x v="2"/>
    <s v="SC-20725"/>
    <s v="Steven Cartwright"/>
    <x v="0"/>
    <s v="United States"/>
    <x v="16"/>
    <x v="14"/>
    <x v="2"/>
    <s v="FUR-FU-10002157"/>
    <x v="0"/>
    <x v="3"/>
    <s v="Artistic Insta-Plaque"/>
    <n v="47.04"/>
    <n v="3"/>
    <n v="18.345600000000001"/>
    <x v="0"/>
    <x v="2"/>
  </r>
  <r>
    <s v="US-2014-152030"/>
    <x v="22"/>
    <d v="2014-12-28T00:00:00"/>
    <x v="0"/>
    <s v="AD-10180"/>
    <s v="Alan Dominguez"/>
    <x v="2"/>
    <s v="United States"/>
    <x v="6"/>
    <x v="5"/>
    <x v="3"/>
    <s v="FUR-CH-10004063"/>
    <x v="0"/>
    <x v="1"/>
    <s v="Global Deluxe High-Back Manager's Chair"/>
    <n v="600.55799999999999"/>
    <n v="3"/>
    <n v="-8.5793999999999997"/>
    <x v="3"/>
    <x v="5"/>
  </r>
  <r>
    <s v="US-2014-134614"/>
    <x v="23"/>
    <d v="2014-09-25T00:00:00"/>
    <x v="1"/>
    <s v="PF-19165"/>
    <s v="Philip Fox"/>
    <x v="0"/>
    <s v="United States"/>
    <x v="17"/>
    <x v="8"/>
    <x v="3"/>
    <s v="FUR-TA-10004534"/>
    <x v="0"/>
    <x v="2"/>
    <s v="Bevis 44 x 96 Conference Tables"/>
    <n v="617.70000000000005"/>
    <n v="6"/>
    <n v="-407.68200000000002"/>
    <x v="2"/>
    <x v="4"/>
  </r>
  <r>
    <s v="US-2016-125969"/>
    <x v="24"/>
    <d v="2016-11-10T00:00:00"/>
    <x v="0"/>
    <s v="LS-16975"/>
    <s v="Lindsay Shagiari"/>
    <x v="2"/>
    <s v="United States"/>
    <x v="2"/>
    <x v="2"/>
    <x v="1"/>
    <s v="FUR-CH-10001146"/>
    <x v="0"/>
    <x v="1"/>
    <s v="Global Task Chair, Black"/>
    <n v="81.424000000000007"/>
    <n v="2"/>
    <n v="-9.1601999999999997"/>
    <x v="4"/>
    <x v="0"/>
  </r>
  <r>
    <s v="US-2016-125969"/>
    <x v="24"/>
    <d v="2016-11-10T00:00:00"/>
    <x v="0"/>
    <s v="LS-16975"/>
    <s v="Lindsay Shagiari"/>
    <x v="2"/>
    <s v="United States"/>
    <x v="2"/>
    <x v="2"/>
    <x v="1"/>
    <s v="FUR-FU-10003773"/>
    <x v="0"/>
    <x v="3"/>
    <s v="Eldon Cleatmat Plus Chair Mats for High Pile Carpets"/>
    <n v="238.56"/>
    <n v="3"/>
    <n v="26.241599999999998"/>
    <x v="4"/>
    <x v="0"/>
  </r>
  <r>
    <s v="CA-2016-145583"/>
    <x v="25"/>
    <d v="2016-10-19T00:00:00"/>
    <x v="1"/>
    <s v="LC-16885"/>
    <s v="Lena Creighton"/>
    <x v="0"/>
    <s v="United States"/>
    <x v="18"/>
    <x v="2"/>
    <x v="1"/>
    <s v="FUR-FU-10001706"/>
    <x v="0"/>
    <x v="3"/>
    <s v="Longer-Life Soft White Bulbs"/>
    <n v="43.12"/>
    <n v="14"/>
    <n v="20.697600000000001"/>
    <x v="6"/>
    <x v="1"/>
  </r>
  <r>
    <s v="CA-2016-110366"/>
    <x v="26"/>
    <d v="2016-09-07T00:00:00"/>
    <x v="0"/>
    <s v="JD-15895"/>
    <s v="Jonathan Doherty"/>
    <x v="1"/>
    <s v="United States"/>
    <x v="3"/>
    <x v="3"/>
    <x v="2"/>
    <s v="FUR-FU-10004848"/>
    <x v="0"/>
    <x v="3"/>
    <s v="Howard Miller 13-3/4&quot; Diameter Brushed Chrome Round Wall Clock"/>
    <n v="82.8"/>
    <n v="2"/>
    <n v="10.35"/>
    <x v="3"/>
    <x v="4"/>
  </r>
  <r>
    <s v="CA-2014-110072"/>
    <x v="27"/>
    <d v="2014-10-28T00:00:00"/>
    <x v="1"/>
    <s v="MG-17680"/>
    <s v="Maureen Gastineau"/>
    <x v="2"/>
    <s v="United States"/>
    <x v="19"/>
    <x v="15"/>
    <x v="2"/>
    <s v="FUR-FU-10000521"/>
    <x v="0"/>
    <x v="3"/>
    <s v="Seth Thomas 14&quot; Putty-Colored Wall Clock"/>
    <n v="93.888000000000005"/>
    <n v="4"/>
    <n v="12.909599999999999"/>
    <x v="6"/>
    <x v="1"/>
  </r>
  <r>
    <s v="CA-2016-114489"/>
    <x v="28"/>
    <d v="2016-12-09T00:00:00"/>
    <x v="1"/>
    <s v="JE-16165"/>
    <s v="Justin Ellison"/>
    <x v="1"/>
    <s v="United States"/>
    <x v="20"/>
    <x v="16"/>
    <x v="3"/>
    <s v="FUR-CH-10000454"/>
    <x v="0"/>
    <x v="1"/>
    <s v="Hon Deluxe Fabric Upholstered Stacking Chairs, Rounded Back"/>
    <n v="1951.84"/>
    <n v="8"/>
    <n v="585.55200000000002"/>
    <x v="4"/>
    <x v="5"/>
  </r>
  <r>
    <s v="CA-2014-104269"/>
    <x v="29"/>
    <d v="2014-03-06T00:00:00"/>
    <x v="0"/>
    <s v="DB-13060"/>
    <s v="Dave Brooks"/>
    <x v="0"/>
    <s v="United States"/>
    <x v="15"/>
    <x v="13"/>
    <x v="1"/>
    <s v="FUR-CH-10004063"/>
    <x v="0"/>
    <x v="1"/>
    <s v="Global Deluxe High-Back Manager's Chair"/>
    <n v="457.56799999999998"/>
    <n v="2"/>
    <n v="51.476399999999998"/>
    <x v="2"/>
    <x v="9"/>
  </r>
  <r>
    <s v="CA-2014-139892"/>
    <x v="30"/>
    <d v="2014-09-12T00:00:00"/>
    <x v="1"/>
    <s v="BM-11140"/>
    <s v="Becky Martin"/>
    <x v="0"/>
    <s v="United States"/>
    <x v="21"/>
    <x v="5"/>
    <x v="3"/>
    <s v="FUR-CH-10004287"/>
    <x v="0"/>
    <x v="1"/>
    <s v="SAFCO Arco Folding Chair"/>
    <n v="1740.06"/>
    <n v="9"/>
    <n v="-24.858000000000001"/>
    <x v="4"/>
    <x v="4"/>
  </r>
  <r>
    <s v="CA-2014-118962"/>
    <x v="31"/>
    <d v="2014-08-09T00:00:00"/>
    <x v="1"/>
    <s v="CS-12130"/>
    <s v="Chad Sievert"/>
    <x v="0"/>
    <s v="United States"/>
    <x v="2"/>
    <x v="2"/>
    <x v="1"/>
    <s v="FUR-CH-10003817"/>
    <x v="0"/>
    <x v="1"/>
    <s v="Global Value Steno Chair, Gray"/>
    <n v="340.14400000000001"/>
    <n v="7"/>
    <n v="21.259"/>
    <x v="4"/>
    <x v="10"/>
  </r>
  <r>
    <s v="US-2015-101511"/>
    <x v="32"/>
    <d v="2015-11-23T00:00:00"/>
    <x v="0"/>
    <s v="JE-15745"/>
    <s v="Joel Eaton"/>
    <x v="0"/>
    <s v="United States"/>
    <x v="19"/>
    <x v="15"/>
    <x v="2"/>
    <s v="FUR-CH-10004698"/>
    <x v="0"/>
    <x v="1"/>
    <s v="Padded Folding Chairs, Black, 4/Carton"/>
    <n v="396.80200000000002"/>
    <n v="7"/>
    <n v="-11.337199999999999"/>
    <x v="3"/>
    <x v="0"/>
  </r>
  <r>
    <s v="CA-2015-102281"/>
    <x v="33"/>
    <d v="2015-10-14T00:00:00"/>
    <x v="2"/>
    <s v="MP-17470"/>
    <s v="Mark Packer"/>
    <x v="2"/>
    <s v="United States"/>
    <x v="13"/>
    <x v="7"/>
    <x v="2"/>
    <s v="FUR-BO-10002613"/>
    <x v="0"/>
    <x v="0"/>
    <s v="Atlantic Metals Mobile 4-Shelf Bookcases, Custom Colors"/>
    <n v="899.13599999999997"/>
    <n v="4"/>
    <n v="112.392"/>
    <x v="3"/>
    <x v="1"/>
  </r>
  <r>
    <s v="CA-2015-102281"/>
    <x v="33"/>
    <d v="2015-10-14T00:00:00"/>
    <x v="2"/>
    <s v="MP-17470"/>
    <s v="Mark Packer"/>
    <x v="2"/>
    <s v="United States"/>
    <x v="13"/>
    <x v="7"/>
    <x v="2"/>
    <s v="FUR-BO-10002545"/>
    <x v="0"/>
    <x v="0"/>
    <s v="Atlantic Metals Mobile 3-Shelf Bookcases, Custom Colors"/>
    <n v="626.35199999999998"/>
    <n v="3"/>
    <n v="46.976399999999998"/>
    <x v="3"/>
    <x v="1"/>
  </r>
  <r>
    <s v="CA-2014-133690"/>
    <x v="34"/>
    <d v="2014-08-05T00:00:00"/>
    <x v="2"/>
    <s v="BS-11755"/>
    <s v="Bruce Stewart"/>
    <x v="0"/>
    <s v="United States"/>
    <x v="22"/>
    <x v="12"/>
    <x v="1"/>
    <s v="FUR-TA-10004289"/>
    <x v="0"/>
    <x v="2"/>
    <s v="BoxOffice By Design Rectangular and Half-Moon Meeting Room Tables"/>
    <n v="218.75"/>
    <n v="2"/>
    <n v="-161.875"/>
    <x v="3"/>
    <x v="10"/>
  </r>
  <r>
    <s v="CA-2017-126382"/>
    <x v="35"/>
    <d v="2017-06-07T00:00:00"/>
    <x v="1"/>
    <s v="HK-14890"/>
    <s v="Heather Kirkland"/>
    <x v="1"/>
    <s v="United States"/>
    <x v="20"/>
    <x v="9"/>
    <x v="0"/>
    <s v="FUR-FU-10002960"/>
    <x v="0"/>
    <x v="3"/>
    <s v="Eldon 200 Class Desk Accessories, Burgundy"/>
    <n v="35.167999999999999"/>
    <n v="7"/>
    <n v="9.6712000000000007"/>
    <x v="4"/>
    <x v="2"/>
  </r>
  <r>
    <s v="CA-2015-146262"/>
    <x v="36"/>
    <d v="2015-01-09T00:00:00"/>
    <x v="1"/>
    <s v="VW-21775"/>
    <s v="Victoria Wilson"/>
    <x v="1"/>
    <s v="United States"/>
    <x v="23"/>
    <x v="15"/>
    <x v="2"/>
    <s v="FUR-BO-10004695"/>
    <x v="0"/>
    <x v="0"/>
    <s v="O'Sullivan 2-Door Barrister Bookcase in Odessa Pine"/>
    <n v="452.45"/>
    <n v="5"/>
    <n v="-244.32300000000001"/>
    <x v="1"/>
    <x v="8"/>
  </r>
  <r>
    <s v="CA-2015-169397"/>
    <x v="37"/>
    <d v="2015-12-27T00:00:00"/>
    <x v="2"/>
    <s v="JB-15925"/>
    <s v="Joni Blumstein"/>
    <x v="0"/>
    <s v="United States"/>
    <x v="24"/>
    <x v="15"/>
    <x v="2"/>
    <s v="FUR-FU-10000087"/>
    <x v="0"/>
    <x v="3"/>
    <s v="Executive Impressions 14&quot; Two-Color Numerals Wall Clock"/>
    <n v="72.703999999999994"/>
    <n v="4"/>
    <n v="19.084800000000001"/>
    <x v="0"/>
    <x v="5"/>
  </r>
  <r>
    <s v="CA-2015-163055"/>
    <x v="38"/>
    <d v="2015-08-16T00:00:00"/>
    <x v="1"/>
    <s v="DS-13180"/>
    <s v="David Smith"/>
    <x v="1"/>
    <s v="United States"/>
    <x v="25"/>
    <x v="17"/>
    <x v="3"/>
    <s v="FUR-TA-10003748"/>
    <x v="0"/>
    <x v="2"/>
    <s v="Bevis 36 x 72 Conference Tables"/>
    <n v="622.45000000000005"/>
    <n v="5"/>
    <n v="136.93899999999999"/>
    <x v="1"/>
    <x v="10"/>
  </r>
  <r>
    <s v="US-2015-145436"/>
    <x v="39"/>
    <d v="2015-03-04T00:00:00"/>
    <x v="1"/>
    <s v="VD-21670"/>
    <s v="Valerie Dominguez"/>
    <x v="0"/>
    <s v="United States"/>
    <x v="11"/>
    <x v="9"/>
    <x v="0"/>
    <s v="FUR-CH-10004860"/>
    <x v="0"/>
    <x v="1"/>
    <s v="Global Low Back Tilter Chair"/>
    <n v="161.56800000000001"/>
    <n v="2"/>
    <n v="-28.2744"/>
    <x v="4"/>
    <x v="11"/>
  </r>
  <r>
    <s v="US-2015-145436"/>
    <x v="39"/>
    <d v="2015-03-04T00:00:00"/>
    <x v="1"/>
    <s v="VD-21670"/>
    <s v="Valerie Dominguez"/>
    <x v="0"/>
    <s v="United States"/>
    <x v="11"/>
    <x v="9"/>
    <x v="0"/>
    <s v="FUR-CH-10004477"/>
    <x v="0"/>
    <x v="1"/>
    <s v="Global Push Button Manager's Chair, Indigo"/>
    <n v="389.69600000000003"/>
    <n v="8"/>
    <n v="43.840800000000002"/>
    <x v="4"/>
    <x v="11"/>
  </r>
  <r>
    <s v="US-2017-100930"/>
    <x v="40"/>
    <d v="2017-04-12T00:00:00"/>
    <x v="1"/>
    <s v="CS-12400"/>
    <s v="Christopher Schild"/>
    <x v="2"/>
    <s v="United States"/>
    <x v="26"/>
    <x v="1"/>
    <x v="0"/>
    <s v="FUR-TA-10001705"/>
    <x v="0"/>
    <x v="2"/>
    <s v="Bush Advantage Collection Round Conference Table"/>
    <n v="233.86"/>
    <n v="2"/>
    <n v="-102.048"/>
    <x v="2"/>
    <x v="6"/>
  </r>
  <r>
    <s v="US-2017-100930"/>
    <x v="40"/>
    <d v="2017-04-12T00:00:00"/>
    <x v="1"/>
    <s v="CS-12400"/>
    <s v="Christopher Schild"/>
    <x v="2"/>
    <s v="United States"/>
    <x v="26"/>
    <x v="1"/>
    <x v="0"/>
    <s v="FUR-TA-10003473"/>
    <x v="0"/>
    <x v="2"/>
    <s v="Bretford Rectangular Conference Table Tops"/>
    <n v="620.61450000000002"/>
    <n v="3"/>
    <n v="-248.2458"/>
    <x v="2"/>
    <x v="6"/>
  </r>
  <r>
    <s v="US-2017-100930"/>
    <x v="40"/>
    <d v="2017-04-12T00:00:00"/>
    <x v="1"/>
    <s v="CS-12400"/>
    <s v="Christopher Schild"/>
    <x v="2"/>
    <s v="United States"/>
    <x v="26"/>
    <x v="1"/>
    <x v="0"/>
    <s v="FUR-FU-10004017"/>
    <x v="0"/>
    <x v="3"/>
    <s v="Tenex Contemporary Contur Chairmats for Low and Medium Pile Carpet, Computer, 39&quot; x 49&quot;"/>
    <n v="258.072"/>
    <n v="3"/>
    <n v="0"/>
    <x v="2"/>
    <x v="6"/>
  </r>
  <r>
    <s v="CA-2016-157749"/>
    <x v="41"/>
    <d v="2016-06-09T00:00:00"/>
    <x v="0"/>
    <s v="KL-16645"/>
    <s v="Ken Lonsdale"/>
    <x v="0"/>
    <s v="United States"/>
    <x v="9"/>
    <x v="8"/>
    <x v="3"/>
    <s v="FUR-FU-10000576"/>
    <x v="0"/>
    <x v="3"/>
    <s v="Luxo Professional Fluorescent Magnifier Lamp with Clamp-Mount Base"/>
    <n v="419.68"/>
    <n v="5"/>
    <n v="-356.72800000000001"/>
    <x v="2"/>
    <x v="2"/>
  </r>
  <r>
    <s v="CA-2016-157749"/>
    <x v="41"/>
    <d v="2016-06-09T00:00:00"/>
    <x v="0"/>
    <s v="KL-16645"/>
    <s v="Ken Lonsdale"/>
    <x v="0"/>
    <s v="United States"/>
    <x v="9"/>
    <x v="8"/>
    <x v="3"/>
    <s v="FUR-FU-10004351"/>
    <x v="0"/>
    <x v="3"/>
    <s v="Staple-based wall hangings"/>
    <n v="11.688000000000001"/>
    <n v="3"/>
    <n v="-4.6752000000000002"/>
    <x v="2"/>
    <x v="2"/>
  </r>
  <r>
    <s v="CA-2016-157749"/>
    <x v="41"/>
    <d v="2016-06-09T00:00:00"/>
    <x v="0"/>
    <s v="KL-16645"/>
    <s v="Ken Lonsdale"/>
    <x v="0"/>
    <s v="United States"/>
    <x v="9"/>
    <x v="8"/>
    <x v="3"/>
    <s v="FUR-TA-10002607"/>
    <x v="0"/>
    <x v="2"/>
    <s v="KI Conference Tables"/>
    <n v="177.22499999999999"/>
    <n v="5"/>
    <n v="-120.51300000000001"/>
    <x v="2"/>
    <x v="2"/>
  </r>
  <r>
    <s v="CA-2016-157749"/>
    <x v="41"/>
    <d v="2016-06-09T00:00:00"/>
    <x v="0"/>
    <s v="KL-16645"/>
    <s v="Ken Lonsdale"/>
    <x v="0"/>
    <s v="United States"/>
    <x v="9"/>
    <x v="8"/>
    <x v="3"/>
    <s v="FUR-FU-10002505"/>
    <x v="0"/>
    <x v="3"/>
    <s v="Eldon 100 Class Desk Accessories"/>
    <n v="4.0439999999999996"/>
    <n v="3"/>
    <n v="-2.8308"/>
    <x v="2"/>
    <x v="2"/>
  </r>
  <r>
    <s v="CA-2014-131926"/>
    <x v="42"/>
    <d v="2014-06-06T00:00:00"/>
    <x v="0"/>
    <s v="DW-13480"/>
    <s v="Dianna Wilson"/>
    <x v="2"/>
    <s v="United States"/>
    <x v="27"/>
    <x v="11"/>
    <x v="3"/>
    <s v="FUR-CH-10004063"/>
    <x v="0"/>
    <x v="1"/>
    <s v="Global Deluxe High-Back Manager's Chair"/>
    <n v="2001.86"/>
    <n v="7"/>
    <n v="580.5394"/>
    <x v="2"/>
    <x v="2"/>
  </r>
  <r>
    <s v="CA-2016-154739"/>
    <x v="43"/>
    <d v="2016-12-15T00:00:00"/>
    <x v="0"/>
    <s v="LH-17155"/>
    <s v="Logan Haushalter"/>
    <x v="0"/>
    <s v="United States"/>
    <x v="28"/>
    <x v="2"/>
    <x v="1"/>
    <s v="FUR-CH-10002965"/>
    <x v="0"/>
    <x v="1"/>
    <s v="Global Leather Highback Executive Chair with Pneumatic Height Adjustment, Black"/>
    <n v="321.56799999999998"/>
    <n v="2"/>
    <n v="28.1372"/>
    <x v="2"/>
    <x v="5"/>
  </r>
  <r>
    <s v="US-2015-159982"/>
    <x v="44"/>
    <d v="2015-12-04T00:00:00"/>
    <x v="1"/>
    <s v="DR-12880"/>
    <s v="Dan Reichenbach"/>
    <x v="1"/>
    <s v="United States"/>
    <x v="9"/>
    <x v="8"/>
    <x v="3"/>
    <s v="FUR-FU-10002505"/>
    <x v="0"/>
    <x v="3"/>
    <s v="Eldon 100 Class Desk Accessories"/>
    <n v="12.132"/>
    <n v="9"/>
    <n v="-8.4923999999999999"/>
    <x v="6"/>
    <x v="0"/>
  </r>
  <r>
    <s v="CA-2015-155334"/>
    <x v="45"/>
    <d v="2015-07-31T00:00:00"/>
    <x v="2"/>
    <s v="HA-14920"/>
    <s v="Helen Andreada"/>
    <x v="0"/>
    <s v="United States"/>
    <x v="28"/>
    <x v="2"/>
    <x v="1"/>
    <s v="FUR-FU-10003274"/>
    <x v="0"/>
    <x v="3"/>
    <s v="Regeneration Desk Collection"/>
    <n v="5.28"/>
    <n v="3"/>
    <n v="2.3231999999999999"/>
    <x v="5"/>
    <x v="3"/>
  </r>
  <r>
    <s v="CA-2015-130890"/>
    <x v="46"/>
    <d v="2015-11-06T00:00:00"/>
    <x v="1"/>
    <s v="JO-15280"/>
    <s v="Jas O'Carroll"/>
    <x v="0"/>
    <s v="United States"/>
    <x v="2"/>
    <x v="2"/>
    <x v="1"/>
    <s v="FUR-TA-10002903"/>
    <x v="0"/>
    <x v="2"/>
    <s v="Bevis Round Bullnose 29&quot; High Table Top"/>
    <n v="1038.8399999999999"/>
    <n v="5"/>
    <n v="51.942"/>
    <x v="4"/>
    <x v="0"/>
  </r>
  <r>
    <s v="CA-2016-110772"/>
    <x v="47"/>
    <d v="2016-11-24T00:00:00"/>
    <x v="0"/>
    <s v="NZ-18565"/>
    <s v="Nick Zandusky"/>
    <x v="2"/>
    <s v="United States"/>
    <x v="29"/>
    <x v="15"/>
    <x v="2"/>
    <s v="FUR-BO-10004709"/>
    <x v="0"/>
    <x v="0"/>
    <s v="Bush Westfield Collection Bookcases, Medium Cherry Finish"/>
    <n v="86.97"/>
    <n v="3"/>
    <n v="-48.703200000000002"/>
    <x v="4"/>
    <x v="0"/>
  </r>
  <r>
    <s v="CA-2014-111451"/>
    <x v="22"/>
    <d v="2014-12-28T00:00:00"/>
    <x v="2"/>
    <s v="KL-16555"/>
    <s v="Kelly Lampkin"/>
    <x v="1"/>
    <s v="United States"/>
    <x v="30"/>
    <x v="12"/>
    <x v="1"/>
    <s v="FUR-FU-10004091"/>
    <x v="0"/>
    <x v="3"/>
    <s v="Howard Miller 13&quot; Diameter Goldtone Round Wall Clock"/>
    <n v="300.416"/>
    <n v="8"/>
    <n v="78.859200000000001"/>
    <x v="3"/>
    <x v="5"/>
  </r>
  <r>
    <s v="CA-2014-111451"/>
    <x v="22"/>
    <d v="2014-12-28T00:00:00"/>
    <x v="2"/>
    <s v="KL-16555"/>
    <s v="Kelly Lampkin"/>
    <x v="1"/>
    <s v="United States"/>
    <x v="30"/>
    <x v="12"/>
    <x v="1"/>
    <s v="FUR-CH-10001891"/>
    <x v="0"/>
    <x v="1"/>
    <s v="Global Deluxe Office Fabric Chairs"/>
    <n v="230.352"/>
    <n v="3"/>
    <n v="20.155799999999999"/>
    <x v="3"/>
    <x v="5"/>
  </r>
  <r>
    <s v="CA-2014-111451"/>
    <x v="22"/>
    <d v="2014-12-28T00:00:00"/>
    <x v="2"/>
    <s v="KL-16555"/>
    <s v="Kelly Lampkin"/>
    <x v="1"/>
    <s v="United States"/>
    <x v="30"/>
    <x v="12"/>
    <x v="1"/>
    <s v="FUR-FU-10002918"/>
    <x v="0"/>
    <x v="3"/>
    <s v="Eldon ClusterMat Chair Mat with Cordless Antistatic Protection"/>
    <n v="218.352"/>
    <n v="3"/>
    <n v="-24.564599999999999"/>
    <x v="3"/>
    <x v="5"/>
  </r>
  <r>
    <s v="CA-2016-142545"/>
    <x v="48"/>
    <d v="2016-11-03T00:00:00"/>
    <x v="1"/>
    <s v="JD-15895"/>
    <s v="Jonathan Doherty"/>
    <x v="1"/>
    <s v="United States"/>
    <x v="31"/>
    <x v="18"/>
    <x v="2"/>
    <s v="FUR-FU-10001861"/>
    <x v="0"/>
    <x v="3"/>
    <s v="Floodlight Indoor Halogen Bulbs, 1 Bulb per Pack, 60 Watts"/>
    <n v="77.599999999999994"/>
    <n v="4"/>
    <n v="38.024000000000001"/>
    <x v="6"/>
    <x v="1"/>
  </r>
  <r>
    <s v="US-2017-152380"/>
    <x v="49"/>
    <d v="2017-11-23T00:00:00"/>
    <x v="1"/>
    <s v="JH-15910"/>
    <s v="Jonathan Howell"/>
    <x v="0"/>
    <s v="United States"/>
    <x v="9"/>
    <x v="8"/>
    <x v="3"/>
    <s v="FUR-TA-10002533"/>
    <x v="0"/>
    <x v="2"/>
    <s v="BPI Conference Tables"/>
    <n v="219.07499999999999"/>
    <n v="3"/>
    <n v="-131.44499999999999"/>
    <x v="4"/>
    <x v="0"/>
  </r>
  <r>
    <s v="CA-2015-144253"/>
    <x v="50"/>
    <d v="2015-05-09T00:00:00"/>
    <x v="0"/>
    <s v="AS-10225"/>
    <s v="Alan Schoenberger"/>
    <x v="1"/>
    <s v="United States"/>
    <x v="13"/>
    <x v="7"/>
    <x v="2"/>
    <s v="FUR-FU-10002671"/>
    <x v="0"/>
    <x v="3"/>
    <s v="Electrix 20W Halogen Replacement Bulb for Zoom-In Desk Lamp"/>
    <n v="26.8"/>
    <n v="2"/>
    <n v="12.864000000000001"/>
    <x v="2"/>
    <x v="7"/>
  </r>
  <r>
    <s v="CA-2016-142902"/>
    <x v="51"/>
    <d v="2016-09-14T00:00:00"/>
    <x v="0"/>
    <s v="BP-11185"/>
    <s v="Ben Peterman"/>
    <x v="1"/>
    <s v="United States"/>
    <x v="32"/>
    <x v="12"/>
    <x v="1"/>
    <s v="FUR-FU-10001918"/>
    <x v="0"/>
    <x v="3"/>
    <s v="C-Line Cubicle Keepers Polyproplyene Holder With Velcro Backings"/>
    <n v="15.135999999999999"/>
    <n v="4"/>
    <n v="3.5948000000000002"/>
    <x v="3"/>
    <x v="4"/>
  </r>
  <r>
    <s v="CA-2016-142902"/>
    <x v="51"/>
    <d v="2016-09-14T00:00:00"/>
    <x v="0"/>
    <s v="BP-11185"/>
    <s v="Ben Peterman"/>
    <x v="1"/>
    <s v="United States"/>
    <x v="32"/>
    <x v="12"/>
    <x v="1"/>
    <s v="FUR-CH-10004086"/>
    <x v="0"/>
    <x v="1"/>
    <s v="Hon 4070 Series Pagoda Armless Upholstered Stacking Chairs"/>
    <n v="466.76799999999997"/>
    <n v="2"/>
    <n v="52.511400000000002"/>
    <x v="3"/>
    <x v="4"/>
  </r>
  <r>
    <s v="CA-2016-142902"/>
    <x v="51"/>
    <d v="2016-09-14T00:00:00"/>
    <x v="0"/>
    <s v="BP-11185"/>
    <s v="Ben Peterman"/>
    <x v="1"/>
    <s v="United States"/>
    <x v="32"/>
    <x v="12"/>
    <x v="1"/>
    <s v="FUR-FU-10001756"/>
    <x v="0"/>
    <x v="3"/>
    <s v="Eldon Expressions Desk Accessory, Wood Photo Frame, Mahogany"/>
    <n v="15.231999999999999"/>
    <n v="1"/>
    <n v="1.7136"/>
    <x v="3"/>
    <x v="4"/>
  </r>
  <r>
    <s v="CA-2014-120887"/>
    <x v="52"/>
    <d v="2014-10-03T00:00:00"/>
    <x v="1"/>
    <s v="TS-21205"/>
    <s v="Thomas Seio"/>
    <x v="1"/>
    <s v="United States"/>
    <x v="33"/>
    <x v="18"/>
    <x v="2"/>
    <s v="FUR-FU-10001588"/>
    <x v="0"/>
    <x v="3"/>
    <s v="Deflect-o SuperTray Unbreakable Stackable Tray, Letter, Black"/>
    <n v="87.54"/>
    <n v="3"/>
    <n v="37.642200000000003"/>
    <x v="6"/>
    <x v="4"/>
  </r>
  <r>
    <s v="CA-2014-164973"/>
    <x v="53"/>
    <d v="2014-11-09T00:00:00"/>
    <x v="1"/>
    <s v="NM-18445"/>
    <s v="Nathan Mautz"/>
    <x v="2"/>
    <s v="United States"/>
    <x v="13"/>
    <x v="7"/>
    <x v="2"/>
    <s v="FUR-CH-10002602"/>
    <x v="0"/>
    <x v="1"/>
    <s v="DMI Arturo Collection Mission-style Design Wood Chair"/>
    <n v="135.88200000000001"/>
    <n v="1"/>
    <n v="24.1568"/>
    <x v="2"/>
    <x v="0"/>
  </r>
  <r>
    <s v="CA-2017-153339"/>
    <x v="54"/>
    <d v="2017-11-05T00:00:00"/>
    <x v="0"/>
    <s v="DJ-13510"/>
    <s v="Don Jones"/>
    <x v="1"/>
    <s v="United States"/>
    <x v="34"/>
    <x v="9"/>
    <x v="0"/>
    <s v="FUR-FU-10001967"/>
    <x v="0"/>
    <x v="3"/>
    <s v="Telescoping Adjustable Floor Lamp"/>
    <n v="15.992000000000001"/>
    <n v="1"/>
    <n v="0.99950000000000006"/>
    <x v="3"/>
    <x v="0"/>
  </r>
  <r>
    <s v="US-2016-141544"/>
    <x v="55"/>
    <d v="2016-09-01T00:00:00"/>
    <x v="2"/>
    <s v="PO-18850"/>
    <s v="Patrick O'Brill"/>
    <x v="0"/>
    <s v="United States"/>
    <x v="3"/>
    <x v="3"/>
    <x v="2"/>
    <s v="FUR-CH-10003312"/>
    <x v="0"/>
    <x v="1"/>
    <s v="Hon 2090 ÒPillow SoftÓ Series Mid Back Swivel/Tilt Chairs"/>
    <n v="786.74400000000003"/>
    <n v="4"/>
    <n v="-258.5016"/>
    <x v="3"/>
    <x v="10"/>
  </r>
  <r>
    <s v="CA-2014-129924"/>
    <x v="56"/>
    <d v="2014-07-17T00:00:00"/>
    <x v="1"/>
    <s v="AC-10420"/>
    <s v="Alyssa Crouse"/>
    <x v="1"/>
    <s v="United States"/>
    <x v="28"/>
    <x v="2"/>
    <x v="1"/>
    <s v="FUR-TA-10004575"/>
    <x v="0"/>
    <x v="2"/>
    <s v="Hon 5100 Series Wood Tables"/>
    <n v="698.35199999999998"/>
    <n v="3"/>
    <n v="-17.4588"/>
    <x v="2"/>
    <x v="3"/>
  </r>
  <r>
    <s v="CA-2016-138520"/>
    <x v="57"/>
    <d v="2016-04-13T00:00:00"/>
    <x v="1"/>
    <s v="JL-15505"/>
    <s v="Jeremy Lonsdale"/>
    <x v="0"/>
    <s v="United States"/>
    <x v="13"/>
    <x v="7"/>
    <x v="2"/>
    <s v="FUR-BO-10002268"/>
    <x v="0"/>
    <x v="0"/>
    <s v="Sauder Barrister Bookcases"/>
    <n v="388.70400000000001"/>
    <n v="6"/>
    <n v="-4.8587999999999996"/>
    <x v="2"/>
    <x v="6"/>
  </r>
  <r>
    <s v="CA-2017-144904"/>
    <x v="58"/>
    <d v="2017-10-01T00:00:00"/>
    <x v="1"/>
    <s v="KW-16435"/>
    <s v="Katrina Willman"/>
    <x v="0"/>
    <s v="United States"/>
    <x v="13"/>
    <x v="7"/>
    <x v="2"/>
    <s v="FUR-CH-10000785"/>
    <x v="0"/>
    <x v="1"/>
    <s v="Global Ergonomic Managers Chair"/>
    <n v="488.64600000000002"/>
    <n v="3"/>
    <n v="86.870400000000004"/>
    <x v="6"/>
    <x v="4"/>
  </r>
  <r>
    <s v="CA-2017-144904"/>
    <x v="58"/>
    <d v="2017-10-01T00:00:00"/>
    <x v="1"/>
    <s v="KW-16435"/>
    <s v="Katrina Willman"/>
    <x v="0"/>
    <s v="United States"/>
    <x v="13"/>
    <x v="7"/>
    <x v="2"/>
    <s v="FUR-FU-10000023"/>
    <x v="0"/>
    <x v="3"/>
    <s v="Eldon Wave Desk Accessories"/>
    <n v="47.12"/>
    <n v="8"/>
    <n v="20.732800000000001"/>
    <x v="6"/>
    <x v="4"/>
  </r>
  <r>
    <s v="CA-2016-155516"/>
    <x v="59"/>
    <d v="2016-10-21T00:00:00"/>
    <x v="3"/>
    <s v="MK-17905"/>
    <s v="Michael Kennedy"/>
    <x v="1"/>
    <s v="United States"/>
    <x v="35"/>
    <x v="19"/>
    <x v="2"/>
    <s v="FUR-BO-10002545"/>
    <x v="0"/>
    <x v="0"/>
    <s v="Atlantic Metals Mobile 3-Shelf Bookcases, Custom Colors"/>
    <n v="1043.92"/>
    <n v="4"/>
    <n v="271.41919999999999"/>
    <x v="7"/>
    <x v="1"/>
  </r>
  <r>
    <s v="US-2017-134481"/>
    <x v="60"/>
    <d v="2017-09-01T00:00:00"/>
    <x v="1"/>
    <s v="AR-10405"/>
    <s v="Allen Rosenblatt"/>
    <x v="1"/>
    <s v="United States"/>
    <x v="20"/>
    <x v="20"/>
    <x v="2"/>
    <s v="FUR-TA-10004915"/>
    <x v="0"/>
    <x v="2"/>
    <s v="Office Impressions End Table, 20-1/2&quot;H x 24&quot;W x 20&quot;D"/>
    <n v="1488.424"/>
    <n v="7"/>
    <n v="-297.6848"/>
    <x v="2"/>
    <x v="10"/>
  </r>
  <r>
    <s v="US-2015-168935"/>
    <x v="61"/>
    <d v="2015-12-02T00:00:00"/>
    <x v="1"/>
    <s v="DO-13435"/>
    <s v="Denny Ordway"/>
    <x v="0"/>
    <s v="United States"/>
    <x v="36"/>
    <x v="1"/>
    <x v="0"/>
    <s v="FUR-TA-10000617"/>
    <x v="0"/>
    <x v="2"/>
    <s v="Hon Practical Foundations 30 x 60 Training Table, Light Gray/Charcoal"/>
    <n v="375.45749999999998"/>
    <n v="3"/>
    <n v="-157.0095"/>
    <x v="2"/>
    <x v="0"/>
  </r>
  <r>
    <s v="CA-2015-122756"/>
    <x v="62"/>
    <d v="2015-12-07T00:00:00"/>
    <x v="1"/>
    <s v="DK-13225"/>
    <s v="Dean Katz"/>
    <x v="1"/>
    <s v="United States"/>
    <x v="3"/>
    <x v="3"/>
    <x v="2"/>
    <s v="FUR-FU-10001935"/>
    <x v="0"/>
    <x v="3"/>
    <s v="3M Hangers With Command Adhesive"/>
    <n v="2.96"/>
    <n v="1"/>
    <n v="0.77700000000000002"/>
    <x v="4"/>
    <x v="5"/>
  </r>
  <r>
    <s v="CA-2016-108987"/>
    <x v="63"/>
    <d v="2016-09-10T00:00:00"/>
    <x v="0"/>
    <s v="AG-10675"/>
    <s v="Anna Gayman"/>
    <x v="0"/>
    <s v="United States"/>
    <x v="6"/>
    <x v="5"/>
    <x v="3"/>
    <s v="FUR-BO-10004834"/>
    <x v="0"/>
    <x v="0"/>
    <s v="Riverside Palais Royal Lawyers Bookcase, Royale Cherry Finish"/>
    <n v="2396.2656000000002"/>
    <n v="4"/>
    <n v="-317.15280000000001"/>
    <x v="3"/>
    <x v="4"/>
  </r>
  <r>
    <s v="CA-2017-117457"/>
    <x v="64"/>
    <d v="2017-12-12T00:00:00"/>
    <x v="1"/>
    <s v="KH-16510"/>
    <s v="Keith Herrera"/>
    <x v="0"/>
    <s v="United States"/>
    <x v="28"/>
    <x v="2"/>
    <x v="1"/>
    <s v="FUR-TA-10002041"/>
    <x v="0"/>
    <x v="2"/>
    <s v="Bevis Round Conference Table Top, X-Base"/>
    <n v="1004.024"/>
    <n v="7"/>
    <n v="-112.95269999999999"/>
    <x v="4"/>
    <x v="5"/>
  </r>
  <r>
    <s v="CA-2017-117457"/>
    <x v="64"/>
    <d v="2017-12-12T00:00:00"/>
    <x v="1"/>
    <s v="KH-16510"/>
    <s v="Keith Herrera"/>
    <x v="0"/>
    <s v="United States"/>
    <x v="28"/>
    <x v="2"/>
    <x v="1"/>
    <s v="FUR-BO-10001972"/>
    <x v="0"/>
    <x v="0"/>
    <s v="O'Sullivan 4-Shelf Bookcase in Odessa Pine"/>
    <n v="1336.829"/>
    <n v="13"/>
    <n v="31.454799999999999"/>
    <x v="4"/>
    <x v="5"/>
  </r>
  <r>
    <s v="CA-2017-117457"/>
    <x v="64"/>
    <d v="2017-12-12T00:00:00"/>
    <x v="1"/>
    <s v="KH-16510"/>
    <s v="Keith Herrera"/>
    <x v="0"/>
    <s v="United States"/>
    <x v="28"/>
    <x v="2"/>
    <x v="1"/>
    <s v="FUR-CH-10003956"/>
    <x v="0"/>
    <x v="1"/>
    <s v="Novimex High-Tech Fabric Mesh Task Chair"/>
    <n v="113.568"/>
    <n v="2"/>
    <n v="-18.454799999999999"/>
    <x v="4"/>
    <x v="5"/>
  </r>
  <r>
    <s v="CA-2017-142636"/>
    <x v="54"/>
    <d v="2017-11-07T00:00:00"/>
    <x v="1"/>
    <s v="KC-16675"/>
    <s v="Kimberly Carter"/>
    <x v="1"/>
    <s v="United States"/>
    <x v="15"/>
    <x v="13"/>
    <x v="1"/>
    <s v="FUR-CH-10001891"/>
    <x v="0"/>
    <x v="1"/>
    <s v="Global Deluxe Office Fabric Chairs"/>
    <n v="307.13600000000002"/>
    <n v="4"/>
    <n v="26.874400000000001"/>
    <x v="4"/>
    <x v="0"/>
  </r>
  <r>
    <s v="CA-2016-148796"/>
    <x v="65"/>
    <d v="2016-04-18T00:00:00"/>
    <x v="1"/>
    <s v="PB-19150"/>
    <s v="Philip Brown"/>
    <x v="0"/>
    <s v="United States"/>
    <x v="2"/>
    <x v="2"/>
    <x v="1"/>
    <s v="FUR-CH-10004886"/>
    <x v="0"/>
    <x v="1"/>
    <s v="Bevis Steel Folding Chairs"/>
    <n v="383.8"/>
    <n v="5"/>
    <n v="38.380000000000003"/>
    <x v="4"/>
    <x v="6"/>
  </r>
  <r>
    <s v="CA-2017-125388"/>
    <x v="66"/>
    <d v="2017-10-23T00:00:00"/>
    <x v="1"/>
    <s v="MP-17965"/>
    <s v="Michael Paige"/>
    <x v="1"/>
    <s v="United States"/>
    <x v="37"/>
    <x v="20"/>
    <x v="2"/>
    <s v="FUR-FU-10004712"/>
    <x v="0"/>
    <x v="3"/>
    <s v="Westinghouse Mesh Shade Clip-On Gooseneck Lamp, Black"/>
    <n v="56.56"/>
    <n v="4"/>
    <n v="14.7056"/>
    <x v="4"/>
    <x v="1"/>
  </r>
  <r>
    <s v="CA-2017-155705"/>
    <x v="67"/>
    <d v="2017-08-23T00:00:00"/>
    <x v="0"/>
    <s v="NF-18385"/>
    <s v="Natalie Fritzler"/>
    <x v="0"/>
    <s v="United States"/>
    <x v="38"/>
    <x v="21"/>
    <x v="0"/>
    <s v="FUR-CH-10000015"/>
    <x v="0"/>
    <x v="1"/>
    <s v="Hon Multipurpose Stacking Arm Chairs"/>
    <n v="866.4"/>
    <n v="4"/>
    <n v="225.26400000000001"/>
    <x v="3"/>
    <x v="10"/>
  </r>
  <r>
    <s v="CA-2017-149160"/>
    <x v="68"/>
    <d v="2017-11-26T00:00:00"/>
    <x v="0"/>
    <s v="JM-15265"/>
    <s v="Janet Molinari"/>
    <x v="1"/>
    <s v="United States"/>
    <x v="39"/>
    <x v="17"/>
    <x v="3"/>
    <s v="FUR-FU-10003347"/>
    <x v="0"/>
    <x v="3"/>
    <s v="Coloredge Poster Frame"/>
    <n v="28.4"/>
    <n v="2"/>
    <n v="11.076000000000001"/>
    <x v="0"/>
    <x v="0"/>
  </r>
  <r>
    <s v="CA-2017-157252"/>
    <x v="69"/>
    <d v="2017-01-23T00:00:00"/>
    <x v="0"/>
    <s v="CV-12805"/>
    <s v="Cynthia Voltz"/>
    <x v="1"/>
    <s v="United States"/>
    <x v="13"/>
    <x v="7"/>
    <x v="2"/>
    <s v="FUR-CH-10003396"/>
    <x v="0"/>
    <x v="1"/>
    <s v="Global Deluxe Steno Chair"/>
    <n v="207.846"/>
    <n v="3"/>
    <n v="2.3094000000000001"/>
    <x v="0"/>
    <x v="8"/>
  </r>
  <r>
    <s v="CA-2016-115756"/>
    <x v="26"/>
    <d v="2016-09-07T00:00:00"/>
    <x v="0"/>
    <s v="PK-19075"/>
    <s v="Pete Kriz"/>
    <x v="0"/>
    <s v="United States"/>
    <x v="25"/>
    <x v="17"/>
    <x v="3"/>
    <s v="FUR-FU-10000246"/>
    <x v="0"/>
    <x v="3"/>
    <s v="Aluminum Document Frame"/>
    <n v="12.22"/>
    <n v="1"/>
    <n v="3.6659999999999999"/>
    <x v="3"/>
    <x v="4"/>
  </r>
  <r>
    <s v="CA-2016-115756"/>
    <x v="26"/>
    <d v="2016-09-07T00:00:00"/>
    <x v="0"/>
    <s v="PK-19075"/>
    <s v="Pete Kriz"/>
    <x v="0"/>
    <s v="United States"/>
    <x v="25"/>
    <x v="17"/>
    <x v="3"/>
    <s v="FUR-CH-10002372"/>
    <x v="0"/>
    <x v="1"/>
    <s v="Office Star - Ergonomically Designed Knee Chair"/>
    <n v="242.94"/>
    <n v="3"/>
    <n v="29.152799999999999"/>
    <x v="3"/>
    <x v="4"/>
  </r>
  <r>
    <s v="CA-2017-154214"/>
    <x v="70"/>
    <d v="2017-03-25T00:00:00"/>
    <x v="0"/>
    <s v="TB-21595"/>
    <s v="Troy Blackwell"/>
    <x v="0"/>
    <s v="United States"/>
    <x v="29"/>
    <x v="6"/>
    <x v="3"/>
    <s v="FUR-FU-10000206"/>
    <x v="0"/>
    <x v="3"/>
    <s v="GE General Purpose, Extra Long Life, Showcase &amp; Floodlight Incandescent Bulbs"/>
    <n v="2.91"/>
    <n v="1"/>
    <n v="1.3676999999999999"/>
    <x v="2"/>
    <x v="9"/>
  </r>
  <r>
    <s v="CA-2017-147277"/>
    <x v="71"/>
    <d v="2017-10-24T00:00:00"/>
    <x v="1"/>
    <s v="EB-13705"/>
    <s v="Ed Braxton"/>
    <x v="1"/>
    <s v="United States"/>
    <x v="40"/>
    <x v="15"/>
    <x v="2"/>
    <s v="FUR-TA-10001539"/>
    <x v="0"/>
    <x v="2"/>
    <s v="Chromcraft Rectangular Conference Tables"/>
    <n v="284.36399999999998"/>
    <n v="2"/>
    <n v="-75.830399999999997"/>
    <x v="4"/>
    <x v="1"/>
  </r>
  <r>
    <s v="US-2014-110674"/>
    <x v="72"/>
    <d v="2014-02-18T00:00:00"/>
    <x v="1"/>
    <s v="SC-20095"/>
    <s v="Sanjit Chand"/>
    <x v="0"/>
    <s v="United States"/>
    <x v="41"/>
    <x v="2"/>
    <x v="1"/>
    <s v="FUR-CH-10000225"/>
    <x v="0"/>
    <x v="1"/>
    <s v="Global Geo Office Task Chair, Gray"/>
    <n v="129.56800000000001"/>
    <n v="2"/>
    <n v="-24.294"/>
    <x v="6"/>
    <x v="11"/>
  </r>
  <r>
    <s v="US-2016-157945"/>
    <x v="73"/>
    <d v="2016-10-01T00:00:00"/>
    <x v="1"/>
    <s v="NF-18385"/>
    <s v="Natalie Fritzler"/>
    <x v="0"/>
    <s v="United States"/>
    <x v="42"/>
    <x v="8"/>
    <x v="3"/>
    <s v="FUR-CH-10002331"/>
    <x v="0"/>
    <x v="1"/>
    <s v="Hon 4700 Series Mobuis Mid-Back Task Chairs with Adjustable Arms"/>
    <n v="747.55799999999999"/>
    <n v="3"/>
    <n v="-96.114599999999996"/>
    <x v="2"/>
    <x v="4"/>
  </r>
  <r>
    <s v="CA-2016-109869"/>
    <x v="74"/>
    <d v="2016-04-29T00:00:00"/>
    <x v="1"/>
    <s v="TN-21040"/>
    <s v="Tanja Norvell"/>
    <x v="2"/>
    <s v="United States"/>
    <x v="43"/>
    <x v="22"/>
    <x v="1"/>
    <s v="FUR-FU-10000023"/>
    <x v="0"/>
    <x v="3"/>
    <s v="Eldon Wave Desk Accessories"/>
    <n v="23.56"/>
    <n v="5"/>
    <n v="7.0679999999999996"/>
    <x v="1"/>
    <x v="6"/>
  </r>
  <r>
    <s v="CA-2016-109869"/>
    <x v="74"/>
    <d v="2016-04-29T00:00:00"/>
    <x v="1"/>
    <s v="TN-21040"/>
    <s v="Tanja Norvell"/>
    <x v="2"/>
    <s v="United States"/>
    <x v="43"/>
    <x v="22"/>
    <x v="1"/>
    <s v="FUR-TA-10001889"/>
    <x v="0"/>
    <x v="2"/>
    <s v="Bush Advantage Collection Racetrack Conference Table"/>
    <n v="1272.6300000000001"/>
    <n v="6"/>
    <n v="-814.48320000000001"/>
    <x v="1"/>
    <x v="6"/>
  </r>
  <r>
    <s v="US-2015-101399"/>
    <x v="75"/>
    <d v="2015-01-24T00:00:00"/>
    <x v="1"/>
    <s v="JS-15940"/>
    <s v="Joni Sundaresam"/>
    <x v="2"/>
    <s v="United States"/>
    <x v="44"/>
    <x v="8"/>
    <x v="3"/>
    <s v="FUR-FU-10002918"/>
    <x v="0"/>
    <x v="3"/>
    <s v="Eldon ClusterMat Chair Mat with Cordless Antistatic Protection"/>
    <n v="254.744"/>
    <n v="7"/>
    <n v="-312.06139999999999"/>
    <x v="1"/>
    <x v="8"/>
  </r>
  <r>
    <s v="CA-2017-154907"/>
    <x v="76"/>
    <d v="2017-04-04T00:00:00"/>
    <x v="1"/>
    <s v="DS-13180"/>
    <s v="David Smith"/>
    <x v="1"/>
    <s v="United States"/>
    <x v="45"/>
    <x v="5"/>
    <x v="3"/>
    <s v="FUR-BO-10002824"/>
    <x v="0"/>
    <x v="0"/>
    <s v="Bush Mission Pointe Library"/>
    <n v="205.33279999999999"/>
    <n v="2"/>
    <n v="-36.235199999999999"/>
    <x v="4"/>
    <x v="9"/>
  </r>
  <r>
    <s v="CA-2014-144666"/>
    <x v="77"/>
    <d v="2014-11-11T00:00:00"/>
    <x v="0"/>
    <s v="JP-15520"/>
    <s v="Jeremy Pistek"/>
    <x v="0"/>
    <s v="United States"/>
    <x v="28"/>
    <x v="2"/>
    <x v="1"/>
    <s v="FUR-BO-10001601"/>
    <x v="0"/>
    <x v="0"/>
    <s v="Sauder Mission Library with Doors, Fruitwood Finish"/>
    <n v="222.666"/>
    <n v="2"/>
    <n v="10.478400000000001"/>
    <x v="3"/>
    <x v="0"/>
  </r>
  <r>
    <s v="CA-2016-152632"/>
    <x v="78"/>
    <d v="2016-11-02T00:00:00"/>
    <x v="1"/>
    <s v="JE-15475"/>
    <s v="Jeremy Ellison"/>
    <x v="0"/>
    <s v="United States"/>
    <x v="8"/>
    <x v="7"/>
    <x v="2"/>
    <s v="FUR-FU-10002671"/>
    <x v="0"/>
    <x v="3"/>
    <s v="Electrix 20W Halogen Replacement Bulb for Zoom-In Desk Lamp"/>
    <n v="40.200000000000003"/>
    <n v="3"/>
    <n v="19.295999999999999"/>
    <x v="6"/>
    <x v="1"/>
  </r>
  <r>
    <s v="CA-2017-140963"/>
    <x v="79"/>
    <d v="2017-06-13T00:00:00"/>
    <x v="2"/>
    <s v="MT-18070"/>
    <s v="Michelle Tran"/>
    <x v="2"/>
    <s v="United States"/>
    <x v="2"/>
    <x v="2"/>
    <x v="1"/>
    <s v="FUR-BO-10001337"/>
    <x v="0"/>
    <x v="0"/>
    <s v="O'Sullivan Living Dimensions 2-Shelf Bookcases"/>
    <n v="514.16499999999996"/>
    <n v="5"/>
    <n v="-30.245000000000001"/>
    <x v="0"/>
    <x v="2"/>
  </r>
  <r>
    <s v="US-2016-120929"/>
    <x v="80"/>
    <d v="2016-03-21T00:00:00"/>
    <x v="0"/>
    <s v="RO-19780"/>
    <s v="Rose O'Brian"/>
    <x v="0"/>
    <s v="United States"/>
    <x v="10"/>
    <x v="9"/>
    <x v="0"/>
    <s v="FUR-TA-10001857"/>
    <x v="0"/>
    <x v="2"/>
    <s v="Balt Solid Wood Rectangular Table"/>
    <n v="189.88200000000001"/>
    <n v="3"/>
    <n v="-94.941000000000003"/>
    <x v="0"/>
    <x v="9"/>
  </r>
  <r>
    <s v="CA-2016-126158"/>
    <x v="81"/>
    <d v="2016-07-31T00:00:00"/>
    <x v="1"/>
    <s v="SC-20095"/>
    <s v="Sanjit Chand"/>
    <x v="0"/>
    <s v="United States"/>
    <x v="46"/>
    <x v="2"/>
    <x v="1"/>
    <s v="FUR-FU-10004864"/>
    <x v="0"/>
    <x v="3"/>
    <s v="Howard Miller 14-1/2&quot; Diameter Chrome Round Wall Clock"/>
    <n v="255.76"/>
    <n v="4"/>
    <n v="81.843199999999996"/>
    <x v="6"/>
    <x v="3"/>
  </r>
  <r>
    <s v="CA-2016-126158"/>
    <x v="81"/>
    <d v="2016-07-31T00:00:00"/>
    <x v="1"/>
    <s v="SC-20095"/>
    <s v="Sanjit Chand"/>
    <x v="0"/>
    <s v="United States"/>
    <x v="46"/>
    <x v="2"/>
    <x v="1"/>
    <s v="FUR-CH-10002602"/>
    <x v="0"/>
    <x v="1"/>
    <s v="DMI Arturo Collection Mission-style Design Wood Chair"/>
    <n v="241.56800000000001"/>
    <n v="2"/>
    <n v="18.117599999999999"/>
    <x v="6"/>
    <x v="3"/>
  </r>
  <r>
    <s v="CA-2016-126158"/>
    <x v="81"/>
    <d v="2016-07-31T00:00:00"/>
    <x v="1"/>
    <s v="SC-20095"/>
    <s v="Sanjit Chand"/>
    <x v="0"/>
    <s v="United States"/>
    <x v="46"/>
    <x v="2"/>
    <x v="1"/>
    <s v="FUR-FU-10000073"/>
    <x v="0"/>
    <x v="3"/>
    <s v="Deflect-O Glasstique Clear Desk Accessories"/>
    <n v="69.3"/>
    <n v="9"/>
    <n v="22.869"/>
    <x v="6"/>
    <x v="3"/>
  </r>
  <r>
    <s v="US-2016-105578"/>
    <x v="82"/>
    <d v="2016-06-04T00:00:00"/>
    <x v="1"/>
    <s v="MY-17380"/>
    <s v="Maribeth Yedwab"/>
    <x v="1"/>
    <s v="United States"/>
    <x v="47"/>
    <x v="12"/>
    <x v="1"/>
    <s v="FUR-CH-10001215"/>
    <x v="0"/>
    <x v="1"/>
    <s v="Global Troy Executive Leather Low-Back Tilter"/>
    <n v="801.56799999999998"/>
    <n v="2"/>
    <n v="50.097999999999999"/>
    <x v="2"/>
    <x v="7"/>
  </r>
  <r>
    <s v="CA-2017-135307"/>
    <x v="83"/>
    <d v="2017-11-27T00:00:00"/>
    <x v="2"/>
    <s v="LS-17245"/>
    <s v="Lynn Smith"/>
    <x v="0"/>
    <s v="United States"/>
    <x v="48"/>
    <x v="23"/>
    <x v="3"/>
    <s v="FUR-FU-10001290"/>
    <x v="0"/>
    <x v="3"/>
    <s v="Executive Impressions Supervisor Wall Clock"/>
    <n v="126.3"/>
    <n v="3"/>
    <n v="40.415999999999997"/>
    <x v="5"/>
    <x v="0"/>
  </r>
  <r>
    <s v="CA-2017-145142"/>
    <x v="84"/>
    <d v="2017-01-25T00:00:00"/>
    <x v="2"/>
    <s v="MC-17605"/>
    <s v="Matt Connell"/>
    <x v="1"/>
    <s v="United States"/>
    <x v="25"/>
    <x v="17"/>
    <x v="3"/>
    <s v="FUR-TA-10001857"/>
    <x v="0"/>
    <x v="2"/>
    <s v="Balt Solid Wood Rectangular Table"/>
    <n v="210.98"/>
    <n v="2"/>
    <n v="21.097999999999999"/>
    <x v="3"/>
    <x v="8"/>
  </r>
  <r>
    <s v="CA-2017-113558"/>
    <x v="85"/>
    <d v="2017-10-26T00:00:00"/>
    <x v="1"/>
    <s v="PH-18790"/>
    <s v="Patricia Hirasaki"/>
    <x v="2"/>
    <s v="United States"/>
    <x v="49"/>
    <x v="1"/>
    <x v="0"/>
    <s v="FUR-CH-10003379"/>
    <x v="0"/>
    <x v="1"/>
    <s v="Global Commerce Series High-Back Swivel/Tilt Chairs"/>
    <n v="683.952"/>
    <n v="3"/>
    <n v="42.747"/>
    <x v="2"/>
    <x v="1"/>
  </r>
  <r>
    <s v="CA-2017-113558"/>
    <x v="85"/>
    <d v="2017-10-26T00:00:00"/>
    <x v="1"/>
    <s v="PH-18790"/>
    <s v="Patricia Hirasaki"/>
    <x v="2"/>
    <s v="United States"/>
    <x v="49"/>
    <x v="1"/>
    <x v="0"/>
    <s v="FUR-FU-10001756"/>
    <x v="0"/>
    <x v="3"/>
    <s v="Eldon Expressions Desk Accessory, Wood Photo Frame, Mahogany"/>
    <n v="45.695999999999998"/>
    <n v="3"/>
    <n v="5.1407999999999996"/>
    <x v="2"/>
    <x v="1"/>
  </r>
  <r>
    <s v="CA-2015-102848"/>
    <x v="86"/>
    <d v="2015-11-09T00:00:00"/>
    <x v="0"/>
    <s v="KB-16240"/>
    <s v="Karen Bern"/>
    <x v="1"/>
    <s v="United States"/>
    <x v="2"/>
    <x v="2"/>
    <x v="1"/>
    <s v="FUR-CH-10000595"/>
    <x v="0"/>
    <x v="1"/>
    <s v="Safco Contoured Stacking Chairs"/>
    <n v="190.72"/>
    <n v="1"/>
    <n v="11.92"/>
    <x v="3"/>
    <x v="0"/>
  </r>
  <r>
    <s v="US-2017-129441"/>
    <x v="87"/>
    <d v="2017-09-11T00:00:00"/>
    <x v="1"/>
    <s v="JC-15340"/>
    <s v="Jasper Cacioppo"/>
    <x v="0"/>
    <s v="United States"/>
    <x v="2"/>
    <x v="2"/>
    <x v="1"/>
    <s v="FUR-FU-10000448"/>
    <x v="0"/>
    <x v="3"/>
    <s v="Tenex Chairmats For Use With Carpeted Floors"/>
    <n v="47.94"/>
    <n v="3"/>
    <n v="2.3969999999999998"/>
    <x v="4"/>
    <x v="4"/>
  </r>
  <r>
    <s v="CA-2015-134894"/>
    <x v="88"/>
    <d v="2015-12-11T00:00:00"/>
    <x v="1"/>
    <s v="DK-12985"/>
    <s v="Darren Koutras"/>
    <x v="0"/>
    <s v="United States"/>
    <x v="0"/>
    <x v="0"/>
    <x v="0"/>
    <s v="FUR-CH-10002647"/>
    <x v="0"/>
    <x v="1"/>
    <s v="Situations Contoured Folding Chairs, 4/Set"/>
    <n v="283.92"/>
    <n v="4"/>
    <n v="70.98"/>
    <x v="4"/>
    <x v="5"/>
  </r>
  <r>
    <s v="CA-2014-103849"/>
    <x v="89"/>
    <d v="2014-05-16T00:00:00"/>
    <x v="1"/>
    <s v="PG-18895"/>
    <s v="Paul Gonzalez"/>
    <x v="0"/>
    <s v="United States"/>
    <x v="50"/>
    <x v="5"/>
    <x v="3"/>
    <s v="FUR-FU-10000723"/>
    <x v="0"/>
    <x v="3"/>
    <s v="Deflect-o EconoMat Studded, No Bevel Mat for Low Pile Carpeting"/>
    <n v="66.111999999999995"/>
    <n v="4"/>
    <n v="-84.2928"/>
    <x v="2"/>
    <x v="7"/>
  </r>
  <r>
    <s v="CA-2016-136406"/>
    <x v="90"/>
    <d v="2016-04-17T00:00:00"/>
    <x v="0"/>
    <s v="BD-11320"/>
    <s v="Bill Donatelli"/>
    <x v="0"/>
    <s v="United States"/>
    <x v="28"/>
    <x v="2"/>
    <x v="1"/>
    <s v="FUR-CH-10002024"/>
    <x v="0"/>
    <x v="1"/>
    <s v="HON 5400 Series Task Chairs for Big and Tall"/>
    <n v="1121.568"/>
    <n v="2"/>
    <n v="0"/>
    <x v="3"/>
    <x v="6"/>
  </r>
  <r>
    <s v="CA-2017-112774"/>
    <x v="91"/>
    <d v="2017-09-12T00:00:00"/>
    <x v="2"/>
    <s v="RC-19960"/>
    <s v="Ryan Crowe"/>
    <x v="0"/>
    <s v="United States"/>
    <x v="51"/>
    <x v="1"/>
    <x v="0"/>
    <s v="FUR-FU-10003039"/>
    <x v="0"/>
    <x v="3"/>
    <s v="Howard Miller 11-1/2&quot; Diameter Grantwood Wall Clock"/>
    <n v="34.503999999999998"/>
    <n v="1"/>
    <n v="6.0381999999999998"/>
    <x v="5"/>
    <x v="4"/>
  </r>
  <r>
    <s v="CA-2016-113243"/>
    <x v="92"/>
    <d v="2016-06-15T00:00:00"/>
    <x v="1"/>
    <s v="OT-18730"/>
    <s v="Olvera Toch"/>
    <x v="0"/>
    <s v="United States"/>
    <x v="2"/>
    <x v="2"/>
    <x v="1"/>
    <s v="FUR-TA-10004256"/>
    <x v="0"/>
    <x v="2"/>
    <s v="Bretford ÒJust In TimeÓ Height-Adjustable Multi-Task Work Tables"/>
    <n v="1335.68"/>
    <n v="4"/>
    <n v="-217.048"/>
    <x v="2"/>
    <x v="2"/>
  </r>
  <r>
    <s v="CA-2017-118731"/>
    <x v="93"/>
    <d v="2017-11-22T00:00:00"/>
    <x v="0"/>
    <s v="LP-17080"/>
    <s v="Liz Pelletier"/>
    <x v="0"/>
    <s v="United States"/>
    <x v="28"/>
    <x v="2"/>
    <x v="1"/>
    <s v="FUR-FU-10003347"/>
    <x v="0"/>
    <x v="3"/>
    <s v="Coloredge Poster Frame"/>
    <n v="42.6"/>
    <n v="3"/>
    <n v="16.614000000000001"/>
    <x v="3"/>
    <x v="0"/>
  </r>
  <r>
    <s v="CA-2014-145576"/>
    <x v="94"/>
    <d v="2014-09-18T00:00:00"/>
    <x v="0"/>
    <s v="CA-12775"/>
    <s v="Cynthia Arntzen"/>
    <x v="0"/>
    <s v="United States"/>
    <x v="26"/>
    <x v="1"/>
    <x v="0"/>
    <s v="FUR-FU-10004020"/>
    <x v="0"/>
    <x v="3"/>
    <s v="Advantus Panel Wall Acrylic Frame"/>
    <n v="13.128"/>
    <n v="3"/>
    <n v="3.7743000000000002"/>
    <x v="4"/>
    <x v="4"/>
  </r>
  <r>
    <s v="CA-2017-156951"/>
    <x v="95"/>
    <d v="2017-10-08T00:00:00"/>
    <x v="1"/>
    <s v="EB-13840"/>
    <s v="Ellis Ballard"/>
    <x v="1"/>
    <s v="United States"/>
    <x v="15"/>
    <x v="13"/>
    <x v="1"/>
    <s v="FUR-CH-10004997"/>
    <x v="0"/>
    <x v="1"/>
    <s v="Hon Every-Day Series Multi-Task Chairs"/>
    <n v="451.15199999999999"/>
    <n v="3"/>
    <n v="0"/>
    <x v="1"/>
    <x v="1"/>
  </r>
  <r>
    <s v="CA-2017-118640"/>
    <x v="96"/>
    <d v="2017-07-26T00:00:00"/>
    <x v="1"/>
    <s v="CS-11950"/>
    <s v="Carlos Soltero"/>
    <x v="0"/>
    <s v="United States"/>
    <x v="9"/>
    <x v="8"/>
    <x v="3"/>
    <s v="FUR-FU-10001475"/>
    <x v="0"/>
    <x v="3"/>
    <s v="Contract Clock, 14&quot;, Brown"/>
    <n v="8.7919999999999998"/>
    <n v="1"/>
    <n v="-5.7148000000000003"/>
    <x v="6"/>
    <x v="3"/>
  </r>
  <r>
    <s v="CA-2015-128139"/>
    <x v="97"/>
    <d v="2015-07-09T00:00:00"/>
    <x v="1"/>
    <s v="BD-11725"/>
    <s v="Bruce Degenhardt"/>
    <x v="0"/>
    <s v="United States"/>
    <x v="52"/>
    <x v="0"/>
    <x v="0"/>
    <s v="FUR-CH-10003956"/>
    <x v="0"/>
    <x v="1"/>
    <s v="Novimex High-Tech Fabric Mesh Task Chair"/>
    <n v="70.98"/>
    <n v="1"/>
    <n v="4.9686000000000003"/>
    <x v="6"/>
    <x v="3"/>
  </r>
  <r>
    <s v="CA-2014-131450"/>
    <x v="98"/>
    <d v="2014-08-15T00:00:00"/>
    <x v="1"/>
    <s v="LR-16915"/>
    <s v="Lena Radford"/>
    <x v="0"/>
    <s v="United States"/>
    <x v="53"/>
    <x v="2"/>
    <x v="1"/>
    <s v="FUR-FU-10001979"/>
    <x v="0"/>
    <x v="3"/>
    <s v="Dana Halogen Swing-Arm Architect Lamp"/>
    <n v="327.76"/>
    <n v="8"/>
    <n v="91.772800000000004"/>
    <x v="1"/>
    <x v="10"/>
  </r>
  <r>
    <s v="CA-2014-149958"/>
    <x v="99"/>
    <d v="2014-03-19T00:00:00"/>
    <x v="1"/>
    <s v="AS-10240"/>
    <s v="Alan Shonely"/>
    <x v="0"/>
    <s v="United States"/>
    <x v="26"/>
    <x v="1"/>
    <x v="0"/>
    <s v="FUR-FU-10001756"/>
    <x v="0"/>
    <x v="3"/>
    <s v="Eldon Expressions Desk Accessory, Wood Photo Frame, Mahogany"/>
    <n v="45.695999999999998"/>
    <n v="3"/>
    <n v="5.1407999999999996"/>
    <x v="4"/>
    <x v="9"/>
  </r>
  <r>
    <s v="CA-2017-117947"/>
    <x v="100"/>
    <d v="2017-08-23T00:00:00"/>
    <x v="0"/>
    <s v="NG-18355"/>
    <s v="Nat Gilpin"/>
    <x v="1"/>
    <s v="United States"/>
    <x v="13"/>
    <x v="7"/>
    <x v="2"/>
    <s v="FUR-FU-10003849"/>
    <x v="0"/>
    <x v="3"/>
    <s v="DAX Metal Frame, Desktop, Stepped-Edge"/>
    <n v="40.479999999999997"/>
    <n v="2"/>
    <n v="15.7872"/>
    <x v="2"/>
    <x v="10"/>
  </r>
  <r>
    <s v="CA-2017-117947"/>
    <x v="100"/>
    <d v="2017-08-23T00:00:00"/>
    <x v="0"/>
    <s v="NG-18355"/>
    <s v="Nat Gilpin"/>
    <x v="1"/>
    <s v="United States"/>
    <x v="13"/>
    <x v="7"/>
    <x v="2"/>
    <s v="FUR-FU-10000010"/>
    <x v="0"/>
    <x v="3"/>
    <s v="DAX Value U-Channel Document Frames, Easel Back"/>
    <n v="9.94"/>
    <n v="2"/>
    <n v="3.0813999999999999"/>
    <x v="2"/>
    <x v="10"/>
  </r>
  <r>
    <s v="CA-2017-117947"/>
    <x v="100"/>
    <d v="2017-08-23T00:00:00"/>
    <x v="0"/>
    <s v="NG-18355"/>
    <s v="Nat Gilpin"/>
    <x v="1"/>
    <s v="United States"/>
    <x v="13"/>
    <x v="7"/>
    <x v="2"/>
    <s v="FUR-FU-10000521"/>
    <x v="0"/>
    <x v="3"/>
    <s v="Seth Thomas 14&quot; Putty-Colored Wall Clock"/>
    <n v="88.02"/>
    <n v="3"/>
    <n v="27.286200000000001"/>
    <x v="2"/>
    <x v="10"/>
  </r>
  <r>
    <s v="CA-2015-138009"/>
    <x v="101"/>
    <d v="2015-12-03T00:00:00"/>
    <x v="1"/>
    <s v="SF-20965"/>
    <s v="Sylvia Foulston"/>
    <x v="1"/>
    <s v="United States"/>
    <x v="54"/>
    <x v="17"/>
    <x v="3"/>
    <s v="FUR-CH-10004853"/>
    <x v="0"/>
    <x v="1"/>
    <s v="Global Manager's Adjustable Task Chair, Storm"/>
    <n v="301.95999999999998"/>
    <n v="2"/>
    <n v="87.568399999999997"/>
    <x v="4"/>
    <x v="0"/>
  </r>
  <r>
    <s v="CA-2017-163020"/>
    <x v="102"/>
    <d v="2017-09-19T00:00:00"/>
    <x v="1"/>
    <s v="MO-17800"/>
    <s v="Meg O'Connel"/>
    <x v="2"/>
    <s v="United States"/>
    <x v="13"/>
    <x v="7"/>
    <x v="2"/>
    <s v="FUR-FU-10000221"/>
    <x v="0"/>
    <x v="3"/>
    <s v="Master Caster Door Stop, Brown"/>
    <n v="35.56"/>
    <n v="7"/>
    <n v="12.090400000000001"/>
    <x v="4"/>
    <x v="4"/>
  </r>
  <r>
    <s v="CA-2015-168004"/>
    <x v="103"/>
    <d v="2015-10-09T00:00:00"/>
    <x v="0"/>
    <s v="DJ-13420"/>
    <s v="Denny Joy"/>
    <x v="1"/>
    <s v="United States"/>
    <x v="55"/>
    <x v="24"/>
    <x v="0"/>
    <s v="FUR-CH-10001482"/>
    <x v="0"/>
    <x v="1"/>
    <s v="Office Star - Mesh Screen back chair with Vinyl seat"/>
    <n v="392.94"/>
    <n v="3"/>
    <n v="43.223399999999998"/>
    <x v="2"/>
    <x v="1"/>
  </r>
  <r>
    <s v="CA-2016-115917"/>
    <x v="104"/>
    <d v="2016-05-25T00:00:00"/>
    <x v="1"/>
    <s v="RB-19465"/>
    <s v="Rick Bensley"/>
    <x v="2"/>
    <s v="United States"/>
    <x v="56"/>
    <x v="2"/>
    <x v="1"/>
    <s v="FUR-FU-10000576"/>
    <x v="0"/>
    <x v="3"/>
    <s v="Luxo Professional Fluorescent Magnifier Lamp with Clamp-Mount Base"/>
    <n v="1049.2"/>
    <n v="5"/>
    <n v="272.79199999999997"/>
    <x v="2"/>
    <x v="7"/>
  </r>
  <r>
    <s v="CA-2016-147067"/>
    <x v="105"/>
    <d v="2016-12-22T00:00:00"/>
    <x v="1"/>
    <s v="JD-16150"/>
    <s v="Justin Deggeller"/>
    <x v="1"/>
    <s v="United States"/>
    <x v="12"/>
    <x v="11"/>
    <x v="3"/>
    <s v="FUR-FU-10000732"/>
    <x v="0"/>
    <x v="3"/>
    <s v="Eldon 200 Class Desk Accessories"/>
    <n v="18.84"/>
    <n v="3"/>
    <n v="6.0288000000000004"/>
    <x v="4"/>
    <x v="5"/>
  </r>
  <r>
    <s v="CA-2016-160745"/>
    <x v="106"/>
    <d v="2016-12-16T00:00:00"/>
    <x v="0"/>
    <s v="AR-10825"/>
    <s v="Anthony Rawles"/>
    <x v="1"/>
    <s v="United States"/>
    <x v="57"/>
    <x v="13"/>
    <x v="1"/>
    <s v="FUR-FU-10001935"/>
    <x v="0"/>
    <x v="3"/>
    <s v="3M Hangers With Command Adhesive"/>
    <n v="14.8"/>
    <n v="4"/>
    <n v="6.0679999999999996"/>
    <x v="2"/>
    <x v="5"/>
  </r>
  <r>
    <s v="US-2016-156097"/>
    <x v="107"/>
    <d v="2016-09-19T00:00:00"/>
    <x v="3"/>
    <s v="EH-14125"/>
    <s v="Eugene Hildebrand"/>
    <x v="2"/>
    <s v="United States"/>
    <x v="14"/>
    <x v="8"/>
    <x v="3"/>
    <s v="FUR-CH-10001215"/>
    <x v="0"/>
    <x v="1"/>
    <s v="Global Troy Executive Leather Low-Back Tilter"/>
    <n v="701.37199999999996"/>
    <n v="2"/>
    <n v="-50.097999999999999"/>
    <x v="7"/>
    <x v="4"/>
  </r>
  <r>
    <s v="CA-2015-146563"/>
    <x v="108"/>
    <d v="2015-08-28T00:00:00"/>
    <x v="1"/>
    <s v="CB-12025"/>
    <s v="Cassandra Brandow"/>
    <x v="0"/>
    <s v="United States"/>
    <x v="58"/>
    <x v="5"/>
    <x v="3"/>
    <s v="FUR-TA-10001768"/>
    <x v="0"/>
    <x v="2"/>
    <s v="Hon Racetrack Conference Tables"/>
    <n v="918.78499999999997"/>
    <n v="5"/>
    <n v="-118.12949999999999"/>
    <x v="4"/>
    <x v="10"/>
  </r>
  <r>
    <s v="CA-2014-156314"/>
    <x v="109"/>
    <d v="2014-12-26T00:00:00"/>
    <x v="2"/>
    <s v="RP-19390"/>
    <s v="Resi Pšlking"/>
    <x v="0"/>
    <s v="United States"/>
    <x v="59"/>
    <x v="15"/>
    <x v="2"/>
    <s v="FUR-FU-10003096"/>
    <x v="0"/>
    <x v="3"/>
    <s v="Master Giant Foot Doorstop, Safety Yellow"/>
    <n v="30.36"/>
    <n v="5"/>
    <n v="8.7285000000000004"/>
    <x v="3"/>
    <x v="5"/>
  </r>
  <r>
    <s v="US-2017-106663"/>
    <x v="110"/>
    <d v="2017-06-13T00:00:00"/>
    <x v="1"/>
    <s v="MO-17800"/>
    <s v="Meg O'Connel"/>
    <x v="2"/>
    <s v="United States"/>
    <x v="9"/>
    <x v="8"/>
    <x v="3"/>
    <s v="FUR-FU-10002759"/>
    <x v="0"/>
    <x v="3"/>
    <s v="12-1/2 Diameter Round Wall Clock"/>
    <n v="23.975999999999999"/>
    <n v="3"/>
    <n v="-14.3856"/>
    <x v="4"/>
    <x v="2"/>
  </r>
  <r>
    <s v="US-2017-106663"/>
    <x v="110"/>
    <d v="2017-06-13T00:00:00"/>
    <x v="1"/>
    <s v="MO-17800"/>
    <s v="Meg O'Connel"/>
    <x v="2"/>
    <s v="United States"/>
    <x v="9"/>
    <x v="8"/>
    <x v="3"/>
    <s v="FUR-TA-10000688"/>
    <x v="0"/>
    <x v="2"/>
    <s v="Chromcraft Bull-Nose Wood Round Conference Table Top, Wood Base"/>
    <n v="108.925"/>
    <n v="1"/>
    <n v="-71.890500000000003"/>
    <x v="4"/>
    <x v="2"/>
  </r>
  <r>
    <s v="US-2017-119438"/>
    <x v="111"/>
    <d v="2017-03-23T00:00:00"/>
    <x v="1"/>
    <s v="CD-11980"/>
    <s v="Carol Darley"/>
    <x v="0"/>
    <s v="United States"/>
    <x v="60"/>
    <x v="5"/>
    <x v="3"/>
    <s v="FUR-FU-10003553"/>
    <x v="0"/>
    <x v="3"/>
    <s v="Howard Miller 13-1/2&quot; Diameter Rosebrook Wall Clock"/>
    <n v="82.524000000000001"/>
    <n v="3"/>
    <n v="-41.262"/>
    <x v="2"/>
    <x v="9"/>
  </r>
  <r>
    <s v="CA-2017-161480"/>
    <x v="19"/>
    <d v="2017-12-29T00:00:00"/>
    <x v="1"/>
    <s v="RA-19285"/>
    <s v="Ralph Arnett"/>
    <x v="0"/>
    <s v="United States"/>
    <x v="13"/>
    <x v="7"/>
    <x v="2"/>
    <s v="FUR-BO-10004015"/>
    <x v="0"/>
    <x v="0"/>
    <s v="Bush Andora Bookcase, Maple/Graphite Gray Finish"/>
    <n v="191.98400000000001"/>
    <n v="2"/>
    <n v="4.7995999999999999"/>
    <x v="4"/>
    <x v="5"/>
  </r>
  <r>
    <s v="US-2014-117135"/>
    <x v="112"/>
    <d v="2014-06-23T00:00:00"/>
    <x v="0"/>
    <s v="NP-18325"/>
    <s v="Naresj Patel"/>
    <x v="0"/>
    <s v="United States"/>
    <x v="61"/>
    <x v="25"/>
    <x v="0"/>
    <s v="FUR-FU-10004071"/>
    <x v="0"/>
    <x v="3"/>
    <s v="Luxo Professional Magnifying Clamp-On Fluorescent Lamps"/>
    <n v="104.01"/>
    <n v="1"/>
    <n v="14.561400000000001"/>
    <x v="3"/>
    <x v="2"/>
  </r>
  <r>
    <s v="CA-2017-114552"/>
    <x v="113"/>
    <d v="2017-09-08T00:00:00"/>
    <x v="1"/>
    <s v="Dl-13600"/>
    <s v="Dorris liebe"/>
    <x v="1"/>
    <s v="United States"/>
    <x v="59"/>
    <x v="15"/>
    <x v="2"/>
    <s v="FUR-FU-10002960"/>
    <x v="0"/>
    <x v="3"/>
    <s v="Eldon 200 Class Desk Accessories, Burgundy"/>
    <n v="15.071999999999999"/>
    <n v="3"/>
    <n v="4.1448"/>
    <x v="6"/>
    <x v="4"/>
  </r>
  <r>
    <s v="CA-2016-163755"/>
    <x v="114"/>
    <d v="2016-11-08T00:00:00"/>
    <x v="0"/>
    <s v="AS-10285"/>
    <s v="Alejandro Savely"/>
    <x v="1"/>
    <s v="United States"/>
    <x v="15"/>
    <x v="13"/>
    <x v="1"/>
    <s v="FUR-FU-10003394"/>
    <x v="0"/>
    <x v="3"/>
    <s v="Tenex &quot;The Solids&quot; Textured Chair Mats"/>
    <n v="209.88"/>
    <n v="3"/>
    <n v="35.679600000000001"/>
    <x v="4"/>
    <x v="0"/>
  </r>
  <r>
    <s v="CA-2015-142027"/>
    <x v="115"/>
    <d v="2015-04-14T00:00:00"/>
    <x v="1"/>
    <s v="JK-15370"/>
    <s v="Jay Kimmel"/>
    <x v="0"/>
    <s v="United States"/>
    <x v="62"/>
    <x v="2"/>
    <x v="1"/>
    <s v="FUR-TA-10002774"/>
    <x v="0"/>
    <x v="2"/>
    <s v="Laminate Occasional Tables"/>
    <n v="369.91199999999998"/>
    <n v="3"/>
    <n v="-13.871700000000001"/>
    <x v="2"/>
    <x v="6"/>
  </r>
  <r>
    <s v="CA-2014-112158"/>
    <x v="116"/>
    <d v="2014-12-04T00:00:00"/>
    <x v="2"/>
    <s v="DP-13165"/>
    <s v="David Philippe"/>
    <x v="0"/>
    <s v="United States"/>
    <x v="13"/>
    <x v="7"/>
    <x v="2"/>
    <s v="FUR-BO-10003272"/>
    <x v="0"/>
    <x v="0"/>
    <s v="O'Sullivan Living Dimensions 5-Shelf Bookcases"/>
    <n v="883.92"/>
    <n v="5"/>
    <n v="-110.49"/>
    <x v="3"/>
    <x v="5"/>
  </r>
  <r>
    <s v="CA-2014-130092"/>
    <x v="117"/>
    <d v="2014-01-14T00:00:00"/>
    <x v="2"/>
    <s v="SV-20365"/>
    <s v="Seth Vernon"/>
    <x v="0"/>
    <s v="United States"/>
    <x v="63"/>
    <x v="14"/>
    <x v="2"/>
    <s v="FUR-FU-10000010"/>
    <x v="0"/>
    <x v="3"/>
    <s v="DAX Value U-Channel Document Frames, Easel Back"/>
    <n v="9.94"/>
    <n v="2"/>
    <n v="3.0813999999999999"/>
    <x v="0"/>
    <x v="8"/>
  </r>
  <r>
    <s v="CA-2017-108910"/>
    <x v="118"/>
    <d v="2017-09-29T00:00:00"/>
    <x v="1"/>
    <s v="KC-16540"/>
    <s v="Kelly Collister"/>
    <x v="0"/>
    <s v="United States"/>
    <x v="19"/>
    <x v="15"/>
    <x v="2"/>
    <s v="FUR-FU-10002253"/>
    <x v="0"/>
    <x v="3"/>
    <s v="Howard Miller 13&quot; Diameter Pewter Finish Round Wall Clock"/>
    <n v="103.056"/>
    <n v="3"/>
    <n v="24.4758"/>
    <x v="2"/>
    <x v="4"/>
  </r>
  <r>
    <s v="CA-2014-104472"/>
    <x v="119"/>
    <d v="2014-06-07T00:00:00"/>
    <x v="1"/>
    <s v="CK-12325"/>
    <s v="Christine Kargatis"/>
    <x v="2"/>
    <s v="United States"/>
    <x v="4"/>
    <x v="4"/>
    <x v="1"/>
    <s v="FUR-FU-10000246"/>
    <x v="0"/>
    <x v="3"/>
    <s v="Aluminum Document Frame"/>
    <n v="73.319999999999993"/>
    <n v="6"/>
    <n v="21.995999999999999"/>
    <x v="2"/>
    <x v="2"/>
  </r>
  <r>
    <s v="CA-2016-142335"/>
    <x v="120"/>
    <d v="2016-12-19T00:00:00"/>
    <x v="1"/>
    <s v="MP-17965"/>
    <s v="Michael Paige"/>
    <x v="1"/>
    <s v="United States"/>
    <x v="25"/>
    <x v="17"/>
    <x v="3"/>
    <s v="FUR-TA-10000198"/>
    <x v="0"/>
    <x v="2"/>
    <s v="Chromcraft Bull-Nose Wood Oval Conference Tables &amp; Bases"/>
    <n v="1652.94"/>
    <n v="3"/>
    <n v="231.41159999999999"/>
    <x v="4"/>
    <x v="5"/>
  </r>
  <r>
    <s v="CA-2014-117429"/>
    <x v="121"/>
    <d v="2014-10-13T00:00:00"/>
    <x v="1"/>
    <s v="MR-17545"/>
    <s v="Mathew Reese"/>
    <x v="2"/>
    <s v="United States"/>
    <x v="3"/>
    <x v="3"/>
    <x v="2"/>
    <s v="FUR-FU-10000222"/>
    <x v="0"/>
    <x v="3"/>
    <s v="Seth Thomas 16&quot; Steel Case Clock"/>
    <n v="129.91999999999999"/>
    <n v="5"/>
    <n v="21.111999999999998"/>
    <x v="6"/>
    <x v="1"/>
  </r>
  <r>
    <s v="US-2016-150861"/>
    <x v="122"/>
    <d v="2016-12-06T00:00:00"/>
    <x v="2"/>
    <s v="EG-13900"/>
    <s v="Emily Grady"/>
    <x v="0"/>
    <s v="United States"/>
    <x v="64"/>
    <x v="7"/>
    <x v="2"/>
    <s v="FUR-TA-10002228"/>
    <x v="0"/>
    <x v="2"/>
    <s v="Bevis Traditional Conference Table Top, Plinth Base"/>
    <n v="400.03199999999998"/>
    <n v="2"/>
    <n v="-153.34559999999999"/>
    <x v="0"/>
    <x v="5"/>
  </r>
  <r>
    <s v="US-2016-150861"/>
    <x v="122"/>
    <d v="2016-12-06T00:00:00"/>
    <x v="2"/>
    <s v="EG-13900"/>
    <s v="Emily Grady"/>
    <x v="0"/>
    <s v="United States"/>
    <x v="64"/>
    <x v="7"/>
    <x v="2"/>
    <s v="FUR-CH-10002965"/>
    <x v="0"/>
    <x v="1"/>
    <s v="Global Leather Highback Executive Chair with Pneumatic Height Adjustment, Black"/>
    <n v="542.64599999999996"/>
    <n v="3"/>
    <n v="102.49979999999999"/>
    <x v="0"/>
    <x v="5"/>
  </r>
  <r>
    <s v="CA-2017-131954"/>
    <x v="123"/>
    <d v="2017-01-25T00:00:00"/>
    <x v="1"/>
    <s v="DS-13030"/>
    <s v="Darrin Sayre"/>
    <x v="2"/>
    <s v="United States"/>
    <x v="15"/>
    <x v="13"/>
    <x v="1"/>
    <s v="FUR-BO-10001619"/>
    <x v="0"/>
    <x v="0"/>
    <s v="O'Sullivan Cherrywood Estates Traditional Bookcase"/>
    <n v="84.98"/>
    <n v="1"/>
    <n v="18.695599999999999"/>
    <x v="4"/>
    <x v="8"/>
  </r>
  <r>
    <s v="CA-2014-124429"/>
    <x v="124"/>
    <d v="2014-05-27T00:00:00"/>
    <x v="3"/>
    <s v="MH-17785"/>
    <s v="Maya Herman"/>
    <x v="1"/>
    <s v="United States"/>
    <x v="53"/>
    <x v="2"/>
    <x v="1"/>
    <s v="FUR-TA-10002607"/>
    <x v="0"/>
    <x v="2"/>
    <s v="KI Conference Tables"/>
    <n v="567.12"/>
    <n v="10"/>
    <n v="-28.356000000000002"/>
    <x v="7"/>
    <x v="7"/>
  </r>
  <r>
    <s v="CA-2017-126074"/>
    <x v="125"/>
    <d v="2017-10-06T00:00:00"/>
    <x v="1"/>
    <s v="RF-19735"/>
    <s v="Roland Fjeld"/>
    <x v="0"/>
    <s v="United States"/>
    <x v="65"/>
    <x v="17"/>
    <x v="3"/>
    <s v="FUR-FU-10003577"/>
    <x v="0"/>
    <x v="3"/>
    <s v="Nu-Dell Leatherette Frames"/>
    <n v="157.74"/>
    <n v="11"/>
    <n v="56.7864"/>
    <x v="4"/>
    <x v="1"/>
  </r>
  <r>
    <s v="CA-2015-135272"/>
    <x v="88"/>
    <d v="2015-12-12T00:00:00"/>
    <x v="1"/>
    <s v="MS-17830"/>
    <s v="Melanie Seite"/>
    <x v="0"/>
    <s v="United States"/>
    <x v="2"/>
    <x v="2"/>
    <x v="1"/>
    <s v="FUR-FU-10002759"/>
    <x v="0"/>
    <x v="3"/>
    <s v="12-1/2 Diameter Round Wall Clock"/>
    <n v="79.92"/>
    <n v="4"/>
    <n v="28.7712"/>
    <x v="2"/>
    <x v="5"/>
  </r>
  <r>
    <s v="CA-2016-140928"/>
    <x v="126"/>
    <d v="2016-09-22T00:00:00"/>
    <x v="1"/>
    <s v="NB-18655"/>
    <s v="Nona Balk"/>
    <x v="1"/>
    <s v="United States"/>
    <x v="51"/>
    <x v="1"/>
    <x v="0"/>
    <s v="FUR-TA-10001095"/>
    <x v="0"/>
    <x v="2"/>
    <s v="Chromcraft Round Conference Tables"/>
    <n v="383.43799999999999"/>
    <n v="4"/>
    <n v="-167.3184"/>
    <x v="4"/>
    <x v="4"/>
  </r>
  <r>
    <s v="CA-2014-106810"/>
    <x v="127"/>
    <d v="2014-05-20T00:00:00"/>
    <x v="1"/>
    <s v="AJ-10795"/>
    <s v="Anthony Johnson"/>
    <x v="1"/>
    <s v="United States"/>
    <x v="66"/>
    <x v="1"/>
    <x v="0"/>
    <s v="FUR-FU-10004306"/>
    <x v="0"/>
    <x v="3"/>
    <s v="Electrix Halogen Magnifier Lamp"/>
    <n v="310.88"/>
    <n v="2"/>
    <n v="23.315999999999999"/>
    <x v="6"/>
    <x v="7"/>
  </r>
  <r>
    <s v="CA-2016-157245"/>
    <x v="128"/>
    <d v="2016-05-24T00:00:00"/>
    <x v="1"/>
    <s v="LE-16810"/>
    <s v="Laurel Elliston"/>
    <x v="0"/>
    <s v="United States"/>
    <x v="58"/>
    <x v="25"/>
    <x v="0"/>
    <s v="FUR-CH-10003746"/>
    <x v="0"/>
    <x v="1"/>
    <s v="Hon 4070 Series Pagoda Round Back Stacking Chairs"/>
    <n v="641.96"/>
    <n v="2"/>
    <n v="179.74879999999999"/>
    <x v="2"/>
    <x v="7"/>
  </r>
  <r>
    <s v="CA-2017-104220"/>
    <x v="129"/>
    <d v="2017-02-05T00:00:00"/>
    <x v="1"/>
    <s v="BV-11245"/>
    <s v="Benjamin Venier"/>
    <x v="1"/>
    <s v="United States"/>
    <x v="67"/>
    <x v="26"/>
    <x v="3"/>
    <s v="FUR-FU-10002597"/>
    <x v="0"/>
    <x v="3"/>
    <s v="C-Line Magnetic Cubicle Keepers, Clear Polypropylene"/>
    <n v="34.58"/>
    <n v="7"/>
    <n v="14.5236"/>
    <x v="6"/>
    <x v="8"/>
  </r>
  <r>
    <s v="CA-2015-144267"/>
    <x v="130"/>
    <d v="2015-08-23T00:00:00"/>
    <x v="2"/>
    <s v="NZ-18565"/>
    <s v="Nick Zandusky"/>
    <x v="2"/>
    <s v="United States"/>
    <x v="28"/>
    <x v="2"/>
    <x v="1"/>
    <s v="FUR-CH-10002335"/>
    <x v="0"/>
    <x v="1"/>
    <s v="Hon GuestStacker Chair"/>
    <n v="544.00800000000004"/>
    <n v="3"/>
    <n v="40.800600000000003"/>
    <x v="3"/>
    <x v="10"/>
  </r>
  <r>
    <s v="US-2015-157014"/>
    <x v="131"/>
    <d v="2015-10-06T00:00:00"/>
    <x v="0"/>
    <s v="BM-11785"/>
    <s v="Bryan Mills"/>
    <x v="0"/>
    <s v="United States"/>
    <x v="29"/>
    <x v="15"/>
    <x v="2"/>
    <s v="FUR-BO-10004409"/>
    <x v="0"/>
    <x v="0"/>
    <s v="Safco Value Mate Series Steel Bookcases, Baked Enamel Finish on Steel, Gray"/>
    <n v="35.49"/>
    <n v="1"/>
    <n v="-15.615600000000001"/>
    <x v="0"/>
    <x v="1"/>
  </r>
  <r>
    <s v="CA-2015-154620"/>
    <x v="132"/>
    <d v="2015-12-16T00:00:00"/>
    <x v="1"/>
    <s v="LT-17110"/>
    <s v="Liz Thompson"/>
    <x v="0"/>
    <s v="United States"/>
    <x v="68"/>
    <x v="2"/>
    <x v="1"/>
    <s v="FUR-CH-10004675"/>
    <x v="0"/>
    <x v="1"/>
    <s v="Lifetime Advantage Folding Chairs, 4/Carton"/>
    <n v="348.928"/>
    <n v="2"/>
    <n v="34.892800000000001"/>
    <x v="4"/>
    <x v="5"/>
  </r>
  <r>
    <s v="CA-2015-115938"/>
    <x v="133"/>
    <d v="2015-06-30T00:00:00"/>
    <x v="1"/>
    <s v="SA-20830"/>
    <s v="Sue Ann Reed"/>
    <x v="0"/>
    <s v="United States"/>
    <x v="52"/>
    <x v="25"/>
    <x v="0"/>
    <s v="FUR-CH-10003199"/>
    <x v="0"/>
    <x v="1"/>
    <s v="Office Star - Contemporary Task Swivel Chair"/>
    <n v="332.94"/>
    <n v="3"/>
    <n v="79.905600000000007"/>
    <x v="4"/>
    <x v="2"/>
  </r>
  <r>
    <s v="CA-2015-101910"/>
    <x v="61"/>
    <d v="2015-12-03T00:00:00"/>
    <x v="1"/>
    <s v="CD-11920"/>
    <s v="Carlos Daly"/>
    <x v="0"/>
    <s v="United States"/>
    <x v="69"/>
    <x v="2"/>
    <x v="1"/>
    <s v="FUR-CH-10002647"/>
    <x v="0"/>
    <x v="1"/>
    <s v="Situations Contoured Folding Chairs, 4/Set"/>
    <n v="283.92"/>
    <n v="5"/>
    <n v="17.745000000000001"/>
    <x v="6"/>
    <x v="0"/>
  </r>
  <r>
    <s v="CA-2017-105809"/>
    <x v="134"/>
    <d v="2017-02-23T00:00:00"/>
    <x v="2"/>
    <s v="HW-14935"/>
    <s v="Helen Wasserman"/>
    <x v="1"/>
    <s v="United States"/>
    <x v="53"/>
    <x v="2"/>
    <x v="1"/>
    <s v="FUR-FU-10004090"/>
    <x v="0"/>
    <x v="3"/>
    <s v="Executive Impressions 14&quot; Contract Wall Clock"/>
    <n v="22.23"/>
    <n v="1"/>
    <n v="7.3358999999999996"/>
    <x v="0"/>
    <x v="11"/>
  </r>
  <r>
    <s v="CA-2017-135783"/>
    <x v="135"/>
    <d v="2017-04-24T00:00:00"/>
    <x v="2"/>
    <s v="GM-14440"/>
    <s v="Gary McGarr"/>
    <x v="0"/>
    <s v="United States"/>
    <x v="28"/>
    <x v="2"/>
    <x v="1"/>
    <s v="FUR-FU-10000794"/>
    <x v="0"/>
    <x v="3"/>
    <s v="Eldon Stackable Tray, Side-Load, Legal, Smoke"/>
    <n v="18.28"/>
    <n v="2"/>
    <n v="6.2152000000000003"/>
    <x v="3"/>
    <x v="6"/>
  </r>
  <r>
    <s v="CA-2015-140921"/>
    <x v="136"/>
    <d v="2015-02-05T00:00:00"/>
    <x v="2"/>
    <s v="AA-10375"/>
    <s v="Allen Armold"/>
    <x v="0"/>
    <s v="United States"/>
    <x v="70"/>
    <x v="27"/>
    <x v="3"/>
    <s v="FUR-FU-10003347"/>
    <x v="0"/>
    <x v="3"/>
    <s v="Coloredge Poster Frame"/>
    <n v="28.4"/>
    <n v="2"/>
    <n v="11.076000000000001"/>
    <x v="3"/>
    <x v="11"/>
  </r>
  <r>
    <s v="CA-2014-151995"/>
    <x v="137"/>
    <d v="2014-10-15T00:00:00"/>
    <x v="2"/>
    <s v="ZC-21910"/>
    <s v="Zuschuss Carroll"/>
    <x v="0"/>
    <s v="United States"/>
    <x v="71"/>
    <x v="13"/>
    <x v="1"/>
    <s v="FUR-TA-10002903"/>
    <x v="0"/>
    <x v="2"/>
    <s v="Bevis Round Bullnose 29&quot; High Table Top"/>
    <n v="1298.55"/>
    <n v="5"/>
    <n v="311.65199999999999"/>
    <x v="3"/>
    <x v="1"/>
  </r>
  <r>
    <s v="CA-2017-143686"/>
    <x v="138"/>
    <d v="2017-05-14T00:00:00"/>
    <x v="3"/>
    <s v="PJ-19015"/>
    <s v="Pauline Johnson"/>
    <x v="0"/>
    <s v="United States"/>
    <x v="72"/>
    <x v="2"/>
    <x v="1"/>
    <s v="FUR-FU-10000794"/>
    <x v="0"/>
    <x v="3"/>
    <s v="Eldon Stackable Tray, Side-Load, Legal, Smoke"/>
    <n v="18.28"/>
    <n v="2"/>
    <n v="6.2152000000000003"/>
    <x v="7"/>
    <x v="7"/>
  </r>
  <r>
    <s v="CA-2014-140858"/>
    <x v="139"/>
    <d v="2014-07-02T00:00:00"/>
    <x v="1"/>
    <s v="CA-12775"/>
    <s v="Cynthia Arntzen"/>
    <x v="0"/>
    <s v="United States"/>
    <x v="3"/>
    <x v="3"/>
    <x v="2"/>
    <s v="FUR-CH-10001394"/>
    <x v="0"/>
    <x v="1"/>
    <s v="Global Leather Executive Chair"/>
    <n v="1228.4649999999999"/>
    <n v="5"/>
    <n v="0"/>
    <x v="4"/>
    <x v="2"/>
  </r>
  <r>
    <s v="CA-2017-129462"/>
    <x v="140"/>
    <d v="2017-06-21T00:00:00"/>
    <x v="0"/>
    <s v="JE-15745"/>
    <s v="Joel Eaton"/>
    <x v="0"/>
    <s v="United States"/>
    <x v="73"/>
    <x v="0"/>
    <x v="0"/>
    <s v="FUR-CH-10000665"/>
    <x v="0"/>
    <x v="1"/>
    <s v="Global Airflow Leather Mesh Back Chair, Black"/>
    <n v="301.95999999999998"/>
    <n v="2"/>
    <n v="90.587999999999994"/>
    <x v="2"/>
    <x v="2"/>
  </r>
  <r>
    <s v="CA-2015-100454"/>
    <x v="141"/>
    <d v="2015-11-25T00:00:00"/>
    <x v="1"/>
    <s v="BM-11650"/>
    <s v="Brian Moss"/>
    <x v="1"/>
    <s v="United States"/>
    <x v="13"/>
    <x v="7"/>
    <x v="2"/>
    <s v="FUR-BO-10001519"/>
    <x v="0"/>
    <x v="0"/>
    <s v="O'Sullivan 3-Shelf Heavy-Duty Bookcases"/>
    <n v="186.048"/>
    <n v="4"/>
    <n v="9.3024000000000004"/>
    <x v="2"/>
    <x v="0"/>
  </r>
  <r>
    <s v="CA-2015-114300"/>
    <x v="142"/>
    <d v="2015-10-17T00:00:00"/>
    <x v="1"/>
    <s v="AF-10885"/>
    <s v="Art Foster"/>
    <x v="0"/>
    <s v="United States"/>
    <x v="74"/>
    <x v="0"/>
    <x v="0"/>
    <s v="FUR-CH-10001891"/>
    <x v="0"/>
    <x v="1"/>
    <s v="Global Deluxe Office Fabric Chairs"/>
    <n v="287.94"/>
    <n v="3"/>
    <n v="77.743799999999993"/>
    <x v="4"/>
    <x v="1"/>
  </r>
  <r>
    <s v="CA-2017-107503"/>
    <x v="143"/>
    <d v="2017-01-06T00:00:00"/>
    <x v="1"/>
    <s v="GA-14725"/>
    <s v="Guy Armstrong"/>
    <x v="0"/>
    <s v="United States"/>
    <x v="75"/>
    <x v="15"/>
    <x v="2"/>
    <s v="FUR-FU-10003878"/>
    <x v="0"/>
    <x v="3"/>
    <s v="Linden 10&quot; Round Wall Clock, Black"/>
    <n v="48.896000000000001"/>
    <n v="4"/>
    <n v="8.5568000000000008"/>
    <x v="2"/>
    <x v="8"/>
  </r>
  <r>
    <s v="CA-2016-123274"/>
    <x v="144"/>
    <d v="2016-02-24T00:00:00"/>
    <x v="1"/>
    <s v="GT-14710"/>
    <s v="Greg Tran"/>
    <x v="0"/>
    <s v="United States"/>
    <x v="13"/>
    <x v="7"/>
    <x v="2"/>
    <s v="FUR-FU-10004090"/>
    <x v="0"/>
    <x v="3"/>
    <s v="Executive Impressions 14&quot; Contract Wall Clock"/>
    <n v="44.46"/>
    <n v="2"/>
    <n v="14.671799999999999"/>
    <x v="2"/>
    <x v="11"/>
  </r>
  <r>
    <s v="CA-2014-149020"/>
    <x v="145"/>
    <d v="2014-01-15T00:00:00"/>
    <x v="1"/>
    <s v="AJ-10780"/>
    <s v="Anthony Jacobs"/>
    <x v="1"/>
    <s v="United States"/>
    <x v="76"/>
    <x v="25"/>
    <x v="0"/>
    <s v="FUR-FU-10000965"/>
    <x v="0"/>
    <x v="3"/>
    <s v="Howard Miller 11-1/2&quot; Diameter Ridgewood Wall Clock"/>
    <n v="51.94"/>
    <n v="1"/>
    <n v="21.295400000000001"/>
    <x v="2"/>
    <x v="8"/>
  </r>
  <r>
    <s v="CA-2016-116736"/>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s v="CA-2017-111689"/>
    <x v="147"/>
    <d v="2017-12-02T00:00:00"/>
    <x v="0"/>
    <s v="HP-14815"/>
    <s v="Harold Pawlan"/>
    <x v="2"/>
    <s v="United States"/>
    <x v="13"/>
    <x v="7"/>
    <x v="2"/>
    <s v="FUR-CH-10004287"/>
    <x v="0"/>
    <x v="1"/>
    <s v="SAFCO Arco Folding Chair"/>
    <n v="1242.9000000000001"/>
    <n v="5"/>
    <n v="262.39"/>
    <x v="3"/>
    <x v="0"/>
  </r>
  <r>
    <s v="CA-2016-165148"/>
    <x v="148"/>
    <d v="2016-10-24T00:00:00"/>
    <x v="2"/>
    <s v="PM-19135"/>
    <s v="Peter McVee"/>
    <x v="2"/>
    <s v="United States"/>
    <x v="25"/>
    <x v="17"/>
    <x v="3"/>
    <s v="FUR-FU-10000732"/>
    <x v="0"/>
    <x v="3"/>
    <s v="Eldon 200 Class Desk Accessories"/>
    <n v="31.4"/>
    <n v="5"/>
    <n v="10.048"/>
    <x v="3"/>
    <x v="1"/>
  </r>
  <r>
    <s v="CA-2014-134061"/>
    <x v="149"/>
    <d v="2014-05-04T00:00:00"/>
    <x v="1"/>
    <s v="LL-16840"/>
    <s v="Lauren Leatherbury"/>
    <x v="0"/>
    <s v="United States"/>
    <x v="77"/>
    <x v="7"/>
    <x v="2"/>
    <s v="FUR-FU-10001424"/>
    <x v="0"/>
    <x v="3"/>
    <s v="Dax Clear Box Frame"/>
    <n v="17.46"/>
    <n v="2"/>
    <n v="5.9363999999999999"/>
    <x v="2"/>
    <x v="6"/>
  </r>
  <r>
    <s v="CA-2017-143259"/>
    <x v="150"/>
    <d v="2018-01-03T00:00:00"/>
    <x v="1"/>
    <s v="PO-18865"/>
    <s v="Patrick O'Donnell"/>
    <x v="0"/>
    <s v="United States"/>
    <x v="13"/>
    <x v="7"/>
    <x v="2"/>
    <s v="FUR-BO-10003441"/>
    <x v="0"/>
    <x v="0"/>
    <s v="Bush Westfield Collection Bookcases, Fully Assembled"/>
    <n v="323.13600000000002"/>
    <n v="4"/>
    <n v="12.117599999999999"/>
    <x v="4"/>
    <x v="5"/>
  </r>
  <r>
    <s v="CA-2015-133627"/>
    <x v="151"/>
    <d v="2015-06-07T00:00:00"/>
    <x v="1"/>
    <s v="SC-20050"/>
    <s v="Sample Company A"/>
    <x v="2"/>
    <s v="United States"/>
    <x v="78"/>
    <x v="19"/>
    <x v="2"/>
    <s v="FUR-FU-10001935"/>
    <x v="0"/>
    <x v="3"/>
    <s v="3M Hangers With Command Adhesive"/>
    <n v="22.2"/>
    <n v="6"/>
    <n v="9.1020000000000003"/>
    <x v="1"/>
    <x v="7"/>
  </r>
  <r>
    <s v="CA-2017-102519"/>
    <x v="152"/>
    <d v="2017-11-29T00:00:00"/>
    <x v="2"/>
    <s v="BM-11650"/>
    <s v="Brian Moss"/>
    <x v="1"/>
    <s v="United States"/>
    <x v="79"/>
    <x v="16"/>
    <x v="3"/>
    <s v="FUR-FU-10004091"/>
    <x v="0"/>
    <x v="3"/>
    <s v="Howard Miller 13&quot; Diameter Goldtone Round Wall Clock"/>
    <n v="46.94"/>
    <n v="1"/>
    <n v="19.2454"/>
    <x v="3"/>
    <x v="0"/>
  </r>
  <r>
    <s v="US-2014-141215"/>
    <x v="153"/>
    <d v="2014-06-21T00:00:00"/>
    <x v="1"/>
    <s v="KL-16555"/>
    <s v="Kelly Lampkin"/>
    <x v="1"/>
    <s v="United States"/>
    <x v="21"/>
    <x v="5"/>
    <x v="3"/>
    <s v="FUR-TA-10001520"/>
    <x v="0"/>
    <x v="2"/>
    <s v="Lesro Sheffield Collection Coffee Table, End Table, Center Table, Corner Table"/>
    <n v="99.918000000000006"/>
    <n v="2"/>
    <n v="-18.5562"/>
    <x v="6"/>
    <x v="2"/>
  </r>
  <r>
    <s v="US-2014-141215"/>
    <x v="153"/>
    <d v="2014-06-21T00:00:00"/>
    <x v="1"/>
    <s v="KL-16555"/>
    <s v="Kelly Lampkin"/>
    <x v="1"/>
    <s v="United States"/>
    <x v="21"/>
    <x v="5"/>
    <x v="3"/>
    <s v="FUR-CH-10003379"/>
    <x v="0"/>
    <x v="1"/>
    <s v="Global Commerce Series High-Back Swivel/Tilt Chairs"/>
    <n v="797.94399999999996"/>
    <n v="4"/>
    <n v="-56.996000000000002"/>
    <x v="6"/>
    <x v="2"/>
  </r>
  <r>
    <s v="CA-2016-142958"/>
    <x v="154"/>
    <d v="2016-12-20T00:00:00"/>
    <x v="1"/>
    <s v="RW-19630"/>
    <s v="Rob Williams"/>
    <x v="1"/>
    <s v="United States"/>
    <x v="80"/>
    <x v="2"/>
    <x v="1"/>
    <s v="FUR-TA-10000577"/>
    <x v="0"/>
    <x v="2"/>
    <s v="Bretford CR4500 Series Slim Rectangular Table"/>
    <n v="1114.2719999999999"/>
    <n v="4"/>
    <n v="41.785200000000003"/>
    <x v="1"/>
    <x v="5"/>
  </r>
  <r>
    <s v="US-2015-140200"/>
    <x v="155"/>
    <d v="2015-07-28T00:00:00"/>
    <x v="2"/>
    <s v="CA-12775"/>
    <s v="Cynthia Arntzen"/>
    <x v="0"/>
    <s v="United States"/>
    <x v="81"/>
    <x v="22"/>
    <x v="1"/>
    <s v="FUR-TA-10002356"/>
    <x v="0"/>
    <x v="2"/>
    <s v="Bevis Boat-Shaped Conference Table"/>
    <n v="393.16500000000002"/>
    <n v="3"/>
    <n v="-204.44579999999999"/>
    <x v="3"/>
    <x v="3"/>
  </r>
  <r>
    <s v="US-2017-110576"/>
    <x v="156"/>
    <d v="2017-12-02T00:00:00"/>
    <x v="1"/>
    <s v="RB-19795"/>
    <s v="Ross Baird"/>
    <x v="2"/>
    <s v="United States"/>
    <x v="3"/>
    <x v="3"/>
    <x v="2"/>
    <s v="FUR-FU-10003601"/>
    <x v="0"/>
    <x v="3"/>
    <s v="Deflect-o RollaMat Studded, Beveled Mat for Medium Pile Carpeting"/>
    <n v="516.48800000000006"/>
    <n v="7"/>
    <n v="-12.9122"/>
    <x v="4"/>
    <x v="0"/>
  </r>
  <r>
    <s v="US-2017-110576"/>
    <x v="156"/>
    <d v="2017-12-02T00:00:00"/>
    <x v="1"/>
    <s v="RB-19795"/>
    <s v="Ross Baird"/>
    <x v="2"/>
    <s v="United States"/>
    <x v="3"/>
    <x v="3"/>
    <x v="2"/>
    <s v="FUR-FU-10000576"/>
    <x v="0"/>
    <x v="3"/>
    <s v="Luxo Professional Fluorescent Magnifier Lamp with Clamp-Mount Base"/>
    <n v="1007.232"/>
    <n v="6"/>
    <n v="75.542400000000001"/>
    <x v="4"/>
    <x v="0"/>
  </r>
  <r>
    <s v="US-2017-110576"/>
    <x v="156"/>
    <d v="2017-12-02T00:00:00"/>
    <x v="1"/>
    <s v="RB-19795"/>
    <s v="Ross Baird"/>
    <x v="2"/>
    <s v="United States"/>
    <x v="3"/>
    <x v="3"/>
    <x v="2"/>
    <s v="FUR-TA-10004154"/>
    <x v="0"/>
    <x v="2"/>
    <s v="Riverside Furniture Oval Coffee Table, Oval End Table, End Table with Drawer"/>
    <n v="2065.3200000000002"/>
    <n v="12"/>
    <n v="-619.596"/>
    <x v="4"/>
    <x v="0"/>
  </r>
  <r>
    <s v="CA-2017-131156"/>
    <x v="157"/>
    <d v="2017-04-07T00:00:00"/>
    <x v="1"/>
    <s v="KH-16360"/>
    <s v="Katherine Hughes"/>
    <x v="0"/>
    <s v="United States"/>
    <x v="3"/>
    <x v="3"/>
    <x v="2"/>
    <s v="FUR-FU-10001940"/>
    <x v="0"/>
    <x v="3"/>
    <s v="Staple-based wall hangings"/>
    <n v="25.472000000000001"/>
    <n v="4"/>
    <n v="7.6416000000000004"/>
    <x v="4"/>
    <x v="6"/>
  </r>
  <r>
    <s v="CA-2017-136539"/>
    <x v="158"/>
    <d v="2018-01-01T00:00:00"/>
    <x v="1"/>
    <s v="GH-14665"/>
    <s v="Greg Hansen"/>
    <x v="0"/>
    <s v="United States"/>
    <x v="82"/>
    <x v="5"/>
    <x v="3"/>
    <s v="FUR-BO-10004709"/>
    <x v="0"/>
    <x v="0"/>
    <s v="Bush Westfield Collection Bookcases, Medium Cherry Finish"/>
    <n v="78.852800000000002"/>
    <n v="2"/>
    <n v="-11.596"/>
    <x v="4"/>
    <x v="5"/>
  </r>
  <r>
    <s v="CA-2015-112571"/>
    <x v="159"/>
    <d v="2015-09-22T00:00:00"/>
    <x v="3"/>
    <s v="DL-12925"/>
    <s v="Daniel Lacy"/>
    <x v="0"/>
    <s v="United States"/>
    <x v="64"/>
    <x v="2"/>
    <x v="1"/>
    <s v="FUR-FU-10004188"/>
    <x v="0"/>
    <x v="3"/>
    <s v="Luxo Professional Combination Clamp-On Lamps"/>
    <n v="204.6"/>
    <n v="2"/>
    <n v="53.195999999999998"/>
    <x v="7"/>
    <x v="4"/>
  </r>
  <r>
    <s v="CA-2017-152142"/>
    <x v="160"/>
    <d v="2017-11-19T00:00:00"/>
    <x v="1"/>
    <s v="LW-16990"/>
    <s v="Lindsay Williams"/>
    <x v="1"/>
    <s v="United States"/>
    <x v="28"/>
    <x v="2"/>
    <x v="1"/>
    <s v="FUR-CH-10002965"/>
    <x v="0"/>
    <x v="1"/>
    <s v="Global Leather Highback Executive Chair with Pneumatic Height Adjustment, Black"/>
    <n v="321.56799999999998"/>
    <n v="2"/>
    <n v="28.1372"/>
    <x v="2"/>
    <x v="0"/>
  </r>
  <r>
    <s v="CA-2014-115791"/>
    <x v="161"/>
    <d v="2014-01-18T00:00:00"/>
    <x v="0"/>
    <s v="DL-13315"/>
    <s v="Delfina Latchford"/>
    <x v="0"/>
    <s v="United States"/>
    <x v="3"/>
    <x v="3"/>
    <x v="2"/>
    <s v="FUR-FU-10001095"/>
    <x v="0"/>
    <x v="3"/>
    <s v="DAX Black Cherry Wood-Tone Poster Frame"/>
    <n v="127.104"/>
    <n v="6"/>
    <n v="28.598400000000002"/>
    <x v="3"/>
    <x v="8"/>
  </r>
  <r>
    <s v="CA-2016-144939"/>
    <x v="162"/>
    <d v="2016-10-08T00:00:00"/>
    <x v="1"/>
    <s v="EB-13870"/>
    <s v="Emily Burns"/>
    <x v="0"/>
    <s v="United States"/>
    <x v="13"/>
    <x v="7"/>
    <x v="2"/>
    <s v="FUR-CH-10003199"/>
    <x v="0"/>
    <x v="1"/>
    <s v="Office Star - Contemporary Task Swivel Chair"/>
    <n v="599.29200000000003"/>
    <n v="6"/>
    <n v="93.223200000000006"/>
    <x v="2"/>
    <x v="1"/>
  </r>
  <r>
    <s v="CA-2014-163419"/>
    <x v="163"/>
    <d v="2014-11-14T00:00:00"/>
    <x v="0"/>
    <s v="TZ-21580"/>
    <s v="Tracy Zic"/>
    <x v="0"/>
    <s v="United States"/>
    <x v="74"/>
    <x v="12"/>
    <x v="1"/>
    <s v="FUR-CH-10000665"/>
    <x v="0"/>
    <x v="1"/>
    <s v="Global Airflow Leather Mesh Back Chair, Black"/>
    <n v="603.91999999999996"/>
    <n v="5"/>
    <n v="75.489999999999995"/>
    <x v="0"/>
    <x v="0"/>
  </r>
  <r>
    <s v="CA-2017-167899"/>
    <x v="164"/>
    <d v="2017-05-26T00:00:00"/>
    <x v="1"/>
    <s v="JG-15805"/>
    <s v="John Grady"/>
    <x v="1"/>
    <s v="United States"/>
    <x v="83"/>
    <x v="7"/>
    <x v="2"/>
    <s v="FUR-FU-10004071"/>
    <x v="0"/>
    <x v="3"/>
    <s v="Luxo Professional Magnifying Clamp-On Fluorescent Lamps"/>
    <n v="520.04999999999995"/>
    <n v="5"/>
    <n v="72.807000000000002"/>
    <x v="2"/>
    <x v="7"/>
  </r>
  <r>
    <s v="CA-2015-153549"/>
    <x v="165"/>
    <d v="2015-03-31T00:00:00"/>
    <x v="0"/>
    <s v="SL-20155"/>
    <s v="Sara Luxemburg"/>
    <x v="2"/>
    <s v="United States"/>
    <x v="51"/>
    <x v="1"/>
    <x v="0"/>
    <s v="FUR-CH-10004086"/>
    <x v="0"/>
    <x v="1"/>
    <s v="Hon 4070 Series Pagoda Armless Upholstered Stacking Chairs"/>
    <n v="1166.92"/>
    <n v="5"/>
    <n v="131.27850000000001"/>
    <x v="3"/>
    <x v="9"/>
  </r>
  <r>
    <s v="CA-2015-162537"/>
    <x v="166"/>
    <d v="2015-11-03T00:00:00"/>
    <x v="1"/>
    <s v="RD-19585"/>
    <s v="Rob Dowd"/>
    <x v="0"/>
    <s v="United States"/>
    <x v="0"/>
    <x v="0"/>
    <x v="0"/>
    <s v="FUR-FU-10002885"/>
    <x v="0"/>
    <x v="3"/>
    <s v="Magna Visual Magnetic Picture Hangers"/>
    <n v="24.1"/>
    <n v="5"/>
    <n v="9.1579999999999995"/>
    <x v="6"/>
    <x v="1"/>
  </r>
  <r>
    <s v="CA-2015-162537"/>
    <x v="166"/>
    <d v="2015-11-03T00:00:00"/>
    <x v="1"/>
    <s v="RD-19585"/>
    <s v="Rob Dowd"/>
    <x v="0"/>
    <s v="United States"/>
    <x v="0"/>
    <x v="0"/>
    <x v="0"/>
    <s v="FUR-FU-10001918"/>
    <x v="0"/>
    <x v="3"/>
    <s v="C-Line Cubicle Keepers Polyproplyene Holder With Velcro Backings"/>
    <n v="33.11"/>
    <n v="7"/>
    <n v="12.9129"/>
    <x v="6"/>
    <x v="1"/>
  </r>
  <r>
    <s v="CA-2015-124891"/>
    <x v="167"/>
    <d v="2015-07-31T00:00:00"/>
    <x v="3"/>
    <s v="RH-19495"/>
    <s v="Rick Hansen"/>
    <x v="0"/>
    <s v="United States"/>
    <x v="13"/>
    <x v="7"/>
    <x v="2"/>
    <s v="FUR-TA-10002903"/>
    <x v="0"/>
    <x v="2"/>
    <s v="Bevis Round Bullnose 29&quot; High Table Top"/>
    <n v="1090.7819999999999"/>
    <n v="7"/>
    <n v="-290.87520000000001"/>
    <x v="7"/>
    <x v="3"/>
  </r>
  <r>
    <s v="CA-2014-158540"/>
    <x v="168"/>
    <d v="2014-11-26T00:00:00"/>
    <x v="2"/>
    <s v="VG-21790"/>
    <s v="Vivek Gonzalez"/>
    <x v="0"/>
    <s v="United States"/>
    <x v="53"/>
    <x v="2"/>
    <x v="1"/>
    <s v="FUR-FU-10001602"/>
    <x v="0"/>
    <x v="3"/>
    <s v="Eldon Delta Triangular Chair Mat, 52&quot; x 58&quot;, Clear"/>
    <n v="151.72"/>
    <n v="4"/>
    <n v="27.3096"/>
    <x v="3"/>
    <x v="0"/>
  </r>
  <r>
    <s v="CA-2017-118437"/>
    <x v="169"/>
    <d v="2017-06-21T00:00:00"/>
    <x v="0"/>
    <s v="PF-19165"/>
    <s v="Philip Fox"/>
    <x v="0"/>
    <s v="United States"/>
    <x v="84"/>
    <x v="13"/>
    <x v="1"/>
    <s v="FUR-FU-10004848"/>
    <x v="0"/>
    <x v="3"/>
    <s v="Howard Miller 13-3/4&quot; Diameter Brushed Chrome Round Wall Clock"/>
    <n v="155.25"/>
    <n v="3"/>
    <n v="46.575000000000003"/>
    <x v="4"/>
    <x v="2"/>
  </r>
  <r>
    <s v="US-2015-126214"/>
    <x v="170"/>
    <d v="2015-12-24T00:00:00"/>
    <x v="0"/>
    <s v="JS-15880"/>
    <s v="John Stevenson"/>
    <x v="0"/>
    <s v="United States"/>
    <x v="15"/>
    <x v="13"/>
    <x v="1"/>
    <s v="FUR-TA-10003748"/>
    <x v="0"/>
    <x v="2"/>
    <s v="Bevis 36 x 72 Conference Tables"/>
    <n v="1618.37"/>
    <n v="13"/>
    <n v="356.04140000000001"/>
    <x v="0"/>
    <x v="5"/>
  </r>
  <r>
    <s v="CA-2015-108665"/>
    <x v="171"/>
    <d v="2015-07-10T00:00:00"/>
    <x v="1"/>
    <s v="KM-16225"/>
    <s v="Kalyca Meade"/>
    <x v="1"/>
    <s v="United States"/>
    <x v="13"/>
    <x v="7"/>
    <x v="2"/>
    <s v="FUR-FU-10002191"/>
    <x v="0"/>
    <x v="3"/>
    <s v="G.E. Halogen Desk Lamp Bulbs"/>
    <n v="13.96"/>
    <n v="2"/>
    <n v="6.7008000000000001"/>
    <x v="4"/>
    <x v="3"/>
  </r>
  <r>
    <s v="CA-2015-108665"/>
    <x v="171"/>
    <d v="2015-07-10T00:00:00"/>
    <x v="1"/>
    <s v="KM-16225"/>
    <s v="Kalyca Meade"/>
    <x v="1"/>
    <s v="United States"/>
    <x v="13"/>
    <x v="7"/>
    <x v="2"/>
    <s v="FUR-FU-10000965"/>
    <x v="0"/>
    <x v="3"/>
    <s v="Howard Miller 11-1/2&quot; Diameter Ridgewood Wall Clock"/>
    <n v="155.82"/>
    <n v="3"/>
    <n v="63.886200000000002"/>
    <x v="4"/>
    <x v="3"/>
  </r>
  <r>
    <s v="CA-2015-124450"/>
    <x v="172"/>
    <d v="2015-05-03T00:00:00"/>
    <x v="1"/>
    <s v="GT-14710"/>
    <s v="Greg Tran"/>
    <x v="0"/>
    <s v="United States"/>
    <x v="85"/>
    <x v="29"/>
    <x v="2"/>
    <s v="FUR-CH-10000309"/>
    <x v="0"/>
    <x v="1"/>
    <s v="Global Comet Stacking Arm Chair"/>
    <n v="1267.53"/>
    <n v="3"/>
    <n v="316.88249999999999"/>
    <x v="6"/>
    <x v="6"/>
  </r>
  <r>
    <s v="CA-2014-163552"/>
    <x v="173"/>
    <d v="2014-07-15T00:00:00"/>
    <x v="1"/>
    <s v="LA-16780"/>
    <s v="Laura Armstrong"/>
    <x v="1"/>
    <s v="United States"/>
    <x v="33"/>
    <x v="18"/>
    <x v="2"/>
    <s v="FUR-CH-10003379"/>
    <x v="0"/>
    <x v="1"/>
    <s v="Global Commerce Series High-Back Swivel/Tilt Chairs"/>
    <n v="854.94"/>
    <n v="3"/>
    <n v="213.73500000000001"/>
    <x v="4"/>
    <x v="3"/>
  </r>
  <r>
    <s v="CA-2014-163552"/>
    <x v="173"/>
    <d v="2014-07-15T00:00:00"/>
    <x v="1"/>
    <s v="LA-16780"/>
    <s v="Laura Armstrong"/>
    <x v="1"/>
    <s v="United States"/>
    <x v="33"/>
    <x v="18"/>
    <x v="2"/>
    <s v="FUR-FU-10000629"/>
    <x v="0"/>
    <x v="3"/>
    <s v="9-3/4 Diameter Round Wall Clock"/>
    <n v="124.11"/>
    <n v="9"/>
    <n v="52.126199999999997"/>
    <x v="4"/>
    <x v="3"/>
  </r>
  <r>
    <s v="CA-2016-113061"/>
    <x v="74"/>
    <d v="2016-04-26T00:00:00"/>
    <x v="1"/>
    <s v="EL-13735"/>
    <s v="Ed Ludwig"/>
    <x v="2"/>
    <s v="United States"/>
    <x v="86"/>
    <x v="23"/>
    <x v="3"/>
    <s v="FUR-FU-10003975"/>
    <x v="0"/>
    <x v="3"/>
    <s v="Eldon Advantage Chair Mats for Low to Medium Pile Carpets"/>
    <n v="86.62"/>
    <n v="2"/>
    <n v="8.6620000000000008"/>
    <x v="4"/>
    <x v="6"/>
  </r>
  <r>
    <s v="CA-2016-127670"/>
    <x v="174"/>
    <d v="2016-03-24T00:00:00"/>
    <x v="1"/>
    <s v="RD-19660"/>
    <s v="Robert Dilbeck"/>
    <x v="2"/>
    <s v="United States"/>
    <x v="87"/>
    <x v="23"/>
    <x v="3"/>
    <s v="FUR-TA-10001095"/>
    <x v="0"/>
    <x v="2"/>
    <s v="Chromcraft Round Conference Tables"/>
    <n v="697.16"/>
    <n v="4"/>
    <n v="146.40360000000001"/>
    <x v="4"/>
    <x v="9"/>
  </r>
  <r>
    <s v="CA-2016-102981"/>
    <x v="175"/>
    <d v="2016-09-09T00:00:00"/>
    <x v="0"/>
    <s v="MO-17500"/>
    <s v="Mary O'Rourke"/>
    <x v="0"/>
    <s v="United States"/>
    <x v="13"/>
    <x v="7"/>
    <x v="2"/>
    <s v="FUR-BO-10001811"/>
    <x v="0"/>
    <x v="0"/>
    <s v="Atlantic Metals Mobile 5-Shelf Bookcases, Custom Colors"/>
    <n v="722.35199999999998"/>
    <n v="3"/>
    <n v="90.293999999999997"/>
    <x v="0"/>
    <x v="4"/>
  </r>
  <r>
    <s v="CA-2017-152702"/>
    <x v="176"/>
    <d v="2017-10-16T00:00:00"/>
    <x v="1"/>
    <s v="SN-20710"/>
    <s v="Steve Nguyen"/>
    <x v="2"/>
    <s v="United States"/>
    <x v="88"/>
    <x v="8"/>
    <x v="3"/>
    <s v="FUR-CH-10002304"/>
    <x v="0"/>
    <x v="1"/>
    <s v="Global Stack Chair without Arms, Black"/>
    <n v="254.60400000000001"/>
    <n v="14"/>
    <n v="-18.186"/>
    <x v="4"/>
    <x v="1"/>
  </r>
  <r>
    <s v="CA-2016-169103"/>
    <x v="177"/>
    <d v="2016-03-13T00:00:00"/>
    <x v="1"/>
    <s v="ZC-21910"/>
    <s v="Zuschuss Carroll"/>
    <x v="0"/>
    <s v="United States"/>
    <x v="89"/>
    <x v="1"/>
    <x v="0"/>
    <s v="FUR-FU-10004006"/>
    <x v="0"/>
    <x v="3"/>
    <s v="Deflect-o DuraMat Lighweight, Studded, Beveled Mat for Low Pile Carpeting"/>
    <n v="102.36"/>
    <n v="3"/>
    <n v="-3.8384999999999998"/>
    <x v="2"/>
    <x v="9"/>
  </r>
  <r>
    <s v="US-2015-153500"/>
    <x v="97"/>
    <d v="2015-07-05T00:00:00"/>
    <x v="2"/>
    <s v="DG-13300"/>
    <s v="Deirdre Greer"/>
    <x v="1"/>
    <s v="United States"/>
    <x v="3"/>
    <x v="3"/>
    <x v="2"/>
    <s v="FUR-FU-10000293"/>
    <x v="0"/>
    <x v="3"/>
    <s v="Eldon Antistatic Chair Mats for Low to Medium Pile Carpets"/>
    <n v="168.464"/>
    <n v="2"/>
    <n v="-29.481200000000001"/>
    <x v="3"/>
    <x v="3"/>
  </r>
  <r>
    <s v="US-2015-153500"/>
    <x v="97"/>
    <d v="2015-07-05T00:00:00"/>
    <x v="2"/>
    <s v="DG-13300"/>
    <s v="Deirdre Greer"/>
    <x v="1"/>
    <s v="United States"/>
    <x v="3"/>
    <x v="3"/>
    <x v="2"/>
    <s v="FUR-FU-10004460"/>
    <x v="0"/>
    <x v="3"/>
    <s v="Howard Miller 12&quot; Round Wall Clock"/>
    <n v="282.88799999999998"/>
    <n v="9"/>
    <n v="56.577599999999997"/>
    <x v="3"/>
    <x v="3"/>
  </r>
  <r>
    <s v="CA-2015-110667"/>
    <x v="178"/>
    <d v="2015-04-08T00:00:00"/>
    <x v="1"/>
    <s v="NF-18595"/>
    <s v="Nicole Fjeld"/>
    <x v="2"/>
    <s v="United States"/>
    <x v="13"/>
    <x v="7"/>
    <x v="2"/>
    <s v="FUR-FU-10004622"/>
    <x v="0"/>
    <x v="3"/>
    <s v="Eldon Advantage Foldable Chair Mats for Low Pile Carpets"/>
    <n v="108.4"/>
    <n v="2"/>
    <n v="22.763999999999999"/>
    <x v="4"/>
    <x v="6"/>
  </r>
  <r>
    <s v="US-2015-125374"/>
    <x v="179"/>
    <d v="2015-03-29T00:00:00"/>
    <x v="1"/>
    <s v="JD-16060"/>
    <s v="Julia Dunbar"/>
    <x v="0"/>
    <s v="United States"/>
    <x v="6"/>
    <x v="5"/>
    <x v="3"/>
    <s v="FUR-CH-10003396"/>
    <x v="0"/>
    <x v="1"/>
    <s v="Global Deluxe Steno Chair"/>
    <n v="107.77200000000001"/>
    <n v="2"/>
    <n v="-29.252400000000002"/>
    <x v="6"/>
    <x v="9"/>
  </r>
  <r>
    <s v="CA-2016-157686"/>
    <x v="180"/>
    <d v="2016-10-02T00:00:00"/>
    <x v="2"/>
    <s v="BD-11620"/>
    <s v="Brian DeCherney"/>
    <x v="0"/>
    <s v="United States"/>
    <x v="28"/>
    <x v="2"/>
    <x v="1"/>
    <s v="FUR-CH-10001146"/>
    <x v="0"/>
    <x v="1"/>
    <s v="Global Value Mid-Back Manager's Chair, Gray"/>
    <n v="194.84800000000001"/>
    <n v="4"/>
    <n v="12.178000000000001"/>
    <x v="5"/>
    <x v="1"/>
  </r>
  <r>
    <s v="CA-2015-110016"/>
    <x v="101"/>
    <d v="2015-12-04T00:00:00"/>
    <x v="1"/>
    <s v="BT-11395"/>
    <s v="Bill Tyler"/>
    <x v="1"/>
    <s v="United States"/>
    <x v="25"/>
    <x v="17"/>
    <x v="3"/>
    <s v="FUR-CH-10002880"/>
    <x v="0"/>
    <x v="1"/>
    <s v="Global High-Back Leather Tilter, Burgundy"/>
    <n v="1106.9100000000001"/>
    <n v="9"/>
    <n v="121.76009999999999"/>
    <x v="2"/>
    <x v="0"/>
  </r>
  <r>
    <s v="US-2016-143819"/>
    <x v="181"/>
    <d v="2016-03-05T00:00:00"/>
    <x v="1"/>
    <s v="KD-16270"/>
    <s v="Karen Daniels"/>
    <x v="0"/>
    <s v="United States"/>
    <x v="90"/>
    <x v="7"/>
    <x v="2"/>
    <s v="FUR-TA-10001095"/>
    <x v="0"/>
    <x v="2"/>
    <s v="Chromcraft Round Conference Tables"/>
    <n v="836.59199999999998"/>
    <n v="8"/>
    <n v="-264.92079999999999"/>
    <x v="4"/>
    <x v="9"/>
  </r>
  <r>
    <s v="CA-2017-158407"/>
    <x v="182"/>
    <d v="2017-06-10T00:00:00"/>
    <x v="1"/>
    <s v="LW-16990"/>
    <s v="Lindsay Williams"/>
    <x v="1"/>
    <s v="United States"/>
    <x v="91"/>
    <x v="30"/>
    <x v="0"/>
    <s v="FUR-FU-10001967"/>
    <x v="0"/>
    <x v="3"/>
    <s v="Telescoping Adjustable Floor Lamp"/>
    <n v="31.984000000000002"/>
    <n v="2"/>
    <n v="1.9990000000000001"/>
    <x v="6"/>
    <x v="2"/>
  </r>
  <r>
    <s v="CA-2014-159338"/>
    <x v="183"/>
    <d v="2014-06-28T00:00:00"/>
    <x v="2"/>
    <s v="NS-18640"/>
    <s v="Noel Staavos"/>
    <x v="1"/>
    <s v="United States"/>
    <x v="2"/>
    <x v="2"/>
    <x v="1"/>
    <s v="FUR-TA-10004147"/>
    <x v="0"/>
    <x v="2"/>
    <s v="Hon 4060 Series Tables"/>
    <n v="447.84"/>
    <n v="5"/>
    <n v="11.196"/>
    <x v="0"/>
    <x v="2"/>
  </r>
  <r>
    <s v="CA-2016-107216"/>
    <x v="184"/>
    <d v="2016-06-17T00:00:00"/>
    <x v="2"/>
    <s v="PV-18985"/>
    <s v="Paul Van Hugh"/>
    <x v="2"/>
    <s v="United States"/>
    <x v="28"/>
    <x v="2"/>
    <x v="1"/>
    <s v="FUR-FU-10000206"/>
    <x v="0"/>
    <x v="3"/>
    <s v="GE General Purpose, Extra Long Life, Showcase &amp; Floodlight Incandescent Bulbs"/>
    <n v="8.73"/>
    <n v="3"/>
    <n v="4.1031000000000004"/>
    <x v="0"/>
    <x v="2"/>
  </r>
  <r>
    <s v="US-2016-110156"/>
    <x v="185"/>
    <d v="2016-11-24T00:00:00"/>
    <x v="1"/>
    <s v="EH-13945"/>
    <s v="Eric Hoffmann"/>
    <x v="0"/>
    <s v="United States"/>
    <x v="6"/>
    <x v="5"/>
    <x v="3"/>
    <s v="FUR-FU-10000206"/>
    <x v="0"/>
    <x v="3"/>
    <s v="GE General Purpose, Extra Long Life, Showcase &amp; Floodlight Incandescent Bulbs"/>
    <n v="2.3279999999999998"/>
    <n v="2"/>
    <n v="-0.75660000000000005"/>
    <x v="2"/>
    <x v="0"/>
  </r>
  <r>
    <s v="CA-2017-140585"/>
    <x v="186"/>
    <d v="2017-12-23T00:00:00"/>
    <x v="0"/>
    <s v="RA-19915"/>
    <s v="Russell Applegate"/>
    <x v="0"/>
    <s v="United States"/>
    <x v="92"/>
    <x v="2"/>
    <x v="1"/>
    <s v="FUR-BO-10002206"/>
    <x v="0"/>
    <x v="0"/>
    <s v="Bush Saratoga Collection 5-Shelf Bookcase, Hanover Cherry, *Special Order"/>
    <n v="119.833"/>
    <n v="1"/>
    <n v="-12.6882"/>
    <x v="2"/>
    <x v="5"/>
  </r>
  <r>
    <s v="US-2014-147627"/>
    <x v="187"/>
    <d v="2014-01-26T00:00:00"/>
    <x v="1"/>
    <s v="HL-15040"/>
    <s v="Hunter Lopez"/>
    <x v="0"/>
    <s v="United States"/>
    <x v="93"/>
    <x v="31"/>
    <x v="0"/>
    <s v="FUR-FU-10003194"/>
    <x v="0"/>
    <x v="3"/>
    <s v="Eldon Expressions Desk Accessory, Wood Pencil Holder, Oak"/>
    <n v="38.6"/>
    <n v="4"/>
    <n v="11.58"/>
    <x v="6"/>
    <x v="8"/>
  </r>
  <r>
    <s v="US-2014-147627"/>
    <x v="187"/>
    <d v="2014-01-26T00:00:00"/>
    <x v="1"/>
    <s v="HL-15040"/>
    <s v="Hunter Lopez"/>
    <x v="0"/>
    <s v="United States"/>
    <x v="93"/>
    <x v="31"/>
    <x v="0"/>
    <s v="FUR-CH-10002331"/>
    <x v="0"/>
    <x v="1"/>
    <s v="Hon 4700 Series Mobuis Mid-Back Task Chairs with Adjustable Arms"/>
    <n v="1067.94"/>
    <n v="3"/>
    <n v="224.26740000000001"/>
    <x v="6"/>
    <x v="8"/>
  </r>
  <r>
    <s v="CA-2016-112102"/>
    <x v="188"/>
    <d v="2016-04-16T00:00:00"/>
    <x v="1"/>
    <s v="BD-11605"/>
    <s v="Brian Dahlen"/>
    <x v="0"/>
    <s v="United States"/>
    <x v="76"/>
    <x v="25"/>
    <x v="0"/>
    <s v="FUR-TA-10004086"/>
    <x v="0"/>
    <x v="2"/>
    <s v="KI Adjustable-Height Table"/>
    <n v="343.92"/>
    <n v="4"/>
    <n v="75.662400000000005"/>
    <x v="4"/>
    <x v="6"/>
  </r>
  <r>
    <s v="CA-2014-146969"/>
    <x v="189"/>
    <d v="2014-10-03T00:00:00"/>
    <x v="1"/>
    <s v="AP-10915"/>
    <s v="Arthur Prichep"/>
    <x v="0"/>
    <s v="United States"/>
    <x v="2"/>
    <x v="2"/>
    <x v="1"/>
    <s v="FUR-FU-10004188"/>
    <x v="0"/>
    <x v="3"/>
    <s v="Luxo Professional Combination Clamp-On Lamps"/>
    <n v="204.6"/>
    <n v="2"/>
    <n v="53.195999999999998"/>
    <x v="4"/>
    <x v="4"/>
  </r>
  <r>
    <s v="CA-2015-113971"/>
    <x v="190"/>
    <d v="2015-05-14T00:00:00"/>
    <x v="1"/>
    <s v="CB-12535"/>
    <s v="Claudia Bergmann"/>
    <x v="1"/>
    <s v="United States"/>
    <x v="94"/>
    <x v="15"/>
    <x v="2"/>
    <s v="FUR-FU-10001852"/>
    <x v="0"/>
    <x v="3"/>
    <s v="Eldon Regeneration Recycled Desk Accessories, Smoke"/>
    <n v="8.3520000000000003"/>
    <n v="6"/>
    <n v="1.2527999999999999"/>
    <x v="6"/>
    <x v="7"/>
  </r>
  <r>
    <s v="CA-2014-136567"/>
    <x v="191"/>
    <d v="2014-12-21T00:00:00"/>
    <x v="2"/>
    <s v="PS-19045"/>
    <s v="Penelope Sewall"/>
    <x v="2"/>
    <s v="United States"/>
    <x v="95"/>
    <x v="25"/>
    <x v="0"/>
    <s v="FUR-TA-10001932"/>
    <x v="0"/>
    <x v="2"/>
    <s v="Chromcraft 48&quot; x 96&quot; Racetrack Double Pedestal Table"/>
    <n v="2244.48"/>
    <n v="7"/>
    <n v="493.78559999999999"/>
    <x v="5"/>
    <x v="5"/>
  </r>
  <r>
    <s v="CA-2014-136567"/>
    <x v="191"/>
    <d v="2014-12-21T00:00:00"/>
    <x v="2"/>
    <s v="PS-19045"/>
    <s v="Penelope Sewall"/>
    <x v="2"/>
    <s v="United States"/>
    <x v="95"/>
    <x v="25"/>
    <x v="0"/>
    <s v="FUR-TA-10000617"/>
    <x v="0"/>
    <x v="2"/>
    <s v="Hon Practical Foundations 30 x 60 Training Table, Light Gray/Charcoal"/>
    <n v="455.1"/>
    <n v="2"/>
    <n v="100.122"/>
    <x v="5"/>
    <x v="5"/>
  </r>
  <r>
    <s v="CA-2016-149314"/>
    <x v="192"/>
    <d v="2016-07-07T00:00:00"/>
    <x v="0"/>
    <s v="GB-14530"/>
    <s v="George Bell"/>
    <x v="1"/>
    <s v="United States"/>
    <x v="2"/>
    <x v="2"/>
    <x v="1"/>
    <s v="FUR-CH-10002126"/>
    <x v="0"/>
    <x v="1"/>
    <s v="Hon Deluxe Fabric Upholstered Stacking Chairs"/>
    <n v="195.184"/>
    <n v="1"/>
    <n v="19.5184"/>
    <x v="2"/>
    <x v="3"/>
  </r>
  <r>
    <s v="CA-2017-145226"/>
    <x v="64"/>
    <d v="2017-12-10T00:00:00"/>
    <x v="0"/>
    <s v="DL-13315"/>
    <s v="Delfina Latchford"/>
    <x v="0"/>
    <s v="United States"/>
    <x v="13"/>
    <x v="7"/>
    <x v="2"/>
    <s v="FUR-FU-10004952"/>
    <x v="0"/>
    <x v="3"/>
    <s v="C-Line Cubicle Keepers Polyproplyene Holder w/Velcro Back, 8-1/2x11, 25/Bx"/>
    <n v="109.48"/>
    <n v="2"/>
    <n v="33.938800000000001"/>
    <x v="3"/>
    <x v="5"/>
  </r>
  <r>
    <s v="CA-2016-113621"/>
    <x v="193"/>
    <d v="2016-12-05T00:00:00"/>
    <x v="1"/>
    <s v="JE-15745"/>
    <s v="Joel Eaton"/>
    <x v="0"/>
    <s v="United States"/>
    <x v="96"/>
    <x v="32"/>
    <x v="2"/>
    <s v="FUR-CH-10001270"/>
    <x v="0"/>
    <x v="1"/>
    <s v="Harbour Creations Steel Folding Chair"/>
    <n v="172.5"/>
    <n v="2"/>
    <n v="51.75"/>
    <x v="4"/>
    <x v="5"/>
  </r>
  <r>
    <s v="CA-2017-117212"/>
    <x v="194"/>
    <d v="2017-02-28T00:00:00"/>
    <x v="0"/>
    <s v="BT-11530"/>
    <s v="Bradley Talbott"/>
    <x v="2"/>
    <s v="United States"/>
    <x v="2"/>
    <x v="2"/>
    <x v="1"/>
    <s v="FUR-CH-10003973"/>
    <x v="0"/>
    <x v="1"/>
    <s v="GuestStacker Chair with Chrome Finish Legs"/>
    <n v="892.22400000000005"/>
    <n v="3"/>
    <n v="89.222399999999993"/>
    <x v="3"/>
    <x v="11"/>
  </r>
  <r>
    <s v="US-2015-130519"/>
    <x v="195"/>
    <d v="2015-09-15T00:00:00"/>
    <x v="3"/>
    <s v="NG-18355"/>
    <s v="Nat Gilpin"/>
    <x v="1"/>
    <s v="United States"/>
    <x v="97"/>
    <x v="1"/>
    <x v="0"/>
    <s v="FUR-FU-10002268"/>
    <x v="0"/>
    <x v="3"/>
    <s v="Ultra Door Push Plate"/>
    <n v="15.712"/>
    <n v="4"/>
    <n v="2.5531999999999999"/>
    <x v="7"/>
    <x v="4"/>
  </r>
  <r>
    <s v="US-2015-130519"/>
    <x v="195"/>
    <d v="2015-09-15T00:00:00"/>
    <x v="3"/>
    <s v="NG-18355"/>
    <s v="Nat Gilpin"/>
    <x v="1"/>
    <s v="United States"/>
    <x v="97"/>
    <x v="1"/>
    <x v="0"/>
    <s v="FUR-FU-10003394"/>
    <x v="0"/>
    <x v="3"/>
    <s v="Tenex &quot;The Solids&quot; Textured Chair Mats"/>
    <n v="55.968000000000004"/>
    <n v="1"/>
    <n v="-2.0988000000000002"/>
    <x v="7"/>
    <x v="4"/>
  </r>
  <r>
    <s v="CA-2016-130946"/>
    <x v="57"/>
    <d v="2016-04-12T00:00:00"/>
    <x v="1"/>
    <s v="ZC-21910"/>
    <s v="Zuschuss Carroll"/>
    <x v="0"/>
    <s v="United States"/>
    <x v="6"/>
    <x v="5"/>
    <x v="3"/>
    <s v="FUR-CH-10004540"/>
    <x v="0"/>
    <x v="1"/>
    <s v="Global Chrome Stack Chair"/>
    <n v="95.983999999999995"/>
    <n v="4"/>
    <n v="-4.1135999999999999"/>
    <x v="4"/>
    <x v="6"/>
  </r>
  <r>
    <s v="CA-2016-114727"/>
    <x v="196"/>
    <d v="2016-07-24T00:00:00"/>
    <x v="1"/>
    <s v="LS-16945"/>
    <s v="Linda Southworth"/>
    <x v="1"/>
    <s v="United States"/>
    <x v="22"/>
    <x v="12"/>
    <x v="1"/>
    <s v="FUR-CH-10002335"/>
    <x v="0"/>
    <x v="1"/>
    <s v="Hon GuestStacker Chair"/>
    <n v="544.00800000000004"/>
    <n v="3"/>
    <n v="40.800600000000003"/>
    <x v="6"/>
    <x v="3"/>
  </r>
  <r>
    <s v="CA-2016-114727"/>
    <x v="196"/>
    <d v="2016-07-24T00:00:00"/>
    <x v="1"/>
    <s v="LS-16945"/>
    <s v="Linda Southworth"/>
    <x v="1"/>
    <s v="United States"/>
    <x v="22"/>
    <x v="12"/>
    <x v="1"/>
    <s v="FUR-CH-10002331"/>
    <x v="0"/>
    <x v="1"/>
    <s v="Hon 4700 Series Mobuis Mid-Back Task Chairs with Adjustable Arms"/>
    <n v="854.35199999999998"/>
    <n v="3"/>
    <n v="10.679399999999999"/>
    <x v="6"/>
    <x v="3"/>
  </r>
  <r>
    <s v="CA-2016-137050"/>
    <x v="197"/>
    <d v="2016-07-18T00:00:00"/>
    <x v="0"/>
    <s v="SW-20755"/>
    <s v="Steven Ward"/>
    <x v="1"/>
    <s v="United States"/>
    <x v="13"/>
    <x v="7"/>
    <x v="2"/>
    <s v="FUR-BO-10004695"/>
    <x v="0"/>
    <x v="0"/>
    <s v="O'Sullivan 2-Door Barrister Bookcase in Odessa Pine"/>
    <n v="579.13599999999997"/>
    <n v="4"/>
    <n v="21.717600000000001"/>
    <x v="4"/>
    <x v="3"/>
  </r>
  <r>
    <s v="US-2017-118087"/>
    <x v="198"/>
    <d v="2017-09-13T00:00:00"/>
    <x v="1"/>
    <s v="SP-20620"/>
    <s v="Stefania Perrino"/>
    <x v="1"/>
    <s v="United States"/>
    <x v="3"/>
    <x v="3"/>
    <x v="2"/>
    <s v="FUR-CH-10004860"/>
    <x v="0"/>
    <x v="1"/>
    <s v="Global Low Back Tilter Chair"/>
    <n v="141.37200000000001"/>
    <n v="2"/>
    <n v="-48.470399999999998"/>
    <x v="4"/>
    <x v="4"/>
  </r>
  <r>
    <s v="US-2017-118087"/>
    <x v="198"/>
    <d v="2017-09-13T00:00:00"/>
    <x v="1"/>
    <s v="SP-20620"/>
    <s v="Stefania Perrino"/>
    <x v="1"/>
    <s v="United States"/>
    <x v="3"/>
    <x v="3"/>
    <x v="2"/>
    <s v="FUR-FU-10001867"/>
    <x v="0"/>
    <x v="3"/>
    <s v="Eldon Expressions Punched Metal &amp; Wood Desk Accessories, Pewter &amp; Cherry"/>
    <n v="17.024000000000001"/>
    <n v="2"/>
    <n v="1.7023999999999999"/>
    <x v="4"/>
    <x v="4"/>
  </r>
  <r>
    <s v="CA-2016-126004"/>
    <x v="199"/>
    <d v="2016-12-05T00:00:00"/>
    <x v="2"/>
    <s v="BM-11140"/>
    <s v="Becky Martin"/>
    <x v="0"/>
    <s v="United States"/>
    <x v="13"/>
    <x v="7"/>
    <x v="2"/>
    <s v="FUR-FU-10001602"/>
    <x v="0"/>
    <x v="3"/>
    <s v="Eldon Delta Triangular Chair Mat, 52&quot; x 58&quot;, Clear"/>
    <n v="113.79"/>
    <n v="3"/>
    <n v="20.482199999999999"/>
    <x v="5"/>
    <x v="5"/>
  </r>
  <r>
    <s v="CA-2017-100013"/>
    <x v="200"/>
    <d v="2017-11-11T00:00:00"/>
    <x v="1"/>
    <s v="ZC-21910"/>
    <s v="Zuschuss Carroll"/>
    <x v="0"/>
    <s v="United States"/>
    <x v="2"/>
    <x v="2"/>
    <x v="1"/>
    <s v="FUR-FU-10001424"/>
    <x v="0"/>
    <x v="3"/>
    <s v="Dax Clear Box Frame"/>
    <n v="8.73"/>
    <n v="1"/>
    <n v="2.9681999999999999"/>
    <x v="2"/>
    <x v="0"/>
  </r>
  <r>
    <s v="CA-2016-144344"/>
    <x v="48"/>
    <d v="2016-10-28T00:00:00"/>
    <x v="3"/>
    <s v="PG-18820"/>
    <s v="Patrick Gardner"/>
    <x v="0"/>
    <s v="United States"/>
    <x v="98"/>
    <x v="1"/>
    <x v="0"/>
    <s v="FUR-FU-10000076"/>
    <x v="0"/>
    <x v="3"/>
    <s v="24-Hour Round Wall Clock"/>
    <n v="47.951999999999998"/>
    <n v="3"/>
    <n v="13.786199999999999"/>
    <x v="7"/>
    <x v="1"/>
  </r>
  <r>
    <s v="CA-2016-144344"/>
    <x v="48"/>
    <d v="2016-10-28T00:00:00"/>
    <x v="3"/>
    <s v="PG-18820"/>
    <s v="Patrick Gardner"/>
    <x v="0"/>
    <s v="United States"/>
    <x v="98"/>
    <x v="1"/>
    <x v="0"/>
    <s v="FUR-FU-10003268"/>
    <x v="0"/>
    <x v="3"/>
    <s v="Eldon Radial Chair Mat for Low to Medium Pile Carpets"/>
    <n v="63.968000000000004"/>
    <n v="2"/>
    <n v="0"/>
    <x v="7"/>
    <x v="1"/>
  </r>
  <r>
    <s v="CA-2016-144344"/>
    <x v="48"/>
    <d v="2016-10-28T00:00:00"/>
    <x v="3"/>
    <s v="PG-18820"/>
    <s v="Patrick Gardner"/>
    <x v="0"/>
    <s v="United States"/>
    <x v="98"/>
    <x v="1"/>
    <x v="0"/>
    <s v="FUR-FU-10003553"/>
    <x v="0"/>
    <x v="3"/>
    <s v="Howard Miller 13-1/2&quot; Diameter Rosebrook Wall Clock"/>
    <n v="165.048"/>
    <n v="3"/>
    <n v="41.262"/>
    <x v="7"/>
    <x v="1"/>
  </r>
  <r>
    <s v="CA-2014-127012"/>
    <x v="201"/>
    <d v="2014-08-15T00:00:00"/>
    <x v="1"/>
    <s v="GM-14680"/>
    <s v="Greg Matthias"/>
    <x v="0"/>
    <s v="United States"/>
    <x v="15"/>
    <x v="13"/>
    <x v="1"/>
    <s v="FUR-FU-10003691"/>
    <x v="0"/>
    <x v="3"/>
    <s v="Eldon Image Series Desk Accessories, Ebony"/>
    <n v="12.35"/>
    <n v="1"/>
    <n v="5.4340000000000002"/>
    <x v="4"/>
    <x v="10"/>
  </r>
  <r>
    <s v="CA-2014-168494"/>
    <x v="202"/>
    <d v="2014-12-14T00:00:00"/>
    <x v="0"/>
    <s v="NP-18700"/>
    <s v="Nora Preis"/>
    <x v="0"/>
    <s v="United States"/>
    <x v="99"/>
    <x v="2"/>
    <x v="1"/>
    <s v="FUR-TA-10004619"/>
    <x v="0"/>
    <x v="2"/>
    <s v="Hon Non-Folding Utility Tables"/>
    <n v="764.68799999999999"/>
    <n v="6"/>
    <n v="95.585999999999999"/>
    <x v="3"/>
    <x v="5"/>
  </r>
  <r>
    <s v="CA-2014-168494"/>
    <x v="202"/>
    <d v="2014-12-14T00:00:00"/>
    <x v="0"/>
    <s v="NP-18700"/>
    <s v="Nora Preis"/>
    <x v="0"/>
    <s v="United States"/>
    <x v="99"/>
    <x v="2"/>
    <x v="1"/>
    <s v="FUR-TA-10003473"/>
    <x v="0"/>
    <x v="2"/>
    <s v="Bretford Rectangular Conference Table Tops"/>
    <n v="3610.848"/>
    <n v="12"/>
    <n v="135.4068"/>
    <x v="3"/>
    <x v="5"/>
  </r>
  <r>
    <s v="CA-2014-168494"/>
    <x v="202"/>
    <d v="2014-12-14T00:00:00"/>
    <x v="0"/>
    <s v="NP-18700"/>
    <s v="Nora Preis"/>
    <x v="0"/>
    <s v="United States"/>
    <x v="99"/>
    <x v="2"/>
    <x v="1"/>
    <s v="FUR-BO-10004467"/>
    <x v="0"/>
    <x v="0"/>
    <s v="Bestar Classic Bookcase"/>
    <n v="254.97450000000001"/>
    <n v="3"/>
    <n v="11.998799999999999"/>
    <x v="3"/>
    <x v="5"/>
  </r>
  <r>
    <s v="CA-2017-115602"/>
    <x v="186"/>
    <d v="2017-12-24T00:00:00"/>
    <x v="1"/>
    <s v="DJ-13630"/>
    <s v="Doug Jacobs"/>
    <x v="0"/>
    <s v="United States"/>
    <x v="13"/>
    <x v="7"/>
    <x v="2"/>
    <s v="FUR-CH-10001708"/>
    <x v="0"/>
    <x v="1"/>
    <s v="Office Star - Contemporary Swivel Chair with Padded Adjustable Arms and Flex Back"/>
    <n v="1141.9380000000001"/>
    <n v="9"/>
    <n v="139.5702"/>
    <x v="6"/>
    <x v="5"/>
  </r>
  <r>
    <s v="CA-2017-144638"/>
    <x v="203"/>
    <d v="2017-03-14T00:00:00"/>
    <x v="1"/>
    <s v="MH-18115"/>
    <s v="Mick Hernandez"/>
    <x v="2"/>
    <s v="United States"/>
    <x v="100"/>
    <x v="3"/>
    <x v="2"/>
    <s v="FUR-FU-10003724"/>
    <x v="0"/>
    <x v="3"/>
    <s v="Westinghouse Clip-On Gooseneck Lamps"/>
    <n v="6.6959999999999997"/>
    <n v="1"/>
    <n v="0.50219999999999998"/>
    <x v="4"/>
    <x v="9"/>
  </r>
  <r>
    <s v="CA-2017-144638"/>
    <x v="203"/>
    <d v="2017-03-14T00:00:00"/>
    <x v="1"/>
    <s v="MH-18115"/>
    <s v="Mick Hernandez"/>
    <x v="2"/>
    <s v="United States"/>
    <x v="100"/>
    <x v="3"/>
    <x v="2"/>
    <s v="FUR-FU-10003535"/>
    <x v="0"/>
    <x v="3"/>
    <s v="Howard Miller Distant Time Traveler Alarm Clock"/>
    <n v="43.872"/>
    <n v="2"/>
    <n v="11.516400000000001"/>
    <x v="4"/>
    <x v="9"/>
  </r>
  <r>
    <s v="CA-2016-155992"/>
    <x v="180"/>
    <d v="2016-10-02T00:00:00"/>
    <x v="2"/>
    <s v="CC-12220"/>
    <s v="Chris Cortes"/>
    <x v="0"/>
    <s v="United States"/>
    <x v="101"/>
    <x v="6"/>
    <x v="3"/>
    <s v="FUR-FU-10003724"/>
    <x v="0"/>
    <x v="3"/>
    <s v="Westinghouse Clip-On Gooseneck Lamps"/>
    <n v="41.85"/>
    <n v="5"/>
    <n v="10.881"/>
    <x v="5"/>
    <x v="1"/>
  </r>
  <r>
    <s v="US-2014-167738"/>
    <x v="109"/>
    <d v="2014-12-29T00:00:00"/>
    <x v="1"/>
    <s v="JC-16105"/>
    <s v="Julie Creighton"/>
    <x v="1"/>
    <s v="United States"/>
    <x v="2"/>
    <x v="2"/>
    <x v="1"/>
    <s v="FUR-CH-10001146"/>
    <x v="0"/>
    <x v="1"/>
    <s v="Global Value Mid-Back Manager's Chair, Gray"/>
    <n v="292.27199999999999"/>
    <n v="6"/>
    <n v="18.266999999999999"/>
    <x v="2"/>
    <x v="5"/>
  </r>
  <r>
    <s v="CA-2017-121412"/>
    <x v="204"/>
    <d v="2017-09-27T00:00:00"/>
    <x v="1"/>
    <s v="BG-11695"/>
    <s v="Brooke Gillingham"/>
    <x v="1"/>
    <s v="United States"/>
    <x v="74"/>
    <x v="12"/>
    <x v="1"/>
    <s v="FUR-FU-10000246"/>
    <x v="0"/>
    <x v="3"/>
    <s v="Aluminum Document Frame"/>
    <n v="29.327999999999999"/>
    <n v="3"/>
    <n v="3.6659999999999999"/>
    <x v="4"/>
    <x v="4"/>
  </r>
  <r>
    <s v="CA-2016-119186"/>
    <x v="205"/>
    <d v="2016-05-26T00:00:00"/>
    <x v="3"/>
    <s v="MS-17710"/>
    <s v="Maurice Satty"/>
    <x v="0"/>
    <s v="United States"/>
    <x v="50"/>
    <x v="5"/>
    <x v="3"/>
    <s v="FUR-CH-10001973"/>
    <x v="0"/>
    <x v="1"/>
    <s v="Office Star Flex Back Scooter Chair with White Frame"/>
    <n v="388.43"/>
    <n v="5"/>
    <n v="-88.784000000000006"/>
    <x v="7"/>
    <x v="7"/>
  </r>
  <r>
    <s v="CA-2016-154711"/>
    <x v="206"/>
    <d v="2016-11-26T00:00:00"/>
    <x v="1"/>
    <s v="TB-21355"/>
    <s v="Todd Boyes"/>
    <x v="1"/>
    <s v="United States"/>
    <x v="13"/>
    <x v="7"/>
    <x v="2"/>
    <s v="FUR-FU-10000397"/>
    <x v="0"/>
    <x v="3"/>
    <s v="Luxo Economy Swing Arm Lamp"/>
    <n v="39.880000000000003"/>
    <n v="2"/>
    <n v="11.166399999999999"/>
    <x v="4"/>
    <x v="0"/>
  </r>
  <r>
    <s v="CA-2016-137043"/>
    <x v="207"/>
    <d v="2016-12-25T00:00:00"/>
    <x v="0"/>
    <s v="LC-17140"/>
    <s v="Logan Currie"/>
    <x v="0"/>
    <s v="United States"/>
    <x v="76"/>
    <x v="25"/>
    <x v="0"/>
    <s v="FUR-FU-10003664"/>
    <x v="0"/>
    <x v="3"/>
    <s v="Electrix Architect's Clamp-On Swing Arm Lamp, Black"/>
    <n v="572.76"/>
    <n v="6"/>
    <n v="166.10040000000001"/>
    <x v="3"/>
    <x v="5"/>
  </r>
  <r>
    <s v="CA-2016-137043"/>
    <x v="207"/>
    <d v="2016-12-25T00:00:00"/>
    <x v="0"/>
    <s v="LC-17140"/>
    <s v="Logan Currie"/>
    <x v="0"/>
    <s v="United States"/>
    <x v="76"/>
    <x v="25"/>
    <x v="0"/>
    <s v="FUR-FU-10003664"/>
    <x v="0"/>
    <x v="3"/>
    <s v="Electrix Architect's Clamp-On Swing Arm Lamp, Black"/>
    <n v="286.38"/>
    <n v="3"/>
    <n v="83.050200000000004"/>
    <x v="3"/>
    <x v="5"/>
  </r>
  <r>
    <s v="CA-2015-115847"/>
    <x v="208"/>
    <d v="2015-09-24T00:00:00"/>
    <x v="0"/>
    <s v="TC-21535"/>
    <s v="Tracy Collins"/>
    <x v="2"/>
    <s v="United States"/>
    <x v="58"/>
    <x v="25"/>
    <x v="0"/>
    <s v="FUR-BO-10003433"/>
    <x v="0"/>
    <x v="0"/>
    <s v="Sauder Cornerstone Collection Library"/>
    <n v="61.96"/>
    <n v="2"/>
    <n v="4.3372000000000002"/>
    <x v="2"/>
    <x v="4"/>
  </r>
  <r>
    <s v="US-2017-126179"/>
    <x v="209"/>
    <d v="2017-07-07T00:00:00"/>
    <x v="1"/>
    <s v="CS-12460"/>
    <s v="Chuck Sachs"/>
    <x v="0"/>
    <s v="United States"/>
    <x v="29"/>
    <x v="24"/>
    <x v="0"/>
    <s v="FUR-FU-10002554"/>
    <x v="0"/>
    <x v="3"/>
    <s v="Westinghouse Floor Lamp with Metal Mesh Shade, Black"/>
    <n v="23.99"/>
    <n v="1"/>
    <n v="5.5176999999999996"/>
    <x v="4"/>
    <x v="3"/>
  </r>
  <r>
    <s v="CA-2016-141397"/>
    <x v="210"/>
    <d v="2016-06-21T00:00:00"/>
    <x v="2"/>
    <s v="RC-19825"/>
    <s v="Roy Collins"/>
    <x v="0"/>
    <s v="United States"/>
    <x v="102"/>
    <x v="2"/>
    <x v="1"/>
    <s v="FUR-CH-10003846"/>
    <x v="0"/>
    <x v="1"/>
    <s v="Hon Valutask Swivel Chairs"/>
    <n v="161.56800000000001"/>
    <n v="2"/>
    <n v="-8.0784000000000002"/>
    <x v="5"/>
    <x v="2"/>
  </r>
  <r>
    <s v="US-2016-134488"/>
    <x v="211"/>
    <d v="2016-10-01T00:00:00"/>
    <x v="1"/>
    <s v="PK-19075"/>
    <s v="Pete Kriz"/>
    <x v="0"/>
    <s v="United States"/>
    <x v="29"/>
    <x v="15"/>
    <x v="2"/>
    <s v="FUR-CH-10003199"/>
    <x v="0"/>
    <x v="1"/>
    <s v="Office Star - Contemporary Task Swivel Chair"/>
    <n v="155.37200000000001"/>
    <n v="2"/>
    <n v="-13.317600000000001"/>
    <x v="1"/>
    <x v="4"/>
  </r>
  <r>
    <s v="CA-2016-145919"/>
    <x v="105"/>
    <d v="2016-12-23T00:00:00"/>
    <x v="1"/>
    <s v="HG-14965"/>
    <s v="Henry Goldwyn"/>
    <x v="1"/>
    <s v="United States"/>
    <x v="2"/>
    <x v="2"/>
    <x v="1"/>
    <s v="FUR-FU-10004960"/>
    <x v="0"/>
    <x v="3"/>
    <s v="Seth Thomas 12&quot; Clock w/ Goldtone Case"/>
    <n v="183.84"/>
    <n v="8"/>
    <n v="62.505600000000001"/>
    <x v="2"/>
    <x v="5"/>
  </r>
  <r>
    <s v="CA-2015-120439"/>
    <x v="212"/>
    <d v="2015-06-18T00:00:00"/>
    <x v="1"/>
    <s v="AD-10180"/>
    <s v="Alan Dominguez"/>
    <x v="2"/>
    <s v="United States"/>
    <x v="3"/>
    <x v="3"/>
    <x v="2"/>
    <s v="FUR-FU-10001867"/>
    <x v="0"/>
    <x v="3"/>
    <s v="Eldon Expressions Punched Metal &amp; Wood Desk Accessories, Pewter &amp; Cherry"/>
    <n v="51.072000000000003"/>
    <n v="6"/>
    <n v="5.1071999999999997"/>
    <x v="4"/>
    <x v="2"/>
  </r>
  <r>
    <s v="CA-2016-142762"/>
    <x v="213"/>
    <d v="2016-05-27T00:00:00"/>
    <x v="1"/>
    <s v="LD-17005"/>
    <s v="Lisa DeCherney"/>
    <x v="0"/>
    <s v="United States"/>
    <x v="28"/>
    <x v="2"/>
    <x v="1"/>
    <s v="FUR-FU-10003691"/>
    <x v="0"/>
    <x v="3"/>
    <s v="Eldon Image Series Desk Accessories, Ebony"/>
    <n v="37.049999999999997"/>
    <n v="3"/>
    <n v="16.302"/>
    <x v="4"/>
    <x v="7"/>
  </r>
  <r>
    <s v="US-2017-123281"/>
    <x v="214"/>
    <d v="2017-04-07T00:00:00"/>
    <x v="1"/>
    <s v="JF-15190"/>
    <s v="Jamie Frazer"/>
    <x v="0"/>
    <s v="United States"/>
    <x v="2"/>
    <x v="2"/>
    <x v="1"/>
    <s v="FUR-FU-10003724"/>
    <x v="0"/>
    <x v="3"/>
    <s v="Westinghouse Clip-On Gooseneck Lamps"/>
    <n v="25.11"/>
    <n v="3"/>
    <n v="6.5286"/>
    <x v="2"/>
    <x v="6"/>
  </r>
  <r>
    <s v="CA-2017-100524"/>
    <x v="76"/>
    <d v="2017-04-02T00:00:00"/>
    <x v="0"/>
    <s v="CM-12115"/>
    <s v="Chad McGuire"/>
    <x v="0"/>
    <s v="United States"/>
    <x v="13"/>
    <x v="7"/>
    <x v="2"/>
    <s v="FUR-FU-10004018"/>
    <x v="0"/>
    <x v="3"/>
    <s v="Tensor Computer Mounted Lamp"/>
    <n v="29.78"/>
    <n v="2"/>
    <n v="8.0405999999999995"/>
    <x v="3"/>
    <x v="9"/>
  </r>
  <r>
    <s v="CA-2014-153976"/>
    <x v="215"/>
    <d v="2014-10-08T00:00:00"/>
    <x v="0"/>
    <s v="BP-11290"/>
    <s v="Beth Paige"/>
    <x v="0"/>
    <s v="United States"/>
    <x v="103"/>
    <x v="8"/>
    <x v="3"/>
    <s v="FUR-CH-10002880"/>
    <x v="0"/>
    <x v="1"/>
    <s v="Global High-Back Leather Tilter, Burgundy"/>
    <n v="258.279"/>
    <n v="3"/>
    <n v="-70.104299999999995"/>
    <x v="2"/>
    <x v="1"/>
  </r>
  <r>
    <s v="CA-2017-162978"/>
    <x v="216"/>
    <d v="2017-05-09T00:00:00"/>
    <x v="1"/>
    <s v="LW-16990"/>
    <s v="Lindsay Williams"/>
    <x v="1"/>
    <s v="United States"/>
    <x v="28"/>
    <x v="2"/>
    <x v="1"/>
    <s v="FUR-TA-10003473"/>
    <x v="0"/>
    <x v="2"/>
    <s v="Bretford Rectangular Conference Table Tops"/>
    <n v="300.904"/>
    <n v="1"/>
    <n v="11.283899999999999"/>
    <x v="2"/>
    <x v="7"/>
  </r>
  <r>
    <s v="CA-2017-160045"/>
    <x v="217"/>
    <d v="2017-04-27T00:00:00"/>
    <x v="2"/>
    <s v="LB-16735"/>
    <s v="Larry Blacks"/>
    <x v="0"/>
    <s v="United States"/>
    <x v="50"/>
    <x v="5"/>
    <x v="3"/>
    <s v="FUR-FU-10000010"/>
    <x v="0"/>
    <x v="3"/>
    <s v="DAX Value U-Channel Document Frames, Easel Back"/>
    <n v="1.988"/>
    <n v="1"/>
    <n v="-1.4413"/>
    <x v="5"/>
    <x v="6"/>
  </r>
  <r>
    <s v="US-2014-151925"/>
    <x v="218"/>
    <d v="2014-10-01T00:00:00"/>
    <x v="0"/>
    <s v="KT-16465"/>
    <s v="Kean Takahito"/>
    <x v="0"/>
    <s v="United States"/>
    <x v="2"/>
    <x v="2"/>
    <x v="1"/>
    <s v="FUR-CH-10002961"/>
    <x v="0"/>
    <x v="1"/>
    <s v="Leather Task Chair, Black"/>
    <n v="145.56800000000001"/>
    <n v="2"/>
    <n v="0"/>
    <x v="2"/>
    <x v="4"/>
  </r>
  <r>
    <s v="US-2017-155425"/>
    <x v="219"/>
    <d v="2017-11-11T00:00:00"/>
    <x v="2"/>
    <s v="AB-10600"/>
    <s v="Ann Blume"/>
    <x v="1"/>
    <s v="United States"/>
    <x v="104"/>
    <x v="22"/>
    <x v="1"/>
    <s v="FUR-CH-10003312"/>
    <x v="0"/>
    <x v="1"/>
    <s v="Hon 2090 ÒPillow SoftÓ Series Mid Back Swivel/Tilt Chairs"/>
    <n v="899.13599999999997"/>
    <n v="4"/>
    <n v="-146.1096"/>
    <x v="5"/>
    <x v="0"/>
  </r>
  <r>
    <s v="CA-2017-133249"/>
    <x v="220"/>
    <d v="2017-07-11T00:00:00"/>
    <x v="2"/>
    <s v="SZ-20035"/>
    <s v="Sam Zeldin"/>
    <x v="2"/>
    <s v="United States"/>
    <x v="105"/>
    <x v="2"/>
    <x v="1"/>
    <s v="FUR-FU-10001588"/>
    <x v="0"/>
    <x v="3"/>
    <s v="Deflect-o SuperTray Unbreakable Stackable Tray, Letter, Black"/>
    <n v="145.9"/>
    <n v="5"/>
    <n v="62.737000000000002"/>
    <x v="0"/>
    <x v="3"/>
  </r>
  <r>
    <s v="US-2015-103471"/>
    <x v="37"/>
    <d v="2015-12-28T00:00:00"/>
    <x v="1"/>
    <s v="JR-15670"/>
    <s v="Jim Radford"/>
    <x v="0"/>
    <s v="United States"/>
    <x v="30"/>
    <x v="12"/>
    <x v="1"/>
    <s v="FUR-BO-10002613"/>
    <x v="0"/>
    <x v="0"/>
    <s v="Atlantic Metals Mobile 4-Shelf Bookcases, Custom Colors"/>
    <n v="590.05799999999999"/>
    <n v="7"/>
    <n v="-786.74400000000003"/>
    <x v="4"/>
    <x v="5"/>
  </r>
  <r>
    <s v="CA-2015-120362"/>
    <x v="221"/>
    <d v="2015-09-19T00:00:00"/>
    <x v="1"/>
    <s v="CA-12265"/>
    <s v="Christina Anderson"/>
    <x v="0"/>
    <s v="United States"/>
    <x v="106"/>
    <x v="4"/>
    <x v="1"/>
    <s v="FUR-TA-10003008"/>
    <x v="0"/>
    <x v="2"/>
    <s v="Lesro Round Back Collection Coffee Table, End Table"/>
    <n v="912.75"/>
    <n v="5"/>
    <n v="118.6575"/>
    <x v="2"/>
    <x v="4"/>
  </r>
  <r>
    <s v="US-2016-100566"/>
    <x v="222"/>
    <d v="2016-09-09T00:00:00"/>
    <x v="1"/>
    <s v="JK-16120"/>
    <s v="Julie Kriz"/>
    <x v="2"/>
    <s v="United States"/>
    <x v="14"/>
    <x v="8"/>
    <x v="3"/>
    <s v="FUR-FU-10003394"/>
    <x v="0"/>
    <x v="3"/>
    <s v="Tenex &quot;The Solids&quot; Textured Chair Mats"/>
    <n v="83.951999999999998"/>
    <n v="3"/>
    <n v="-90.248400000000004"/>
    <x v="6"/>
    <x v="4"/>
  </r>
  <r>
    <s v="US-2016-108504"/>
    <x v="223"/>
    <d v="2016-02-05T00:00:00"/>
    <x v="3"/>
    <s v="PP-18955"/>
    <s v="Paul Prost"/>
    <x v="2"/>
    <s v="United States"/>
    <x v="107"/>
    <x v="24"/>
    <x v="0"/>
    <s v="FUR-FU-10004091"/>
    <x v="0"/>
    <x v="3"/>
    <s v="Eldon 200 Class Desk Accessories, Black"/>
    <n v="18.84"/>
    <n v="3"/>
    <n v="7.1592000000000002"/>
    <x v="7"/>
    <x v="11"/>
  </r>
  <r>
    <s v="US-2016-108504"/>
    <x v="223"/>
    <d v="2016-02-05T00:00:00"/>
    <x v="3"/>
    <s v="PP-18955"/>
    <s v="Paul Prost"/>
    <x v="2"/>
    <s v="United States"/>
    <x v="107"/>
    <x v="24"/>
    <x v="0"/>
    <s v="FUR-BO-10004015"/>
    <x v="0"/>
    <x v="0"/>
    <s v="Bush Andora Bookcase, Maple/Graphite Gray Finish"/>
    <n v="239.98"/>
    <n v="2"/>
    <n v="52.7956"/>
    <x v="7"/>
    <x v="11"/>
  </r>
  <r>
    <s v="US-2017-117247"/>
    <x v="224"/>
    <d v="2017-10-14T00:00:00"/>
    <x v="1"/>
    <s v="CK-12760"/>
    <s v="Cyma Kinney"/>
    <x v="1"/>
    <s v="United States"/>
    <x v="14"/>
    <x v="8"/>
    <x v="3"/>
    <s v="FUR-TA-10002958"/>
    <x v="0"/>
    <x v="2"/>
    <s v="Bevis Oval Conference Table, Walnut"/>
    <n v="652.45000000000005"/>
    <n v="5"/>
    <n v="-430.61700000000002"/>
    <x v="2"/>
    <x v="1"/>
  </r>
  <r>
    <s v="US-2017-117247"/>
    <x v="224"/>
    <d v="2017-10-14T00:00:00"/>
    <x v="1"/>
    <s v="CK-12760"/>
    <s v="Cyma Kinney"/>
    <x v="1"/>
    <s v="United States"/>
    <x v="14"/>
    <x v="8"/>
    <x v="3"/>
    <s v="FUR-TA-10001676"/>
    <x v="0"/>
    <x v="2"/>
    <s v="Hon 61000 Series Interactive Training Tables"/>
    <n v="66.644999999999996"/>
    <n v="3"/>
    <n v="-42.652799999999999"/>
    <x v="2"/>
    <x v="1"/>
  </r>
  <r>
    <s v="US-2016-161396"/>
    <x v="225"/>
    <d v="2016-04-25T00:00:00"/>
    <x v="1"/>
    <s v="GM-14455"/>
    <s v="Gary Mitchum"/>
    <x v="2"/>
    <s v="United States"/>
    <x v="29"/>
    <x v="15"/>
    <x v="2"/>
    <s v="FUR-TA-10002622"/>
    <x v="0"/>
    <x v="2"/>
    <s v="Bush Andora Conference Table, Maple/Graphite Gray Finish"/>
    <n v="205.17599999999999"/>
    <n v="2"/>
    <n v="-58.133200000000002"/>
    <x v="6"/>
    <x v="6"/>
  </r>
  <r>
    <s v="US-2014-118486"/>
    <x v="226"/>
    <d v="2014-04-08T00:00:00"/>
    <x v="2"/>
    <s v="SD-20485"/>
    <s v="Shirley Daniels"/>
    <x v="2"/>
    <s v="United States"/>
    <x v="3"/>
    <x v="3"/>
    <x v="2"/>
    <s v="FUR-TA-10001039"/>
    <x v="0"/>
    <x v="2"/>
    <s v="KI Adjustable-Height Table"/>
    <n v="154.76400000000001"/>
    <n v="3"/>
    <n v="-36.111600000000003"/>
    <x v="3"/>
    <x v="6"/>
  </r>
  <r>
    <s v="CA-2016-130407"/>
    <x v="227"/>
    <d v="2016-09-06T00:00:00"/>
    <x v="1"/>
    <s v="KD-16270"/>
    <s v="Karen Daniels"/>
    <x v="0"/>
    <s v="United States"/>
    <x v="13"/>
    <x v="7"/>
    <x v="2"/>
    <s v="FUR-FU-10001967"/>
    <x v="0"/>
    <x v="3"/>
    <s v="Telescoping Adjustable Floor Lamp"/>
    <n v="39.979999999999997"/>
    <n v="2"/>
    <n v="9.9949999999999992"/>
    <x v="4"/>
    <x v="4"/>
  </r>
  <r>
    <s v="US-2016-122245"/>
    <x v="228"/>
    <d v="2016-09-30T00:00:00"/>
    <x v="1"/>
    <s v="AB-10105"/>
    <s v="Adrian Barton"/>
    <x v="0"/>
    <s v="United States"/>
    <x v="43"/>
    <x v="22"/>
    <x v="1"/>
    <s v="FUR-TA-10002356"/>
    <x v="0"/>
    <x v="2"/>
    <s v="Bevis Boat-Shaped Conference Table"/>
    <n v="393.16500000000002"/>
    <n v="3"/>
    <n v="-204.44579999999999"/>
    <x v="2"/>
    <x v="4"/>
  </r>
  <r>
    <s v="CA-2016-136329"/>
    <x v="229"/>
    <d v="2016-07-13T00:00:00"/>
    <x v="1"/>
    <s v="JD-15895"/>
    <s v="Jonathan Doherty"/>
    <x v="1"/>
    <s v="United States"/>
    <x v="13"/>
    <x v="7"/>
    <x v="2"/>
    <s v="FUR-CH-10002335"/>
    <x v="0"/>
    <x v="1"/>
    <s v="Hon GuestStacker Chair"/>
    <n v="408.00599999999997"/>
    <n v="2"/>
    <n v="72.534400000000005"/>
    <x v="4"/>
    <x v="3"/>
  </r>
  <r>
    <s v="CA-2016-136329"/>
    <x v="229"/>
    <d v="2016-07-13T00:00:00"/>
    <x v="1"/>
    <s v="JD-15895"/>
    <s v="Jonathan Doherty"/>
    <x v="1"/>
    <s v="United States"/>
    <x v="13"/>
    <x v="7"/>
    <x v="2"/>
    <s v="FUR-FU-10000723"/>
    <x v="0"/>
    <x v="3"/>
    <s v="Deflect-o EconoMat Studded, No Bevel Mat for Low Pile Carpeting"/>
    <n v="165.28"/>
    <n v="4"/>
    <n v="14.8752"/>
    <x v="4"/>
    <x v="3"/>
  </r>
  <r>
    <s v="CA-2017-115994"/>
    <x v="230"/>
    <d v="2017-01-31T00:00:00"/>
    <x v="0"/>
    <s v="BT-11305"/>
    <s v="Beth Thompson"/>
    <x v="2"/>
    <s v="United States"/>
    <x v="46"/>
    <x v="2"/>
    <x v="1"/>
    <s v="FUR-FU-10003976"/>
    <x v="0"/>
    <x v="3"/>
    <s v="DAX Executive Solid Wood Document Frame, Desktop or Hang, Mahogany, 5 x 7"/>
    <n v="37.74"/>
    <n v="3"/>
    <n v="12.8316"/>
    <x v="0"/>
    <x v="8"/>
  </r>
  <r>
    <s v="CA-2015-126697"/>
    <x v="231"/>
    <d v="2015-09-24T00:00:00"/>
    <x v="2"/>
    <s v="SV-20815"/>
    <s v="Stuart Van"/>
    <x v="1"/>
    <s v="United States"/>
    <x v="6"/>
    <x v="5"/>
    <x v="3"/>
    <s v="FUR-FU-10001706"/>
    <x v="0"/>
    <x v="3"/>
    <s v="Longer-Life Soft White Bulbs"/>
    <n v="4.9279999999999999"/>
    <n v="4"/>
    <n v="-1.4783999999999999"/>
    <x v="0"/>
    <x v="4"/>
  </r>
  <r>
    <s v="CA-2014-120768"/>
    <x v="232"/>
    <d v="2014-12-21T00:00:00"/>
    <x v="0"/>
    <s v="IM-15070"/>
    <s v="Irene Maddox"/>
    <x v="0"/>
    <s v="United States"/>
    <x v="73"/>
    <x v="33"/>
    <x v="0"/>
    <s v="FUR-CH-10000513"/>
    <x v="0"/>
    <x v="1"/>
    <s v="High-Back Leather Manager's Chair"/>
    <n v="1819.86"/>
    <n v="14"/>
    <n v="163.78739999999999"/>
    <x v="3"/>
    <x v="5"/>
  </r>
  <r>
    <s v="CA-2015-139731"/>
    <x v="233"/>
    <d v="2015-10-15T00:00:00"/>
    <x v="3"/>
    <s v="JE-15745"/>
    <s v="Joel Eaton"/>
    <x v="0"/>
    <s v="United States"/>
    <x v="45"/>
    <x v="5"/>
    <x v="3"/>
    <s v="FUR-CH-10002024"/>
    <x v="0"/>
    <x v="1"/>
    <s v="HON 5400 Series Task Chairs for Big and Tall"/>
    <n v="2453.4299999999998"/>
    <n v="5"/>
    <n v="-350.49"/>
    <x v="7"/>
    <x v="1"/>
  </r>
  <r>
    <s v="CA-2017-102337"/>
    <x v="234"/>
    <d v="2017-06-16T00:00:00"/>
    <x v="2"/>
    <s v="SD-20485"/>
    <s v="Shirley Daniels"/>
    <x v="2"/>
    <s v="United States"/>
    <x v="9"/>
    <x v="8"/>
    <x v="3"/>
    <s v="FUR-CH-10004289"/>
    <x v="0"/>
    <x v="1"/>
    <s v="Global Super Steno Chair"/>
    <n v="470.30200000000002"/>
    <n v="7"/>
    <n v="-87.341800000000006"/>
    <x v="0"/>
    <x v="2"/>
  </r>
  <r>
    <s v="CA-2017-148474"/>
    <x v="235"/>
    <d v="2017-06-19T00:00:00"/>
    <x v="1"/>
    <s v="ME-17320"/>
    <s v="Maria Etezadi"/>
    <x v="2"/>
    <s v="United States"/>
    <x v="29"/>
    <x v="24"/>
    <x v="0"/>
    <s v="FUR-TA-10002530"/>
    <x v="0"/>
    <x v="2"/>
    <s v="Iceberg OfficeWorks 42&quot; Round Tables"/>
    <n v="452.94"/>
    <n v="3"/>
    <n v="67.941000000000003"/>
    <x v="1"/>
    <x v="2"/>
  </r>
  <r>
    <s v="CA-2014-155271"/>
    <x v="236"/>
    <d v="2014-05-04T00:00:00"/>
    <x v="3"/>
    <s v="AA-10480"/>
    <s v="Andrew Allen"/>
    <x v="0"/>
    <s v="United States"/>
    <x v="108"/>
    <x v="19"/>
    <x v="2"/>
    <s v="FUR-FU-10001473"/>
    <x v="0"/>
    <x v="3"/>
    <s v="DAX Wood Document Frame"/>
    <n v="27.46"/>
    <n v="2"/>
    <n v="9.8856000000000002"/>
    <x v="7"/>
    <x v="7"/>
  </r>
  <r>
    <s v="US-2016-128902"/>
    <x v="237"/>
    <d v="2016-03-15T00:00:00"/>
    <x v="1"/>
    <s v="MB-18085"/>
    <s v="Mick Brown"/>
    <x v="0"/>
    <s v="United States"/>
    <x v="109"/>
    <x v="18"/>
    <x v="2"/>
    <s v="FUR-TA-10001095"/>
    <x v="0"/>
    <x v="2"/>
    <s v="Chromcraft Round Conference Tables"/>
    <n v="244.006"/>
    <n v="2"/>
    <n v="-31.372199999999999"/>
    <x v="4"/>
    <x v="9"/>
  </r>
  <r>
    <s v="CA-2016-152289"/>
    <x v="238"/>
    <d v="2016-08-28T00:00:00"/>
    <x v="2"/>
    <s v="LC-16930"/>
    <s v="Linda Cazamias"/>
    <x v="1"/>
    <s v="United States"/>
    <x v="102"/>
    <x v="5"/>
    <x v="3"/>
    <s v="FUR-CH-10002126"/>
    <x v="0"/>
    <x v="1"/>
    <s v="Hon Deluxe Fabric Upholstered Stacking Chairs"/>
    <n v="1024.7159999999999"/>
    <n v="6"/>
    <n v="-29.2776"/>
    <x v="3"/>
    <x v="10"/>
  </r>
  <r>
    <s v="CA-2014-151708"/>
    <x v="98"/>
    <d v="2014-08-14T00:00:00"/>
    <x v="1"/>
    <s v="MB-17305"/>
    <s v="Maria Bertelson"/>
    <x v="0"/>
    <s v="United States"/>
    <x v="110"/>
    <x v="22"/>
    <x v="1"/>
    <s v="FUR-FU-10001602"/>
    <x v="0"/>
    <x v="3"/>
    <s v="Eldon Delta Triangular Chair Mat, 52&quot; x 58&quot;, Clear"/>
    <n v="121.376"/>
    <n v="4"/>
    <n v="-3.0344000000000002"/>
    <x v="6"/>
    <x v="10"/>
  </r>
  <r>
    <s v="CA-2017-139199"/>
    <x v="13"/>
    <d v="2017-12-13T00:00:00"/>
    <x v="1"/>
    <s v="DK-12835"/>
    <s v="Damala Kotsonis"/>
    <x v="1"/>
    <s v="United States"/>
    <x v="25"/>
    <x v="17"/>
    <x v="3"/>
    <s v="FUR-CH-10000847"/>
    <x v="0"/>
    <x v="1"/>
    <s v="Global Executive Mid-Back Manager's Chair"/>
    <n v="872.94"/>
    <n v="3"/>
    <n v="226.96440000000001"/>
    <x v="4"/>
    <x v="5"/>
  </r>
  <r>
    <s v="US-2015-105676"/>
    <x v="239"/>
    <d v="2015-12-02T00:00:00"/>
    <x v="3"/>
    <s v="NM-18520"/>
    <s v="Neoma Murray"/>
    <x v="0"/>
    <s v="United States"/>
    <x v="6"/>
    <x v="5"/>
    <x v="3"/>
    <s v="FUR-FU-10004270"/>
    <x v="0"/>
    <x v="3"/>
    <s v="Eldon Image Series Desk Accessories, Burgundy"/>
    <n v="6.6879999999999997"/>
    <n v="4"/>
    <n v="-4.0128000000000004"/>
    <x v="5"/>
    <x v="5"/>
  </r>
  <r>
    <s v="CA-2015-140410"/>
    <x v="240"/>
    <d v="2015-11-07T00:00:00"/>
    <x v="1"/>
    <s v="CM-12655"/>
    <s v="Corinna Mitchell"/>
    <x v="2"/>
    <s v="United States"/>
    <x v="2"/>
    <x v="2"/>
    <x v="1"/>
    <s v="FUR-FU-10003347"/>
    <x v="0"/>
    <x v="3"/>
    <s v="Coloredge Poster Frame"/>
    <n v="42.6"/>
    <n v="3"/>
    <n v="16.614000000000001"/>
    <x v="4"/>
    <x v="0"/>
  </r>
  <r>
    <s v="CA-2017-166436"/>
    <x v="241"/>
    <d v="2017-11-28T00:00:00"/>
    <x v="1"/>
    <s v="TS-21370"/>
    <s v="Todd Sumrall"/>
    <x v="1"/>
    <s v="United States"/>
    <x v="13"/>
    <x v="7"/>
    <x v="2"/>
    <s v="FUR-CH-10000785"/>
    <x v="0"/>
    <x v="1"/>
    <s v="Global Ergonomic Managers Chair"/>
    <n v="977.29200000000003"/>
    <n v="6"/>
    <n v="173.74080000000001"/>
    <x v="4"/>
    <x v="0"/>
  </r>
  <r>
    <s v="CA-2017-139661"/>
    <x v="242"/>
    <d v="2017-11-03T00:00:00"/>
    <x v="1"/>
    <s v="JW-15220"/>
    <s v="Jane Waco"/>
    <x v="1"/>
    <s v="United States"/>
    <x v="57"/>
    <x v="13"/>
    <x v="1"/>
    <s v="FUR-FU-10002885"/>
    <x v="0"/>
    <x v="3"/>
    <s v="Magna Visual Magnetic Picture Hangers"/>
    <n v="9.64"/>
    <n v="2"/>
    <n v="3.6631999999999998"/>
    <x v="4"/>
    <x v="1"/>
  </r>
  <r>
    <s v="CA-2016-100468"/>
    <x v="243"/>
    <d v="2016-12-01T00:00:00"/>
    <x v="1"/>
    <s v="AT-10435"/>
    <s v="Alyssa Tate"/>
    <x v="2"/>
    <s v="United States"/>
    <x v="2"/>
    <x v="2"/>
    <x v="1"/>
    <s v="FUR-FU-10000010"/>
    <x v="0"/>
    <x v="3"/>
    <s v="DAX Value U-Channel Document Frames, Easel Back"/>
    <n v="9.94"/>
    <n v="2"/>
    <n v="3.0813999999999999"/>
    <x v="1"/>
    <x v="0"/>
  </r>
  <r>
    <s v="CA-2015-153388"/>
    <x v="244"/>
    <d v="2015-08-07T00:00:00"/>
    <x v="1"/>
    <s v="PC-19000"/>
    <s v="Pauline Chand"/>
    <x v="2"/>
    <s v="United States"/>
    <x v="2"/>
    <x v="2"/>
    <x v="1"/>
    <s v="FUR-TA-10003715"/>
    <x v="0"/>
    <x v="2"/>
    <s v="Hon 2111 Invitation Series Corner Table"/>
    <n v="1004.976"/>
    <n v="6"/>
    <n v="-175.8708"/>
    <x v="6"/>
    <x v="10"/>
  </r>
  <r>
    <s v="CA-2017-103611"/>
    <x v="245"/>
    <d v="2017-09-15T00:00:00"/>
    <x v="2"/>
    <s v="JM-15535"/>
    <s v="Jessica Myrick"/>
    <x v="0"/>
    <s v="United States"/>
    <x v="2"/>
    <x v="2"/>
    <x v="1"/>
    <s v="FUR-FU-10004270"/>
    <x v="0"/>
    <x v="3"/>
    <s v="Eldon Image Series Desk Accessories, Burgundy"/>
    <n v="8.36"/>
    <n v="2"/>
    <n v="3.0095999999999998"/>
    <x v="0"/>
    <x v="4"/>
  </r>
  <r>
    <s v="US-2017-160759"/>
    <x v="246"/>
    <d v="2017-12-17T00:00:00"/>
    <x v="1"/>
    <s v="AI-10855"/>
    <s v="Arianne Irving"/>
    <x v="0"/>
    <s v="United States"/>
    <x v="3"/>
    <x v="3"/>
    <x v="2"/>
    <s v="FUR-CH-10002961"/>
    <x v="0"/>
    <x v="1"/>
    <s v="Leather Task Chair, Black"/>
    <n v="63.686"/>
    <n v="1"/>
    <n v="-9.0980000000000008"/>
    <x v="6"/>
    <x v="5"/>
  </r>
  <r>
    <s v="CA-2017-148446"/>
    <x v="247"/>
    <d v="2017-12-14T00:00:00"/>
    <x v="0"/>
    <s v="MC-17845"/>
    <s v="Michael Chen"/>
    <x v="0"/>
    <s v="United States"/>
    <x v="111"/>
    <x v="34"/>
    <x v="1"/>
    <s v="FUR-TA-10004256"/>
    <x v="0"/>
    <x v="2"/>
    <s v="Bretford ÒJust In TimeÓ Height-Adjustable Multi-Task Work Tables"/>
    <n v="1669.6"/>
    <n v="4"/>
    <n v="116.872"/>
    <x v="4"/>
    <x v="5"/>
  </r>
  <r>
    <s v="CA-2015-144806"/>
    <x v="248"/>
    <d v="2015-12-11T00:00:00"/>
    <x v="1"/>
    <s v="GH-14425"/>
    <s v="Gary Hwang"/>
    <x v="0"/>
    <s v="United States"/>
    <x v="104"/>
    <x v="22"/>
    <x v="1"/>
    <s v="FUR-FU-10002253"/>
    <x v="0"/>
    <x v="3"/>
    <s v="Howard Miller 13&quot; Diameter Pewter Finish Round Wall Clock"/>
    <n v="206.11199999999999"/>
    <n v="6"/>
    <n v="48.951599999999999"/>
    <x v="2"/>
    <x v="5"/>
  </r>
  <r>
    <s v="CA-2016-122392"/>
    <x v="249"/>
    <d v="2016-07-27T00:00:00"/>
    <x v="1"/>
    <s v="CJ-12010"/>
    <s v="Caroline Jumper"/>
    <x v="0"/>
    <s v="United States"/>
    <x v="112"/>
    <x v="3"/>
    <x v="2"/>
    <s v="FUR-FU-10002456"/>
    <x v="0"/>
    <x v="3"/>
    <s v="Master Caster Door Stop, Large Neon Orange"/>
    <n v="11.648"/>
    <n v="2"/>
    <n v="3.3488000000000002"/>
    <x v="2"/>
    <x v="3"/>
  </r>
  <r>
    <s v="CA-2017-124086"/>
    <x v="250"/>
    <d v="2017-02-14T00:00:00"/>
    <x v="1"/>
    <s v="MP-18175"/>
    <s v="Mike Pelletier"/>
    <x v="2"/>
    <s v="United States"/>
    <x v="113"/>
    <x v="2"/>
    <x v="1"/>
    <s v="FUR-BO-10004015"/>
    <x v="0"/>
    <x v="0"/>
    <s v="Bush Andora Bookcase, Maple/Graphite Gray Finish"/>
    <n v="203.983"/>
    <n v="2"/>
    <n v="16.7986"/>
    <x v="4"/>
    <x v="11"/>
  </r>
  <r>
    <s v="CA-2017-121888"/>
    <x v="102"/>
    <d v="2017-09-17T00:00:00"/>
    <x v="0"/>
    <s v="CL-11890"/>
    <s v="Carl Ludwig"/>
    <x v="0"/>
    <s v="United States"/>
    <x v="114"/>
    <x v="20"/>
    <x v="2"/>
    <s v="FUR-BO-10002545"/>
    <x v="0"/>
    <x v="0"/>
    <s v="Atlantic Metals Mobile 3-Shelf Bookcases, Custom Colors"/>
    <n v="782.94"/>
    <n v="3"/>
    <n v="203.56440000000001"/>
    <x v="3"/>
    <x v="4"/>
  </r>
  <r>
    <s v="CA-2014-166884"/>
    <x v="251"/>
    <d v="2014-03-16T00:00:00"/>
    <x v="0"/>
    <s v="CK-12205"/>
    <s v="Chloris Kastensmidt"/>
    <x v="0"/>
    <s v="United States"/>
    <x v="29"/>
    <x v="15"/>
    <x v="2"/>
    <s v="FUR-FU-10003981"/>
    <x v="0"/>
    <x v="3"/>
    <s v="Eldon Wave Desk Accessories"/>
    <n v="8.32"/>
    <n v="5"/>
    <n v="2.2879999999999998"/>
    <x v="2"/>
    <x v="9"/>
  </r>
  <r>
    <s v="CA-2014-150245"/>
    <x v="252"/>
    <d v="2015-01-04T00:00:00"/>
    <x v="0"/>
    <s v="PC-18745"/>
    <s v="Pamela Coakley"/>
    <x v="1"/>
    <s v="United States"/>
    <x v="115"/>
    <x v="7"/>
    <x v="2"/>
    <s v="FUR-BO-10002613"/>
    <x v="0"/>
    <x v="0"/>
    <s v="Atlantic Metals Mobile 4-Shelf Bookcases, Custom Colors"/>
    <n v="1573.4880000000001"/>
    <n v="7"/>
    <n v="196.68600000000001"/>
    <x v="4"/>
    <x v="5"/>
  </r>
  <r>
    <s v="CA-2015-112116"/>
    <x v="253"/>
    <d v="2015-03-18T00:00:00"/>
    <x v="0"/>
    <s v="JE-15475"/>
    <s v="Jeremy Ellison"/>
    <x v="0"/>
    <s v="United States"/>
    <x v="15"/>
    <x v="13"/>
    <x v="1"/>
    <s v="FUR-TA-10001039"/>
    <x v="0"/>
    <x v="2"/>
    <s v="KI Adjustable-Height Table"/>
    <n v="171.96"/>
    <n v="2"/>
    <n v="44.709600000000002"/>
    <x v="3"/>
    <x v="9"/>
  </r>
  <r>
    <s v="US-2017-102890"/>
    <x v="254"/>
    <d v="2017-06-30T00:00:00"/>
    <x v="3"/>
    <s v="SG-20470"/>
    <s v="Sheri Gordon"/>
    <x v="0"/>
    <s v="United States"/>
    <x v="13"/>
    <x v="7"/>
    <x v="2"/>
    <s v="FUR-TA-10000577"/>
    <x v="0"/>
    <x v="2"/>
    <s v="Bretford CR4500 Series Slim Rectangular Table"/>
    <n v="1044.6300000000001"/>
    <n v="5"/>
    <n v="-295.9785"/>
    <x v="7"/>
    <x v="2"/>
  </r>
  <r>
    <s v="US-2014-157385"/>
    <x v="255"/>
    <d v="2014-11-25T00:00:00"/>
    <x v="2"/>
    <s v="SC-20095"/>
    <s v="Sanjit Chand"/>
    <x v="0"/>
    <s v="United States"/>
    <x v="2"/>
    <x v="2"/>
    <x v="1"/>
    <s v="FUR-CH-10000863"/>
    <x v="0"/>
    <x v="1"/>
    <s v="Novimex Swivel Fabric Task Chair"/>
    <n v="603.91999999999996"/>
    <n v="5"/>
    <n v="-67.941000000000003"/>
    <x v="3"/>
    <x v="0"/>
  </r>
  <r>
    <s v="US-2014-157385"/>
    <x v="255"/>
    <d v="2014-11-25T00:00:00"/>
    <x v="2"/>
    <s v="SC-20095"/>
    <s v="Sanjit Chand"/>
    <x v="0"/>
    <s v="United States"/>
    <x v="2"/>
    <x v="2"/>
    <x v="1"/>
    <s v="FUR-CH-10000595"/>
    <x v="0"/>
    <x v="1"/>
    <s v="Safco Contoured Stacking Chairs"/>
    <n v="381.44"/>
    <n v="2"/>
    <n v="23.84"/>
    <x v="3"/>
    <x v="0"/>
  </r>
  <r>
    <s v="CA-2014-101602"/>
    <x v="256"/>
    <d v="2014-12-18T00:00:00"/>
    <x v="2"/>
    <s v="MC-18100"/>
    <s v="Mick Crebagga"/>
    <x v="0"/>
    <s v="United States"/>
    <x v="116"/>
    <x v="5"/>
    <x v="3"/>
    <s v="FUR-CH-10004675"/>
    <x v="0"/>
    <x v="1"/>
    <s v="Lifetime Advantage Folding Chairs, 4/Carton"/>
    <n v="763.28"/>
    <n v="5"/>
    <n v="-21.808"/>
    <x v="0"/>
    <x v="5"/>
  </r>
  <r>
    <s v="CA-2015-131338"/>
    <x v="38"/>
    <d v="2015-08-12T00:00:00"/>
    <x v="2"/>
    <s v="NP-18325"/>
    <s v="Naresj Patel"/>
    <x v="0"/>
    <s v="United States"/>
    <x v="13"/>
    <x v="7"/>
    <x v="2"/>
    <s v="FUR-TA-10002607"/>
    <x v="0"/>
    <x v="2"/>
    <s v="KI Conference Tables"/>
    <n v="382.80599999999998"/>
    <n v="9"/>
    <n v="-153.1224"/>
    <x v="0"/>
    <x v="10"/>
  </r>
  <r>
    <s v="CA-2015-131338"/>
    <x v="38"/>
    <d v="2015-08-12T00:00:00"/>
    <x v="2"/>
    <s v="NP-18325"/>
    <s v="Naresj Patel"/>
    <x v="0"/>
    <s v="United States"/>
    <x v="13"/>
    <x v="7"/>
    <x v="2"/>
    <s v="FUR-FU-10002157"/>
    <x v="0"/>
    <x v="3"/>
    <s v="Artistic Insta-Plaque"/>
    <n v="47.04"/>
    <n v="3"/>
    <n v="18.345600000000001"/>
    <x v="0"/>
    <x v="10"/>
  </r>
  <r>
    <s v="CA-2015-131338"/>
    <x v="38"/>
    <d v="2015-08-12T00:00:00"/>
    <x v="2"/>
    <s v="NP-18325"/>
    <s v="Naresj Patel"/>
    <x v="0"/>
    <s v="United States"/>
    <x v="13"/>
    <x v="7"/>
    <x v="2"/>
    <s v="FUR-FU-10001706"/>
    <x v="0"/>
    <x v="3"/>
    <s v="Longer-Life Soft White Bulbs"/>
    <n v="6.16"/>
    <n v="2"/>
    <n v="2.9567999999999999"/>
    <x v="0"/>
    <x v="10"/>
  </r>
  <r>
    <s v="CA-2015-118423"/>
    <x v="257"/>
    <d v="2015-03-27T00:00:00"/>
    <x v="2"/>
    <s v="DP-13390"/>
    <s v="Dennis Pardue"/>
    <x v="2"/>
    <s v="United States"/>
    <x v="117"/>
    <x v="8"/>
    <x v="3"/>
    <s v="FUR-BO-10000362"/>
    <x v="0"/>
    <x v="0"/>
    <s v="Sauder Inglewood Library Bookcases"/>
    <n v="359.05799999999999"/>
    <n v="3"/>
    <n v="-35.905799999999999"/>
    <x v="0"/>
    <x v="9"/>
  </r>
  <r>
    <s v="CA-2017-149181"/>
    <x v="258"/>
    <d v="2017-05-12T00:00:00"/>
    <x v="1"/>
    <s v="MD-17350"/>
    <s v="Maribeth Dona"/>
    <x v="0"/>
    <s v="United States"/>
    <x v="29"/>
    <x v="15"/>
    <x v="2"/>
    <s v="FUR-CH-10004540"/>
    <x v="0"/>
    <x v="1"/>
    <s v="Global Chrome Stack Chair"/>
    <n v="47.991999999999997"/>
    <n v="2"/>
    <n v="-2.0568"/>
    <x v="4"/>
    <x v="7"/>
  </r>
  <r>
    <s v="CA-2017-132234"/>
    <x v="259"/>
    <d v="2017-10-18T00:00:00"/>
    <x v="2"/>
    <s v="MY-17380"/>
    <s v="Maribeth Yedwab"/>
    <x v="1"/>
    <s v="United States"/>
    <x v="13"/>
    <x v="7"/>
    <x v="2"/>
    <s v="FUR-FU-10001290"/>
    <x v="0"/>
    <x v="3"/>
    <s v="Executive Impressions Supervisor Wall Clock"/>
    <n v="547.29999999999995"/>
    <n v="13"/>
    <n v="175.136"/>
    <x v="3"/>
    <x v="1"/>
  </r>
  <r>
    <s v="CA-2017-158876"/>
    <x v="49"/>
    <d v="2017-11-21T00:00:00"/>
    <x v="0"/>
    <s v="AB-10150"/>
    <s v="Aimee Bixby"/>
    <x v="0"/>
    <s v="United States"/>
    <x v="118"/>
    <x v="5"/>
    <x v="3"/>
    <s v="FUR-FU-10001967"/>
    <x v="0"/>
    <x v="3"/>
    <s v="Telescoping Adjustable Floor Lamp"/>
    <n v="15.992000000000001"/>
    <n v="2"/>
    <n v="-13.993"/>
    <x v="3"/>
    <x v="0"/>
  </r>
  <r>
    <s v="CA-2016-164672"/>
    <x v="260"/>
    <d v="2016-05-13T00:00:00"/>
    <x v="0"/>
    <s v="GB-14530"/>
    <s v="George Bell"/>
    <x v="1"/>
    <s v="United States"/>
    <x v="63"/>
    <x v="14"/>
    <x v="2"/>
    <s v="FUR-FU-10001488"/>
    <x v="0"/>
    <x v="3"/>
    <s v="Tenex 46&quot; x 60&quot; Computer Anti-Static Chairmat, Rectangular Shaped"/>
    <n v="211.96"/>
    <n v="2"/>
    <n v="42.392000000000003"/>
    <x v="2"/>
    <x v="7"/>
  </r>
  <r>
    <s v="CA-2014-156349"/>
    <x v="261"/>
    <d v="2014-05-30T00:00:00"/>
    <x v="1"/>
    <s v="ML-17395"/>
    <s v="Marina Lichtenstein"/>
    <x v="1"/>
    <s v="United States"/>
    <x v="2"/>
    <x v="2"/>
    <x v="1"/>
    <s v="FUR-BO-10000362"/>
    <x v="0"/>
    <x v="0"/>
    <s v="Sauder Inglewood Library Bookcases"/>
    <n v="290.666"/>
    <n v="2"/>
    <n v="27.3568"/>
    <x v="4"/>
    <x v="7"/>
  </r>
  <r>
    <s v="CA-2017-108560"/>
    <x v="220"/>
    <d v="2017-07-15T00:00:00"/>
    <x v="1"/>
    <s v="JC-15385"/>
    <s v="Jenna Caffey"/>
    <x v="0"/>
    <s v="United States"/>
    <x v="119"/>
    <x v="13"/>
    <x v="1"/>
    <s v="FUR-FU-10002937"/>
    <x v="0"/>
    <x v="3"/>
    <s v="GE 48&quot; Fluorescent Tube, Cool White Energy Saver, 34 Watts, 30/Box"/>
    <n v="198.46"/>
    <n v="2"/>
    <n v="99.23"/>
    <x v="1"/>
    <x v="3"/>
  </r>
  <r>
    <s v="CA-2015-143119"/>
    <x v="262"/>
    <d v="2015-09-30T00:00:00"/>
    <x v="1"/>
    <s v="MC-17275"/>
    <s v="Marc Crier"/>
    <x v="0"/>
    <s v="United States"/>
    <x v="120"/>
    <x v="35"/>
    <x v="0"/>
    <s v="FUR-CH-10001270"/>
    <x v="0"/>
    <x v="1"/>
    <s v="Harbour Creations Steel Folding Chair"/>
    <n v="517.5"/>
    <n v="6"/>
    <n v="155.25"/>
    <x v="6"/>
    <x v="4"/>
  </r>
  <r>
    <s v="CA-2017-101049"/>
    <x v="263"/>
    <d v="2017-06-25T00:00:00"/>
    <x v="0"/>
    <s v="AS-10240"/>
    <s v="Alan Shonely"/>
    <x v="0"/>
    <s v="United States"/>
    <x v="59"/>
    <x v="15"/>
    <x v="2"/>
    <s v="FUR-FU-10004415"/>
    <x v="0"/>
    <x v="3"/>
    <s v="Stacking Tray, Side-Loading, Legal, Smoke"/>
    <n v="17.920000000000002"/>
    <n v="5"/>
    <n v="2.464"/>
    <x v="4"/>
    <x v="2"/>
  </r>
  <r>
    <s v="CA-2016-157266"/>
    <x v="205"/>
    <d v="2016-06-01T00:00:00"/>
    <x v="1"/>
    <s v="TB-21280"/>
    <s v="Toby Braunhardt"/>
    <x v="0"/>
    <s v="United States"/>
    <x v="85"/>
    <x v="29"/>
    <x v="2"/>
    <s v="FUR-FU-10000629"/>
    <x v="0"/>
    <x v="3"/>
    <s v="9-3/4 Diameter Round Wall Clock"/>
    <n v="41.37"/>
    <n v="3"/>
    <n v="17.375399999999999"/>
    <x v="6"/>
    <x v="7"/>
  </r>
  <r>
    <s v="CA-2014-127159"/>
    <x v="264"/>
    <d v="2014-05-15T00:00:00"/>
    <x v="2"/>
    <s v="HL-15040"/>
    <s v="Hunter Lopez"/>
    <x v="0"/>
    <s v="United States"/>
    <x v="79"/>
    <x v="16"/>
    <x v="3"/>
    <s v="FUR-FU-10000010"/>
    <x v="0"/>
    <x v="3"/>
    <s v="DAX Value U-Channel Document Frames, Easel Back"/>
    <n v="34.79"/>
    <n v="7"/>
    <n v="10.7849"/>
    <x v="0"/>
    <x v="7"/>
  </r>
  <r>
    <s v="US-2015-157154"/>
    <x v="265"/>
    <d v="2015-01-15T00:00:00"/>
    <x v="1"/>
    <s v="MM-17920"/>
    <s v="Michael Moore"/>
    <x v="0"/>
    <s v="United States"/>
    <x v="13"/>
    <x v="7"/>
    <x v="2"/>
    <s v="FUR-TA-10001889"/>
    <x v="0"/>
    <x v="2"/>
    <s v="Bush Advantage Collection Racetrack Conference Table"/>
    <n v="1018.104"/>
    <n v="4"/>
    <n v="-373.3048"/>
    <x v="2"/>
    <x v="8"/>
  </r>
  <r>
    <s v="CA-2015-143077"/>
    <x v="5"/>
    <d v="2015-09-21T00:00:00"/>
    <x v="1"/>
    <s v="SF-20965"/>
    <s v="Sylvia Foulston"/>
    <x v="1"/>
    <s v="United States"/>
    <x v="6"/>
    <x v="5"/>
    <x v="3"/>
    <s v="FUR-FU-10003535"/>
    <x v="0"/>
    <x v="3"/>
    <s v="Howard Miller Distant Time Traveler Alarm Clock"/>
    <n v="21.936"/>
    <n v="2"/>
    <n v="-10.419600000000001"/>
    <x v="4"/>
    <x v="4"/>
  </r>
  <r>
    <s v="CA-2014-122882"/>
    <x v="266"/>
    <d v="2014-09-13T00:00:00"/>
    <x v="1"/>
    <s v="SB-20290"/>
    <s v="Sean Braxton"/>
    <x v="1"/>
    <s v="United States"/>
    <x v="3"/>
    <x v="3"/>
    <x v="2"/>
    <s v="FUR-FU-10000758"/>
    <x v="0"/>
    <x v="3"/>
    <s v="DAX Natural Wood-Tone Poster Frame"/>
    <n v="42.368000000000002"/>
    <n v="2"/>
    <n v="8.4735999999999994"/>
    <x v="6"/>
    <x v="4"/>
  </r>
  <r>
    <s v="CA-2016-147585"/>
    <x v="267"/>
    <d v="2016-11-12T00:00:00"/>
    <x v="1"/>
    <s v="CB-12535"/>
    <s v="Claudia Bergmann"/>
    <x v="1"/>
    <s v="United States"/>
    <x v="28"/>
    <x v="2"/>
    <x v="1"/>
    <s v="FUR-FU-10002597"/>
    <x v="0"/>
    <x v="3"/>
    <s v="C-Line Magnetic Cubicle Keepers, Clear Polypropylene"/>
    <n v="14.82"/>
    <n v="3"/>
    <n v="6.2244000000000002"/>
    <x v="2"/>
    <x v="0"/>
  </r>
  <r>
    <s v="CA-2017-143798"/>
    <x v="247"/>
    <d v="2017-12-12T00:00:00"/>
    <x v="2"/>
    <s v="AW-10840"/>
    <s v="Anthony Witt"/>
    <x v="0"/>
    <s v="United States"/>
    <x v="3"/>
    <x v="3"/>
    <x v="2"/>
    <s v="FUR-FU-10004306"/>
    <x v="0"/>
    <x v="3"/>
    <s v="Electrix Halogen Magnifier Lamp"/>
    <n v="310.88"/>
    <n v="2"/>
    <n v="23.315999999999999"/>
    <x v="3"/>
    <x v="5"/>
  </r>
  <r>
    <s v="CA-2014-142839"/>
    <x v="268"/>
    <d v="2014-08-20T00:00:00"/>
    <x v="1"/>
    <s v="TS-21610"/>
    <s v="Troy Staebel"/>
    <x v="0"/>
    <s v="United States"/>
    <x v="3"/>
    <x v="3"/>
    <x v="2"/>
    <s v="FUR-TA-10001539"/>
    <x v="0"/>
    <x v="2"/>
    <s v="Chromcraft Rectangular Conference Tables"/>
    <n v="853.09199999999998"/>
    <n v="6"/>
    <n v="-227.49119999999999"/>
    <x v="4"/>
    <x v="10"/>
  </r>
  <r>
    <s v="US-2016-154361"/>
    <x v="269"/>
    <d v="2016-03-19T00:00:00"/>
    <x v="1"/>
    <s v="HZ-14950"/>
    <s v="Henia Zydlo"/>
    <x v="0"/>
    <s v="United States"/>
    <x v="29"/>
    <x v="15"/>
    <x v="2"/>
    <s v="FUR-FU-10004020"/>
    <x v="0"/>
    <x v="3"/>
    <s v="Advantus Panel Wall Acrylic Frame"/>
    <n v="21.88"/>
    <n v="5"/>
    <n v="6.2904999999999998"/>
    <x v="2"/>
    <x v="9"/>
  </r>
  <r>
    <s v="CA-2014-135657"/>
    <x v="270"/>
    <d v="2014-06-07T00:00:00"/>
    <x v="0"/>
    <s v="SC-20725"/>
    <s v="Steven Cartwright"/>
    <x v="0"/>
    <s v="United States"/>
    <x v="15"/>
    <x v="13"/>
    <x v="1"/>
    <s v="FUR-TA-10004086"/>
    <x v="0"/>
    <x v="2"/>
    <s v="KI Adjustable-Height Table"/>
    <n v="515.88"/>
    <n v="6"/>
    <n v="113.4936"/>
    <x v="4"/>
    <x v="2"/>
  </r>
  <r>
    <s v="CA-2015-114069"/>
    <x v="271"/>
    <d v="2015-07-15T00:00:00"/>
    <x v="0"/>
    <s v="ND-18370"/>
    <s v="Natalie DeCherney"/>
    <x v="0"/>
    <s v="United States"/>
    <x v="13"/>
    <x v="7"/>
    <x v="2"/>
    <s v="FUR-CH-10000595"/>
    <x v="0"/>
    <x v="1"/>
    <s v="Safco Contoured Stacking Chairs"/>
    <n v="1931.04"/>
    <n v="9"/>
    <n v="321.83999999999997"/>
    <x v="3"/>
    <x v="3"/>
  </r>
  <r>
    <s v="CA-2017-123491"/>
    <x v="242"/>
    <d v="2017-11-05T00:00:00"/>
    <x v="1"/>
    <s v="JK-15205"/>
    <s v="Jamie Kunitz"/>
    <x v="0"/>
    <s v="United States"/>
    <x v="28"/>
    <x v="2"/>
    <x v="1"/>
    <s v="FUR-CH-10003061"/>
    <x v="0"/>
    <x v="1"/>
    <s v="Global Leather Task Chair, Black"/>
    <n v="71.992000000000004"/>
    <n v="1"/>
    <n v="-0.89990000000000003"/>
    <x v="6"/>
    <x v="1"/>
  </r>
  <r>
    <s v="US-2017-124968"/>
    <x v="272"/>
    <d v="2017-09-13T00:00:00"/>
    <x v="0"/>
    <s v="MM-18055"/>
    <s v="Michelle Moray"/>
    <x v="0"/>
    <s v="United States"/>
    <x v="9"/>
    <x v="8"/>
    <x v="3"/>
    <s v="FUR-TA-10004289"/>
    <x v="0"/>
    <x v="2"/>
    <s v="BoxOffice By Design Rectangular and Half-Moon Meeting Room Tables"/>
    <n v="765.625"/>
    <n v="7"/>
    <n v="-566.5625"/>
    <x v="2"/>
    <x v="4"/>
  </r>
  <r>
    <s v="CA-2017-104003"/>
    <x v="273"/>
    <d v="2017-10-13T00:00:00"/>
    <x v="1"/>
    <s v="DC-13285"/>
    <s v="Debra Catini"/>
    <x v="0"/>
    <s v="United States"/>
    <x v="28"/>
    <x v="2"/>
    <x v="1"/>
    <s v="FUR-BO-10003965"/>
    <x v="0"/>
    <x v="0"/>
    <s v="O'Sullivan Manor Hill 2-Door Library in Brianna Oak"/>
    <n v="307.666"/>
    <n v="2"/>
    <n v="-14.478400000000001"/>
    <x v="6"/>
    <x v="1"/>
  </r>
  <r>
    <s v="CA-2016-169943"/>
    <x v="128"/>
    <d v="2016-05-24T00:00:00"/>
    <x v="1"/>
    <s v="BN-11515"/>
    <s v="Bradley Nguyen"/>
    <x v="0"/>
    <s v="United States"/>
    <x v="13"/>
    <x v="7"/>
    <x v="2"/>
    <s v="FUR-FU-10002088"/>
    <x v="0"/>
    <x v="3"/>
    <s v="Nu-Dell Float Frame 11 x 14 1/2"/>
    <n v="35.92"/>
    <n v="4"/>
    <n v="15.086399999999999"/>
    <x v="2"/>
    <x v="7"/>
  </r>
  <r>
    <s v="CA-2016-169943"/>
    <x v="128"/>
    <d v="2016-05-24T00:00:00"/>
    <x v="1"/>
    <s v="BN-11515"/>
    <s v="Bradley Nguyen"/>
    <x v="0"/>
    <s v="United States"/>
    <x v="13"/>
    <x v="7"/>
    <x v="2"/>
    <s v="FUR-FU-10000010"/>
    <x v="0"/>
    <x v="3"/>
    <s v="DAX Value U-Channel Document Frames, Easel Back"/>
    <n v="39.76"/>
    <n v="8"/>
    <n v="12.3256"/>
    <x v="2"/>
    <x v="7"/>
  </r>
  <r>
    <s v="US-2015-123218"/>
    <x v="274"/>
    <d v="2015-12-25T00:00:00"/>
    <x v="1"/>
    <s v="KD-16345"/>
    <s v="Katherine Ducich"/>
    <x v="0"/>
    <s v="United States"/>
    <x v="9"/>
    <x v="8"/>
    <x v="3"/>
    <s v="FUR-BO-10003966"/>
    <x v="0"/>
    <x v="0"/>
    <s v="Sauder Facets Collection Library, Sky Alder Finish"/>
    <n v="359.05799999999999"/>
    <n v="3"/>
    <n v="-71.811599999999999"/>
    <x v="2"/>
    <x v="5"/>
  </r>
  <r>
    <s v="US-2017-164056"/>
    <x v="275"/>
    <d v="2017-05-04T00:00:00"/>
    <x v="0"/>
    <s v="FM-14215"/>
    <s v="Filia McAdams"/>
    <x v="1"/>
    <s v="United States"/>
    <x v="24"/>
    <x v="15"/>
    <x v="2"/>
    <s v="FUR-TA-10001307"/>
    <x v="0"/>
    <x v="2"/>
    <s v="SAFCO PlanMaster Heigh-Adjustable Drafting Table Base, 43w x 30d x 30-37h, Black"/>
    <n v="1048.3499999999999"/>
    <n v="5"/>
    <n v="-69.89"/>
    <x v="2"/>
    <x v="6"/>
  </r>
  <r>
    <s v="CA-2017-152807"/>
    <x v="242"/>
    <d v="2017-11-03T00:00:00"/>
    <x v="1"/>
    <s v="MC-18100"/>
    <s v="Mick Crebagga"/>
    <x v="0"/>
    <s v="United States"/>
    <x v="3"/>
    <x v="3"/>
    <x v="2"/>
    <s v="FUR-FU-10004415"/>
    <x v="0"/>
    <x v="3"/>
    <s v="Stacking Tray, Side-Loading, Legal, Smoke"/>
    <n v="7.1680000000000001"/>
    <n v="2"/>
    <n v="0.98560000000000003"/>
    <x v="4"/>
    <x v="1"/>
  </r>
  <r>
    <s v="CA-2015-139094"/>
    <x v="276"/>
    <d v="2015-11-27T00:00:00"/>
    <x v="1"/>
    <s v="MO-17800"/>
    <s v="Meg O'Connel"/>
    <x v="2"/>
    <s v="United States"/>
    <x v="21"/>
    <x v="5"/>
    <x v="3"/>
    <s v="FUR-TA-10004607"/>
    <x v="0"/>
    <x v="2"/>
    <s v="Hon 2111 Invitation Series Straight Table"/>
    <n v="206.96199999999999"/>
    <n v="2"/>
    <n v="-32.522599999999997"/>
    <x v="2"/>
    <x v="0"/>
  </r>
  <r>
    <s v="CA-2017-168837"/>
    <x v="277"/>
    <d v="2017-10-17T00:00:00"/>
    <x v="2"/>
    <s v="JW-15955"/>
    <s v="Joni Wasserman"/>
    <x v="0"/>
    <s v="United States"/>
    <x v="121"/>
    <x v="2"/>
    <x v="1"/>
    <s v="FUR-FU-10001918"/>
    <x v="0"/>
    <x v="3"/>
    <s v="C-Line Cubicle Keepers Polyproplyene Holder With Velcro Backings"/>
    <n v="9.4600000000000009"/>
    <n v="2"/>
    <n v="3.6894"/>
    <x v="0"/>
    <x v="1"/>
  </r>
  <r>
    <s v="CA-2015-130785"/>
    <x v="278"/>
    <d v="2015-09-09T00:00:00"/>
    <x v="1"/>
    <s v="AG-10900"/>
    <s v="Arthur Gainer"/>
    <x v="0"/>
    <s v="United States"/>
    <x v="53"/>
    <x v="2"/>
    <x v="1"/>
    <s v="FUR-BO-10000330"/>
    <x v="0"/>
    <x v="0"/>
    <s v="Sauder Camden County Barrister Bookcase, Planked Cherry Finish"/>
    <n v="411.33199999999999"/>
    <n v="4"/>
    <n v="-4.8391999999999999"/>
    <x v="4"/>
    <x v="4"/>
  </r>
  <r>
    <s v="CA-2015-130785"/>
    <x v="278"/>
    <d v="2015-09-09T00:00:00"/>
    <x v="1"/>
    <s v="AG-10900"/>
    <s v="Arthur Gainer"/>
    <x v="0"/>
    <s v="United States"/>
    <x v="53"/>
    <x v="2"/>
    <x v="1"/>
    <s v="FUR-BO-10003159"/>
    <x v="0"/>
    <x v="0"/>
    <s v="Sauder Camden County Collection Libraries, Planked Cherry Finish"/>
    <n v="293.19900000000001"/>
    <n v="3"/>
    <n v="-20.696400000000001"/>
    <x v="4"/>
    <x v="4"/>
  </r>
  <r>
    <s v="CA-2016-110254"/>
    <x v="279"/>
    <d v="2016-08-08T00:00:00"/>
    <x v="1"/>
    <s v="ML-17755"/>
    <s v="Max Ludwig"/>
    <x v="2"/>
    <s v="United States"/>
    <x v="122"/>
    <x v="25"/>
    <x v="0"/>
    <s v="FUR-FU-10001591"/>
    <x v="0"/>
    <x v="3"/>
    <s v="Advantus Panel Wall Certificate Holder - 8.5x11"/>
    <n v="109.8"/>
    <n v="9"/>
    <n v="46.116"/>
    <x v="4"/>
    <x v="10"/>
  </r>
  <r>
    <s v="CA-2014-120474"/>
    <x v="280"/>
    <d v="2014-12-03T00:00:00"/>
    <x v="2"/>
    <s v="RP-19390"/>
    <s v="Resi Pšlking"/>
    <x v="0"/>
    <s v="United States"/>
    <x v="123"/>
    <x v="16"/>
    <x v="3"/>
    <s v="FUR-CH-10001854"/>
    <x v="0"/>
    <x v="1"/>
    <s v="Office Star - Professional Matrix Back Chair with 2-to-1 Synchro Tilt and Mesh Fabric Seat"/>
    <n v="2807.84"/>
    <n v="8"/>
    <n v="673.88160000000005"/>
    <x v="3"/>
    <x v="5"/>
  </r>
  <r>
    <s v="CA-2016-100965"/>
    <x v="281"/>
    <d v="2016-07-11T00:00:00"/>
    <x v="1"/>
    <s v="RM-19375"/>
    <s v="Raymond Messe"/>
    <x v="0"/>
    <s v="United States"/>
    <x v="124"/>
    <x v="2"/>
    <x v="1"/>
    <s v="FUR-FU-10003039"/>
    <x v="0"/>
    <x v="3"/>
    <s v="Howard Miller 11-1/2&quot; Diameter Grantwood Wall Clock"/>
    <n v="215.65"/>
    <n v="5"/>
    <n v="73.320999999999998"/>
    <x v="4"/>
    <x v="3"/>
  </r>
  <r>
    <s v="CA-2016-149461"/>
    <x v="282"/>
    <d v="2016-11-19T00:00:00"/>
    <x v="1"/>
    <s v="AS-10135"/>
    <s v="Adrian Shami"/>
    <x v="2"/>
    <s v="United States"/>
    <x v="83"/>
    <x v="13"/>
    <x v="1"/>
    <s v="FUR-FU-10004270"/>
    <x v="0"/>
    <x v="3"/>
    <s v="Eldon Image Series Desk Accessories, Burgundy"/>
    <n v="4.18"/>
    <n v="1"/>
    <n v="1.5047999999999999"/>
    <x v="6"/>
    <x v="0"/>
  </r>
  <r>
    <s v="CA-2016-165484"/>
    <x v="283"/>
    <d v="2016-10-29T00:00:00"/>
    <x v="1"/>
    <s v="HK-14890"/>
    <s v="Heather Kirkland"/>
    <x v="1"/>
    <s v="United States"/>
    <x v="9"/>
    <x v="8"/>
    <x v="3"/>
    <s v="FUR-FU-10001196"/>
    <x v="0"/>
    <x v="3"/>
    <s v="DAX Cubicle Frames - 8x10"/>
    <n v="16.155999999999999"/>
    <n v="7"/>
    <n v="-12.117000000000001"/>
    <x v="6"/>
    <x v="1"/>
  </r>
  <r>
    <s v="CA-2014-132612"/>
    <x v="2"/>
    <d v="2014-06-11T00:00:00"/>
    <x v="0"/>
    <s v="FO-14305"/>
    <s v="Frank Olsen"/>
    <x v="0"/>
    <s v="United States"/>
    <x v="95"/>
    <x v="25"/>
    <x v="0"/>
    <s v="FUR-TA-10004534"/>
    <x v="0"/>
    <x v="2"/>
    <s v="Bevis 44 x 96 Conference Tables"/>
    <n v="1441.3"/>
    <n v="7"/>
    <n v="245.02099999999999"/>
    <x v="3"/>
    <x v="2"/>
  </r>
  <r>
    <s v="US-2017-161193"/>
    <x v="93"/>
    <d v="2017-11-26T00:00:00"/>
    <x v="1"/>
    <s v="BT-11680"/>
    <s v="Brian Thompson"/>
    <x v="0"/>
    <s v="United States"/>
    <x v="19"/>
    <x v="15"/>
    <x v="2"/>
    <s v="FUR-FU-10001861"/>
    <x v="0"/>
    <x v="3"/>
    <s v="Floodlight Indoor Halogen Bulbs, 1 Bulb per Pack, 60 Watts"/>
    <n v="77.599999999999994"/>
    <n v="5"/>
    <n v="28.13"/>
    <x v="6"/>
    <x v="0"/>
  </r>
  <r>
    <s v="US-2017-161193"/>
    <x v="93"/>
    <d v="2017-11-26T00:00:00"/>
    <x v="1"/>
    <s v="BT-11680"/>
    <s v="Brian Thompson"/>
    <x v="0"/>
    <s v="United States"/>
    <x v="19"/>
    <x v="15"/>
    <x v="2"/>
    <s v="FUR-FU-10000206"/>
    <x v="0"/>
    <x v="3"/>
    <s v="GE General Purpose, Extra Long Life, Showcase &amp; Floodlight Incandescent Bulbs"/>
    <n v="4.6559999999999997"/>
    <n v="2"/>
    <n v="1.5713999999999999"/>
    <x v="6"/>
    <x v="0"/>
  </r>
  <r>
    <s v="CA-2015-131597"/>
    <x v="221"/>
    <d v="2015-09-18T00:00:00"/>
    <x v="1"/>
    <s v="SP-20620"/>
    <s v="Stefania Perrino"/>
    <x v="1"/>
    <s v="United States"/>
    <x v="2"/>
    <x v="2"/>
    <x v="1"/>
    <s v="FUR-TA-10002607"/>
    <x v="0"/>
    <x v="2"/>
    <s v="KI Conference Tables"/>
    <n v="170.136"/>
    <n v="3"/>
    <n v="-8.5068000000000001"/>
    <x v="4"/>
    <x v="4"/>
  </r>
  <r>
    <s v="US-2014-130379"/>
    <x v="284"/>
    <d v="2014-05-29T00:00:00"/>
    <x v="1"/>
    <s v="JL-15235"/>
    <s v="Janet Lee"/>
    <x v="0"/>
    <s v="United States"/>
    <x v="9"/>
    <x v="8"/>
    <x v="3"/>
    <s v="FUR-FU-10002553"/>
    <x v="0"/>
    <x v="3"/>
    <s v="Electrix Incandescent Magnifying Lamp, Black"/>
    <n v="29.32"/>
    <n v="2"/>
    <n v="-24.189"/>
    <x v="4"/>
    <x v="7"/>
  </r>
  <r>
    <s v="CA-2016-168956"/>
    <x v="285"/>
    <d v="2016-02-20T00:00:00"/>
    <x v="1"/>
    <s v="EA-14035"/>
    <s v="Erin Ashbrook"/>
    <x v="1"/>
    <s v="United States"/>
    <x v="9"/>
    <x v="8"/>
    <x v="3"/>
    <s v="FUR-CH-10004754"/>
    <x v="0"/>
    <x v="1"/>
    <s v="Global Stack Chair with Arms, Black"/>
    <n v="62.957999999999998"/>
    <n v="3"/>
    <n v="-2.6981999999999999"/>
    <x v="4"/>
    <x v="11"/>
  </r>
  <r>
    <s v="CA-2016-167507"/>
    <x v="286"/>
    <d v="2016-12-28T00:00:00"/>
    <x v="1"/>
    <s v="SA-20830"/>
    <s v="Sue Ann Reed"/>
    <x v="0"/>
    <s v="United States"/>
    <x v="125"/>
    <x v="36"/>
    <x v="1"/>
    <s v="FUR-FU-10001935"/>
    <x v="0"/>
    <x v="3"/>
    <s v="3M Hangers With Command Adhesive"/>
    <n v="11.84"/>
    <n v="4"/>
    <n v="3.1080000000000001"/>
    <x v="6"/>
    <x v="5"/>
  </r>
  <r>
    <s v="CA-2016-167507"/>
    <x v="286"/>
    <d v="2016-12-28T00:00:00"/>
    <x v="1"/>
    <s v="SA-20830"/>
    <s v="Sue Ann Reed"/>
    <x v="0"/>
    <s v="United States"/>
    <x v="125"/>
    <x v="36"/>
    <x v="1"/>
    <s v="FUR-FU-10002878"/>
    <x v="0"/>
    <x v="3"/>
    <s v="Seth Thomas 14&quot; Day/Date Wall Clock"/>
    <n v="22.783999999999999"/>
    <n v="1"/>
    <n v="4.8415999999999997"/>
    <x v="6"/>
    <x v="5"/>
  </r>
  <r>
    <s v="CA-2017-145884"/>
    <x v="85"/>
    <d v="2017-10-21T00:00:00"/>
    <x v="3"/>
    <s v="SL-20155"/>
    <s v="Sara Luxemburg"/>
    <x v="2"/>
    <s v="United States"/>
    <x v="126"/>
    <x v="37"/>
    <x v="3"/>
    <s v="FUR-TA-10002356"/>
    <x v="0"/>
    <x v="2"/>
    <s v="Bevis Boat-Shaped Conference Table"/>
    <n v="262.11"/>
    <n v="1"/>
    <n v="62.906399999999998"/>
    <x v="7"/>
    <x v="1"/>
  </r>
  <r>
    <s v="CA-2015-131422"/>
    <x v="287"/>
    <d v="2015-11-09T00:00:00"/>
    <x v="1"/>
    <s v="GB-14530"/>
    <s v="George Bell"/>
    <x v="1"/>
    <s v="United States"/>
    <x v="91"/>
    <x v="30"/>
    <x v="0"/>
    <s v="FUR-CH-10001270"/>
    <x v="0"/>
    <x v="1"/>
    <s v="Harbour Creations Steel Folding Chair"/>
    <n v="207"/>
    <n v="3"/>
    <n v="25.875"/>
    <x v="4"/>
    <x v="0"/>
  </r>
  <r>
    <s v="CA-2014-117345"/>
    <x v="288"/>
    <d v="2014-08-05T00:00:00"/>
    <x v="1"/>
    <s v="BF-10975"/>
    <s v="Barbara Fisher"/>
    <x v="1"/>
    <s v="United States"/>
    <x v="127"/>
    <x v="30"/>
    <x v="0"/>
    <s v="FUR-FU-10000629"/>
    <x v="0"/>
    <x v="3"/>
    <s v="9-3/4 Diameter Round Wall Clock"/>
    <n v="44.128"/>
    <n v="4"/>
    <n v="12.135199999999999"/>
    <x v="4"/>
    <x v="10"/>
  </r>
  <r>
    <s v="CA-2016-157763"/>
    <x v="196"/>
    <d v="2016-07-23T00:00:00"/>
    <x v="1"/>
    <s v="KH-16330"/>
    <s v="Katharine Harms"/>
    <x v="1"/>
    <s v="United States"/>
    <x v="128"/>
    <x v="0"/>
    <x v="0"/>
    <s v="FUR-CH-10000988"/>
    <x v="0"/>
    <x v="1"/>
    <s v="Hon Olson Stacker Stools"/>
    <n v="140.81"/>
    <n v="1"/>
    <n v="39.4268"/>
    <x v="2"/>
    <x v="3"/>
  </r>
  <r>
    <s v="CA-2015-135391"/>
    <x v="289"/>
    <d v="2015-02-11T00:00:00"/>
    <x v="0"/>
    <s v="FA-14230"/>
    <s v="Frank Atkinson"/>
    <x v="1"/>
    <s v="United States"/>
    <x v="21"/>
    <x v="5"/>
    <x v="3"/>
    <s v="FUR-FU-10001986"/>
    <x v="0"/>
    <x v="3"/>
    <s v="Dana Fluorescent Magnifying Lamp, White, 36&quot;"/>
    <n v="40.783999999999999"/>
    <n v="2"/>
    <n v="-30.588000000000001"/>
    <x v="3"/>
    <x v="11"/>
  </r>
  <r>
    <s v="US-2017-158512"/>
    <x v="290"/>
    <d v="2017-01-17T00:00:00"/>
    <x v="0"/>
    <s v="DA-13450"/>
    <s v="Dianna Arnett"/>
    <x v="2"/>
    <s v="United States"/>
    <x v="85"/>
    <x v="29"/>
    <x v="2"/>
    <s v="FUR-FU-10004973"/>
    <x v="0"/>
    <x v="3"/>
    <s v="Flat Face Poster Frame"/>
    <n v="37.68"/>
    <n v="2"/>
    <n v="15.8256"/>
    <x v="2"/>
    <x v="8"/>
  </r>
  <r>
    <s v="CA-2017-128370"/>
    <x v="291"/>
    <d v="2017-09-10T00:00:00"/>
    <x v="3"/>
    <s v="FH-14275"/>
    <s v="Frank Hawley"/>
    <x v="1"/>
    <s v="United States"/>
    <x v="2"/>
    <x v="2"/>
    <x v="1"/>
    <s v="FUR-CH-10002602"/>
    <x v="0"/>
    <x v="1"/>
    <s v="DMI Arturo Collection Mission-style Design Wood Chair"/>
    <n v="362.35199999999998"/>
    <n v="3"/>
    <n v="27.176400000000001"/>
    <x v="7"/>
    <x v="4"/>
  </r>
  <r>
    <s v="US-2017-121251"/>
    <x v="292"/>
    <d v="2017-03-27T00:00:00"/>
    <x v="2"/>
    <s v="GM-14440"/>
    <s v="Gary McGarr"/>
    <x v="0"/>
    <s v="United States"/>
    <x v="13"/>
    <x v="7"/>
    <x v="2"/>
    <s v="FUR-BO-10001918"/>
    <x v="0"/>
    <x v="0"/>
    <s v="Sauder Forest Hills Library with Doors, Woodland Oak Finish"/>
    <n v="257.56799999999998"/>
    <n v="2"/>
    <n v="-28.976400000000002"/>
    <x v="5"/>
    <x v="9"/>
  </r>
  <r>
    <s v="US-2016-100839"/>
    <x v="25"/>
    <d v="2016-10-17T00:00:00"/>
    <x v="1"/>
    <s v="NC-18625"/>
    <s v="Noah Childs"/>
    <x v="1"/>
    <s v="United States"/>
    <x v="14"/>
    <x v="12"/>
    <x v="1"/>
    <s v="FUR-TA-10004575"/>
    <x v="0"/>
    <x v="2"/>
    <s v="Hon 5100 Series Wood Tables"/>
    <n v="727.45"/>
    <n v="5"/>
    <n v="-465.56799999999998"/>
    <x v="4"/>
    <x v="1"/>
  </r>
  <r>
    <s v="US-2016-100839"/>
    <x v="25"/>
    <d v="2016-10-17T00:00:00"/>
    <x v="1"/>
    <s v="NC-18625"/>
    <s v="Noah Childs"/>
    <x v="1"/>
    <s v="United States"/>
    <x v="14"/>
    <x v="12"/>
    <x v="1"/>
    <s v="FUR-FU-10001617"/>
    <x v="0"/>
    <x v="3"/>
    <s v="Executive Impressions 8-1/2&quot; Career Panel/Partition Cubicle Clock"/>
    <n v="24.96"/>
    <n v="3"/>
    <n v="4.3680000000000003"/>
    <x v="4"/>
    <x v="1"/>
  </r>
  <r>
    <s v="CA-2017-118857"/>
    <x v="293"/>
    <d v="2017-04-18T00:00:00"/>
    <x v="2"/>
    <s v="AH-10075"/>
    <s v="Adam Hart"/>
    <x v="1"/>
    <s v="United States"/>
    <x v="0"/>
    <x v="34"/>
    <x v="1"/>
    <s v="FUR-FU-10004460"/>
    <x v="0"/>
    <x v="3"/>
    <s v="Howard Miller 12&quot; Round Wall Clock"/>
    <n v="196.45"/>
    <n v="5"/>
    <n v="70.721999999999994"/>
    <x v="0"/>
    <x v="6"/>
  </r>
  <r>
    <s v="CA-2014-116932"/>
    <x v="294"/>
    <d v="2014-07-25T00:00:00"/>
    <x v="1"/>
    <s v="ME-18010"/>
    <s v="Michelle Ellison"/>
    <x v="1"/>
    <s v="United States"/>
    <x v="28"/>
    <x v="2"/>
    <x v="1"/>
    <s v="FUR-CH-10001215"/>
    <x v="0"/>
    <x v="1"/>
    <s v="Global Troy Executive Leather Low-Back Tilter"/>
    <n v="801.56799999999998"/>
    <n v="2"/>
    <n v="50.097999999999999"/>
    <x v="4"/>
    <x v="3"/>
  </r>
  <r>
    <s v="CA-2014-116932"/>
    <x v="294"/>
    <d v="2014-07-25T00:00:00"/>
    <x v="1"/>
    <s v="ME-18010"/>
    <s v="Michelle Ellison"/>
    <x v="1"/>
    <s v="United States"/>
    <x v="28"/>
    <x v="2"/>
    <x v="1"/>
    <s v="FUR-TA-10004175"/>
    <x v="0"/>
    <x v="2"/>
    <s v="Hon 30&quot; x 60&quot; Table with Locking Drawer"/>
    <n v="272.84800000000001"/>
    <n v="1"/>
    <n v="27.284800000000001"/>
    <x v="4"/>
    <x v="3"/>
  </r>
  <r>
    <s v="CA-2017-142888"/>
    <x v="295"/>
    <d v="2017-11-25T00:00:00"/>
    <x v="1"/>
    <s v="BP-11230"/>
    <s v="Benjamin Patterson"/>
    <x v="0"/>
    <s v="United States"/>
    <x v="129"/>
    <x v="13"/>
    <x v="1"/>
    <s v="FUR-TA-10004767"/>
    <x v="0"/>
    <x v="2"/>
    <s v="Safco Drafting Table"/>
    <n v="70.98"/>
    <n v="1"/>
    <n v="20.584199999999999"/>
    <x v="4"/>
    <x v="0"/>
  </r>
  <r>
    <s v="US-2016-112977"/>
    <x v="296"/>
    <d v="2016-03-16T00:00:00"/>
    <x v="1"/>
    <s v="CJ-12010"/>
    <s v="Caroline Jumper"/>
    <x v="0"/>
    <s v="United States"/>
    <x v="62"/>
    <x v="7"/>
    <x v="2"/>
    <s v="FUR-BO-10003272"/>
    <x v="0"/>
    <x v="0"/>
    <s v="O'Sullivan Living Dimensions 5-Shelf Bookcases"/>
    <n v="176.78399999999999"/>
    <n v="1"/>
    <n v="-22.097999999999999"/>
    <x v="6"/>
    <x v="9"/>
  </r>
  <r>
    <s v="CA-2017-118885"/>
    <x v="297"/>
    <d v="2018-01-02T00:00:00"/>
    <x v="1"/>
    <s v="JG-15160"/>
    <s v="James Galang"/>
    <x v="0"/>
    <s v="United States"/>
    <x v="2"/>
    <x v="2"/>
    <x v="1"/>
    <s v="FUR-CH-10002880"/>
    <x v="0"/>
    <x v="1"/>
    <s v="Global High-Back Leather Tilter, Burgundy"/>
    <n v="393.56799999999998"/>
    <n v="4"/>
    <n v="-44.276400000000002"/>
    <x v="4"/>
    <x v="5"/>
  </r>
  <r>
    <s v="CA-2015-109512"/>
    <x v="298"/>
    <d v="2015-03-05T00:00:00"/>
    <x v="3"/>
    <s v="LF-17185"/>
    <s v="Luke Foster"/>
    <x v="0"/>
    <s v="United States"/>
    <x v="13"/>
    <x v="7"/>
    <x v="2"/>
    <s v="FUR-CH-10001146"/>
    <x v="0"/>
    <x v="1"/>
    <s v="Global Value Mid-Back Manager's Chair, Gray"/>
    <n v="383.60700000000003"/>
    <n v="7"/>
    <n v="63.9345"/>
    <x v="7"/>
    <x v="9"/>
  </r>
  <r>
    <s v="CA-2016-147578"/>
    <x v="74"/>
    <d v="2016-04-26T00:00:00"/>
    <x v="0"/>
    <s v="PG-18895"/>
    <s v="Paul Gonzalez"/>
    <x v="0"/>
    <s v="United States"/>
    <x v="28"/>
    <x v="2"/>
    <x v="1"/>
    <s v="FUR-FU-10001889"/>
    <x v="0"/>
    <x v="3"/>
    <s v="Ultra Door Pull Handle"/>
    <n v="31.56"/>
    <n v="3"/>
    <n v="10.4148"/>
    <x v="4"/>
    <x v="6"/>
  </r>
  <r>
    <s v="CA-2014-142587"/>
    <x v="299"/>
    <d v="2014-10-22T00:00:00"/>
    <x v="2"/>
    <s v="TB-21520"/>
    <s v="Tracy Blumstein"/>
    <x v="0"/>
    <s v="United States"/>
    <x v="130"/>
    <x v="15"/>
    <x v="2"/>
    <s v="FUR-TA-10000617"/>
    <x v="0"/>
    <x v="2"/>
    <s v="Hon Practical Foundations 30 x 60 Training Table, Light Gray/Charcoal"/>
    <n v="409.59"/>
    <n v="3"/>
    <n v="-122.877"/>
    <x v="5"/>
    <x v="1"/>
  </r>
  <r>
    <s v="CA-2014-169775"/>
    <x v="300"/>
    <d v="2014-09-02T00:00:00"/>
    <x v="0"/>
    <s v="RA-19945"/>
    <s v="Ryan Akin"/>
    <x v="0"/>
    <s v="United States"/>
    <x v="89"/>
    <x v="1"/>
    <x v="0"/>
    <s v="FUR-TA-10001857"/>
    <x v="0"/>
    <x v="2"/>
    <s v="Balt Solid Wood Rectangular Table"/>
    <n v="174.05850000000001"/>
    <n v="3"/>
    <n v="-110.7645"/>
    <x v="4"/>
    <x v="10"/>
  </r>
  <r>
    <s v="CA-2017-167094"/>
    <x v="85"/>
    <d v="2017-10-22T00:00:00"/>
    <x v="2"/>
    <s v="DK-12835"/>
    <s v="Damala Kotsonis"/>
    <x v="1"/>
    <s v="United States"/>
    <x v="76"/>
    <x v="36"/>
    <x v="1"/>
    <s v="FUR-CH-10000155"/>
    <x v="0"/>
    <x v="1"/>
    <s v="Global Comet Stacking Armless Chair"/>
    <n v="478.48"/>
    <n v="2"/>
    <n v="47.847999999999999"/>
    <x v="5"/>
    <x v="1"/>
  </r>
  <r>
    <s v="CA-2015-157959"/>
    <x v="136"/>
    <d v="2015-02-04T00:00:00"/>
    <x v="2"/>
    <s v="RW-19540"/>
    <s v="Rick Wilson"/>
    <x v="1"/>
    <s v="United States"/>
    <x v="2"/>
    <x v="2"/>
    <x v="1"/>
    <s v="FUR-FU-10004093"/>
    <x v="0"/>
    <x v="3"/>
    <s v="Hand-Finished Solid Wood Document Frame"/>
    <n v="136.91999999999999"/>
    <n v="4"/>
    <n v="41.076000000000001"/>
    <x v="5"/>
    <x v="11"/>
  </r>
  <r>
    <s v="CA-2017-105886"/>
    <x v="186"/>
    <d v="2017-12-23T00:00:00"/>
    <x v="1"/>
    <s v="DB-13660"/>
    <s v="Duane Benoit"/>
    <x v="0"/>
    <s v="United States"/>
    <x v="64"/>
    <x v="7"/>
    <x v="2"/>
    <s v="FUR-FU-10001037"/>
    <x v="0"/>
    <x v="3"/>
    <s v="DAX Charcoal/Nickel-Tone Document Frame, 5 x 7"/>
    <n v="18.96"/>
    <n v="2"/>
    <n v="8.532"/>
    <x v="2"/>
    <x v="5"/>
  </r>
  <r>
    <s v="US-2017-111423"/>
    <x v="301"/>
    <d v="2017-08-19T00:00:00"/>
    <x v="2"/>
    <s v="EH-13765"/>
    <s v="Edward Hooks"/>
    <x v="1"/>
    <s v="United States"/>
    <x v="115"/>
    <x v="7"/>
    <x v="2"/>
    <s v="FUR-CH-10003981"/>
    <x v="0"/>
    <x v="1"/>
    <s v="Global Commerce Series Low-Back Swivel/Tilt Chairs"/>
    <n v="462.56400000000002"/>
    <n v="2"/>
    <n v="97.6524"/>
    <x v="3"/>
    <x v="10"/>
  </r>
  <r>
    <s v="CA-2017-161200"/>
    <x v="302"/>
    <d v="2017-08-10T00:00:00"/>
    <x v="0"/>
    <s v="SV-20365"/>
    <s v="Seth Vernon"/>
    <x v="0"/>
    <s v="United States"/>
    <x v="120"/>
    <x v="35"/>
    <x v="0"/>
    <s v="FUR-BO-10000468"/>
    <x v="0"/>
    <x v="0"/>
    <s v="O'Sullivan 2-Shelf Heavy-Duty Bookcases"/>
    <n v="145.74"/>
    <n v="3"/>
    <n v="23.3184"/>
    <x v="4"/>
    <x v="10"/>
  </r>
  <r>
    <s v="CA-2017-161200"/>
    <x v="302"/>
    <d v="2017-08-10T00:00:00"/>
    <x v="0"/>
    <s v="SV-20365"/>
    <s v="Seth Vernon"/>
    <x v="0"/>
    <s v="United States"/>
    <x v="120"/>
    <x v="35"/>
    <x v="0"/>
    <s v="FUR-FU-10001706"/>
    <x v="0"/>
    <x v="3"/>
    <s v="Longer-Life Soft White Bulbs"/>
    <n v="15.4"/>
    <n v="5"/>
    <n v="7.3920000000000003"/>
    <x v="4"/>
    <x v="10"/>
  </r>
  <r>
    <s v="CA-2015-141768"/>
    <x v="303"/>
    <d v="2015-05-27T00:00:00"/>
    <x v="0"/>
    <s v="NP-18685"/>
    <s v="Nora Pelletier"/>
    <x v="2"/>
    <s v="United States"/>
    <x v="28"/>
    <x v="2"/>
    <x v="1"/>
    <s v="FUR-FU-10002268"/>
    <x v="0"/>
    <x v="3"/>
    <s v="Ultra Door Push Plate"/>
    <n v="14.73"/>
    <n v="3"/>
    <n v="4.8609"/>
    <x v="3"/>
    <x v="7"/>
  </r>
  <r>
    <s v="CA-2016-112109"/>
    <x v="304"/>
    <d v="2016-07-12T00:00:00"/>
    <x v="1"/>
    <s v="JE-15715"/>
    <s v="Joe Elijah"/>
    <x v="0"/>
    <s v="United States"/>
    <x v="131"/>
    <x v="12"/>
    <x v="1"/>
    <s v="FUR-CH-10004287"/>
    <x v="0"/>
    <x v="1"/>
    <s v="SAFCO Arco Folding Chair"/>
    <n v="662.88"/>
    <n v="3"/>
    <n v="74.573999999999998"/>
    <x v="4"/>
    <x v="3"/>
  </r>
  <r>
    <s v="CA-2017-157987"/>
    <x v="113"/>
    <d v="2017-09-06T00:00:00"/>
    <x v="1"/>
    <s v="AC-10615"/>
    <s v="Ann Chong"/>
    <x v="1"/>
    <s v="United States"/>
    <x v="13"/>
    <x v="7"/>
    <x v="2"/>
    <s v="FUR-FU-10001196"/>
    <x v="0"/>
    <x v="3"/>
    <s v="DAX Cubicle Frames - 8x10"/>
    <n v="11.54"/>
    <n v="2"/>
    <n v="3.4620000000000002"/>
    <x v="4"/>
    <x v="4"/>
  </r>
  <r>
    <s v="CA-2017-157987"/>
    <x v="113"/>
    <d v="2017-09-06T00:00:00"/>
    <x v="1"/>
    <s v="AC-10615"/>
    <s v="Ann Chong"/>
    <x v="1"/>
    <s v="United States"/>
    <x v="13"/>
    <x v="7"/>
    <x v="2"/>
    <s v="FUR-TA-10001889"/>
    <x v="0"/>
    <x v="2"/>
    <s v="Bush Advantage Collection Racetrack Conference Table"/>
    <n v="254.52600000000001"/>
    <n v="1"/>
    <n v="-93.3262"/>
    <x v="4"/>
    <x v="4"/>
  </r>
  <r>
    <s v="CA-2017-157987"/>
    <x v="113"/>
    <d v="2017-09-06T00:00:00"/>
    <x v="1"/>
    <s v="AC-10615"/>
    <s v="Ann Chong"/>
    <x v="1"/>
    <s v="United States"/>
    <x v="13"/>
    <x v="7"/>
    <x v="2"/>
    <s v="FUR-CH-10003379"/>
    <x v="0"/>
    <x v="1"/>
    <s v="Global Commerce Series High-Back Swivel/Tilt Chairs"/>
    <n v="1282.4100000000001"/>
    <n v="5"/>
    <n v="213.73500000000001"/>
    <x v="4"/>
    <x v="4"/>
  </r>
  <r>
    <s v="CA-2014-110408"/>
    <x v="305"/>
    <d v="2014-10-20T00:00:00"/>
    <x v="0"/>
    <s v="AS-10225"/>
    <s v="Alan Schoenberger"/>
    <x v="1"/>
    <s v="United States"/>
    <x v="132"/>
    <x v="33"/>
    <x v="0"/>
    <s v="FUR-CH-10003774"/>
    <x v="0"/>
    <x v="1"/>
    <s v="Global Wood Trimmed Manager's Task Chair, Khaki"/>
    <n v="545.88"/>
    <n v="6"/>
    <n v="70.964399999999998"/>
    <x v="3"/>
    <x v="1"/>
  </r>
  <r>
    <s v="CA-2016-112669"/>
    <x v="65"/>
    <d v="2016-04-14T00:00:00"/>
    <x v="3"/>
    <s v="KT-16465"/>
    <s v="Kean Takahito"/>
    <x v="0"/>
    <s v="United States"/>
    <x v="110"/>
    <x v="22"/>
    <x v="1"/>
    <s v="FUR-CH-10004086"/>
    <x v="0"/>
    <x v="1"/>
    <s v="Hon 4070 Series Pagoda Armless Upholstered Stacking Chairs"/>
    <n v="933.53599999999994"/>
    <n v="4"/>
    <n v="105.0228"/>
    <x v="7"/>
    <x v="6"/>
  </r>
  <r>
    <s v="CA-2014-164721"/>
    <x v="306"/>
    <d v="2014-11-27T00:00:00"/>
    <x v="0"/>
    <s v="LW-16825"/>
    <s v="Laurel Workman"/>
    <x v="1"/>
    <s v="United States"/>
    <x v="133"/>
    <x v="2"/>
    <x v="1"/>
    <s v="FUR-FU-10001940"/>
    <x v="0"/>
    <x v="3"/>
    <s v="Staple-based wall hangings"/>
    <n v="23.88"/>
    <n v="3"/>
    <n v="10.507199999999999"/>
    <x v="3"/>
    <x v="0"/>
  </r>
  <r>
    <s v="CA-2015-127509"/>
    <x v="307"/>
    <d v="2015-11-13T00:00:00"/>
    <x v="1"/>
    <s v="AS-10090"/>
    <s v="Adam Shillingsburg"/>
    <x v="0"/>
    <s v="United States"/>
    <x v="76"/>
    <x v="23"/>
    <x v="3"/>
    <s v="FUR-TA-10002855"/>
    <x v="0"/>
    <x v="2"/>
    <s v="Bevis Round Conference Table Top &amp; Single Column Base"/>
    <n v="1024.3800000000001"/>
    <n v="7"/>
    <n v="215.1198"/>
    <x v="4"/>
    <x v="0"/>
  </r>
  <r>
    <s v="US-2017-147221"/>
    <x v="308"/>
    <d v="2017-12-04T00:00:00"/>
    <x v="0"/>
    <s v="JS-16030"/>
    <s v="Joy Smith"/>
    <x v="0"/>
    <s v="United States"/>
    <x v="6"/>
    <x v="5"/>
    <x v="3"/>
    <s v="FUR-FU-10004020"/>
    <x v="0"/>
    <x v="3"/>
    <s v="Advantus Panel Wall Acrylic Frame"/>
    <n v="8.7520000000000007"/>
    <n v="4"/>
    <n v="-3.7195999999999998"/>
    <x v="3"/>
    <x v="5"/>
  </r>
  <r>
    <s v="CA-2017-163510"/>
    <x v="19"/>
    <d v="2017-12-28T00:00:00"/>
    <x v="0"/>
    <s v="JW-15955"/>
    <s v="Joni Wasserman"/>
    <x v="0"/>
    <s v="United States"/>
    <x v="74"/>
    <x v="0"/>
    <x v="0"/>
    <s v="FUR-CH-10001146"/>
    <x v="0"/>
    <x v="1"/>
    <s v="Global Value Mid-Back Manager's Chair, Gray"/>
    <n v="304.45"/>
    <n v="5"/>
    <n v="76.112499999999997"/>
    <x v="0"/>
    <x v="5"/>
  </r>
  <r>
    <s v="CA-2017-165386"/>
    <x v="309"/>
    <d v="2017-08-04T00:00:00"/>
    <x v="2"/>
    <s v="CM-12190"/>
    <s v="Charlotte Melton"/>
    <x v="0"/>
    <s v="United States"/>
    <x v="9"/>
    <x v="8"/>
    <x v="3"/>
    <s v="FUR-BO-10003034"/>
    <x v="0"/>
    <x v="0"/>
    <s v="O'Sullivan Elevations Bookcase, Cherry Finish"/>
    <n v="183.37200000000001"/>
    <n v="2"/>
    <n v="-36.674399999999999"/>
    <x v="5"/>
    <x v="10"/>
  </r>
  <r>
    <s v="CA-2016-145905"/>
    <x v="126"/>
    <d v="2016-09-23T00:00:00"/>
    <x v="1"/>
    <s v="AM-10705"/>
    <s v="Anne McFarland"/>
    <x v="0"/>
    <s v="United States"/>
    <x v="83"/>
    <x v="33"/>
    <x v="0"/>
    <s v="FUR-CH-10001854"/>
    <x v="0"/>
    <x v="1"/>
    <s v="Office Star - Professional Matrix Back Chair with 2-to-1 Synchro Tilt and Mesh Fabric Seat"/>
    <n v="350.98"/>
    <n v="1"/>
    <n v="84.235200000000006"/>
    <x v="2"/>
    <x v="4"/>
  </r>
  <r>
    <s v="CA-2016-168354"/>
    <x v="107"/>
    <d v="2016-09-21T00:00:00"/>
    <x v="2"/>
    <s v="RH-19510"/>
    <s v="Rick Huthwaite"/>
    <x v="2"/>
    <s v="United States"/>
    <x v="134"/>
    <x v="38"/>
    <x v="2"/>
    <s v="FUR-CH-10004675"/>
    <x v="0"/>
    <x v="1"/>
    <s v="Lifetime Advantage Folding Chairs, 4/Carton"/>
    <n v="872.32"/>
    <n v="4"/>
    <n v="244.24959999999999"/>
    <x v="3"/>
    <x v="4"/>
  </r>
  <r>
    <s v="CA-2015-114237"/>
    <x v="310"/>
    <d v="2015-03-15T00:00:00"/>
    <x v="2"/>
    <s v="MC-17275"/>
    <s v="Marc Crier"/>
    <x v="0"/>
    <s v="United States"/>
    <x v="15"/>
    <x v="13"/>
    <x v="1"/>
    <s v="FUR-BO-10004409"/>
    <x v="0"/>
    <x v="0"/>
    <s v="Safco Value Mate Series Steel Bookcases, Baked Enamel Finish on Steel, Gray"/>
    <n v="141.96"/>
    <n v="2"/>
    <n v="39.748800000000003"/>
    <x v="3"/>
    <x v="9"/>
  </r>
  <r>
    <s v="CA-2017-162481"/>
    <x v="58"/>
    <d v="2017-09-29T00:00:00"/>
    <x v="1"/>
    <s v="CT-11995"/>
    <s v="Carol Triggs"/>
    <x v="0"/>
    <s v="United States"/>
    <x v="77"/>
    <x v="11"/>
    <x v="3"/>
    <s v="FUR-CH-10003061"/>
    <x v="0"/>
    <x v="1"/>
    <s v="Global Leather Task Chair, Black"/>
    <n v="269.97000000000003"/>
    <n v="3"/>
    <n v="51.2943"/>
    <x v="4"/>
    <x v="4"/>
  </r>
  <r>
    <s v="CA-2015-122287"/>
    <x v="311"/>
    <d v="2015-06-23T00:00:00"/>
    <x v="1"/>
    <s v="SN-20560"/>
    <s v="Skye Norling"/>
    <x v="2"/>
    <s v="United States"/>
    <x v="117"/>
    <x v="22"/>
    <x v="1"/>
    <s v="FUR-FU-10004973"/>
    <x v="0"/>
    <x v="3"/>
    <s v="Flat Face Poster Frame"/>
    <n v="75.36"/>
    <n v="5"/>
    <n v="20.724"/>
    <x v="2"/>
    <x v="2"/>
  </r>
  <r>
    <s v="CA-2015-142237"/>
    <x v="312"/>
    <d v="2015-07-13T00:00:00"/>
    <x v="2"/>
    <s v="CK-12595"/>
    <s v="Clytie Kelty"/>
    <x v="0"/>
    <s v="United States"/>
    <x v="3"/>
    <x v="3"/>
    <x v="2"/>
    <s v="FUR-FU-10004848"/>
    <x v="0"/>
    <x v="3"/>
    <s v="Howard Miller 13-3/4&quot; Diameter Brushed Chrome Round Wall Clock"/>
    <n v="289.8"/>
    <n v="7"/>
    <n v="36.225000000000001"/>
    <x v="3"/>
    <x v="3"/>
  </r>
  <r>
    <s v="CA-2015-142237"/>
    <x v="312"/>
    <d v="2015-07-13T00:00:00"/>
    <x v="2"/>
    <s v="CK-12595"/>
    <s v="Clytie Kelty"/>
    <x v="0"/>
    <s v="United States"/>
    <x v="3"/>
    <x v="3"/>
    <x v="2"/>
    <s v="FUR-CH-10003833"/>
    <x v="0"/>
    <x v="1"/>
    <s v="Novimex Fabric Task Chair"/>
    <n v="341.488"/>
    <n v="8"/>
    <n v="-73.176000000000002"/>
    <x v="3"/>
    <x v="3"/>
  </r>
  <r>
    <s v="CA-2015-142237"/>
    <x v="312"/>
    <d v="2015-07-13T00:00:00"/>
    <x v="2"/>
    <s v="CK-12595"/>
    <s v="Clytie Kelty"/>
    <x v="0"/>
    <s v="United States"/>
    <x v="3"/>
    <x v="3"/>
    <x v="2"/>
    <s v="FUR-FU-10003142"/>
    <x v="0"/>
    <x v="3"/>
    <s v="Master Big Foot Doorstop, Beige"/>
    <n v="25.344000000000001"/>
    <n v="6"/>
    <n v="3.4847999999999999"/>
    <x v="3"/>
    <x v="3"/>
  </r>
  <r>
    <s v="CA-2016-136434"/>
    <x v="193"/>
    <d v="2016-12-07T00:00:00"/>
    <x v="1"/>
    <s v="RD-19480"/>
    <s v="Rick Duston"/>
    <x v="0"/>
    <s v="United States"/>
    <x v="52"/>
    <x v="6"/>
    <x v="3"/>
    <s v="FUR-FU-10001196"/>
    <x v="0"/>
    <x v="3"/>
    <s v="DAX Cubicle Frames - 8x10"/>
    <n v="17.309999999999999"/>
    <n v="3"/>
    <n v="5.1929999999999996"/>
    <x v="6"/>
    <x v="5"/>
  </r>
  <r>
    <s v="CA-2017-120376"/>
    <x v="313"/>
    <d v="2017-12-25T00:00:00"/>
    <x v="2"/>
    <s v="TP-21130"/>
    <s v="Theone Pippenger"/>
    <x v="0"/>
    <s v="United States"/>
    <x v="25"/>
    <x v="17"/>
    <x v="3"/>
    <s v="FUR-CH-10002335"/>
    <x v="0"/>
    <x v="1"/>
    <s v="Hon GuestStacker Chair"/>
    <n v="1586.69"/>
    <n v="7"/>
    <n v="412.5394"/>
    <x v="0"/>
    <x v="5"/>
  </r>
  <r>
    <s v="CA-2017-120376"/>
    <x v="313"/>
    <d v="2017-12-25T00:00:00"/>
    <x v="2"/>
    <s v="TP-21130"/>
    <s v="Theone Pippenger"/>
    <x v="0"/>
    <s v="United States"/>
    <x v="25"/>
    <x v="17"/>
    <x v="3"/>
    <s v="FUR-TA-10004534"/>
    <x v="0"/>
    <x v="2"/>
    <s v="Bevis 44 x 96 Conference Tables"/>
    <n v="411.8"/>
    <n v="2"/>
    <n v="70.006"/>
    <x v="0"/>
    <x v="5"/>
  </r>
  <r>
    <s v="CA-2014-106439"/>
    <x v="314"/>
    <d v="2014-11-04T00:00:00"/>
    <x v="1"/>
    <s v="GG-14650"/>
    <s v="Greg Guthrie"/>
    <x v="1"/>
    <s v="United States"/>
    <x v="2"/>
    <x v="2"/>
    <x v="1"/>
    <s v="FUR-CH-10003833"/>
    <x v="0"/>
    <x v="1"/>
    <s v="Novimex Fabric Task Chair"/>
    <n v="146.352"/>
    <n v="3"/>
    <n v="-9.1470000000000002"/>
    <x v="4"/>
    <x v="1"/>
  </r>
  <r>
    <s v="CA-2015-133452"/>
    <x v="315"/>
    <d v="2015-04-19T00:00:00"/>
    <x v="1"/>
    <s v="ZC-21910"/>
    <s v="Zuschuss Carroll"/>
    <x v="0"/>
    <s v="United States"/>
    <x v="135"/>
    <x v="2"/>
    <x v="1"/>
    <s v="FUR-TA-10003954"/>
    <x v="0"/>
    <x v="2"/>
    <s v="Hon 94000 Series Round Tables"/>
    <n v="710.83199999999999"/>
    <n v="3"/>
    <n v="-97.739400000000003"/>
    <x v="6"/>
    <x v="6"/>
  </r>
  <r>
    <s v="US-2017-110996"/>
    <x v="93"/>
    <d v="2017-11-25T00:00:00"/>
    <x v="1"/>
    <s v="KA-16525"/>
    <s v="Kelly Andreada"/>
    <x v="0"/>
    <s v="United States"/>
    <x v="136"/>
    <x v="2"/>
    <x v="1"/>
    <s v="FUR-CH-10003956"/>
    <x v="0"/>
    <x v="1"/>
    <s v="Novimex High-Tech Fabric Mesh Task Chair"/>
    <n v="283.92"/>
    <n v="5"/>
    <n v="-46.137"/>
    <x v="2"/>
    <x v="0"/>
  </r>
  <r>
    <s v="CA-2014-131051"/>
    <x v="280"/>
    <d v="2014-12-05T00:00:00"/>
    <x v="1"/>
    <s v="TR-21325"/>
    <s v="Toby Ritter"/>
    <x v="0"/>
    <s v="United States"/>
    <x v="28"/>
    <x v="2"/>
    <x v="1"/>
    <s v="FUR-FU-10001861"/>
    <x v="0"/>
    <x v="3"/>
    <s v="Floodlight Indoor Halogen Bulbs, 1 Bulb per Pack, 60 Watts"/>
    <n v="58.2"/>
    <n v="3"/>
    <n v="28.518000000000001"/>
    <x v="4"/>
    <x v="5"/>
  </r>
  <r>
    <s v="CA-2015-120103"/>
    <x v="37"/>
    <d v="2015-12-29T00:00:00"/>
    <x v="1"/>
    <s v="MS-17365"/>
    <s v="Maribeth Schnelling"/>
    <x v="0"/>
    <s v="United States"/>
    <x v="43"/>
    <x v="22"/>
    <x v="1"/>
    <s v="FUR-FU-10002885"/>
    <x v="0"/>
    <x v="3"/>
    <s v="Magna Visual Magnetic Picture Hangers"/>
    <n v="7.7119999999999997"/>
    <n v="2"/>
    <n v="1.7352000000000001"/>
    <x v="2"/>
    <x v="5"/>
  </r>
  <r>
    <s v="CA-2017-166142"/>
    <x v="316"/>
    <d v="2017-07-19T00:00:00"/>
    <x v="1"/>
    <s v="MM-17260"/>
    <s v="Magdelene Morse"/>
    <x v="0"/>
    <s v="United States"/>
    <x v="16"/>
    <x v="14"/>
    <x v="2"/>
    <s v="FUR-TA-10004607"/>
    <x v="0"/>
    <x v="2"/>
    <s v="Hon 2111 Invitation Series Straight Table"/>
    <n v="310.44299999999998"/>
    <n v="3"/>
    <n v="-48.783900000000003"/>
    <x v="4"/>
    <x v="3"/>
  </r>
  <r>
    <s v="CA-2014-145926"/>
    <x v="317"/>
    <d v="2014-11-21T00:00:00"/>
    <x v="1"/>
    <s v="MP-17470"/>
    <s v="Mark Packer"/>
    <x v="2"/>
    <s v="United States"/>
    <x v="137"/>
    <x v="11"/>
    <x v="3"/>
    <s v="FUR-CH-10004289"/>
    <x v="0"/>
    <x v="1"/>
    <s v="Global Super Steno Chair"/>
    <n v="479.9"/>
    <n v="5"/>
    <n v="81.582999999999998"/>
    <x v="4"/>
    <x v="0"/>
  </r>
  <r>
    <s v="CA-2014-123295"/>
    <x v="318"/>
    <d v="2014-07-18T00:00:00"/>
    <x v="3"/>
    <s v="AH-10120"/>
    <s v="Adrian Hane"/>
    <x v="2"/>
    <s v="United States"/>
    <x v="104"/>
    <x v="22"/>
    <x v="1"/>
    <s v="FUR-CH-10002372"/>
    <x v="0"/>
    <x v="1"/>
    <s v="Office Star - Ergonomically Designed Knee Chair"/>
    <n v="259.13600000000002"/>
    <n v="4"/>
    <n v="-25.913599999999999"/>
    <x v="7"/>
    <x v="3"/>
  </r>
  <r>
    <s v="CA-2015-164882"/>
    <x v="319"/>
    <d v="2015-10-31T00:00:00"/>
    <x v="3"/>
    <s v="SG-20080"/>
    <s v="Sandra Glassco"/>
    <x v="0"/>
    <s v="United States"/>
    <x v="138"/>
    <x v="2"/>
    <x v="1"/>
    <s v="FUR-CH-10004218"/>
    <x v="0"/>
    <x v="1"/>
    <s v="Global Fabric Manager's Chair, Dark Gray"/>
    <n v="323.13600000000002"/>
    <n v="4"/>
    <n v="20.196000000000002"/>
    <x v="7"/>
    <x v="1"/>
  </r>
  <r>
    <s v="CA-2015-164882"/>
    <x v="319"/>
    <d v="2015-10-31T00:00:00"/>
    <x v="3"/>
    <s v="SG-20080"/>
    <s v="Sandra Glassco"/>
    <x v="0"/>
    <s v="United States"/>
    <x v="138"/>
    <x v="2"/>
    <x v="1"/>
    <s v="FUR-BO-10002213"/>
    <x v="0"/>
    <x v="0"/>
    <s v="DMI Eclipse Executive Suite Bookcases"/>
    <n v="425.83300000000003"/>
    <n v="1"/>
    <n v="20.039200000000001"/>
    <x v="7"/>
    <x v="1"/>
  </r>
  <r>
    <s v="CA-2015-159786"/>
    <x v="33"/>
    <d v="2015-10-17T00:00:00"/>
    <x v="0"/>
    <s v="RK-19300"/>
    <s v="Ralph Kennedy"/>
    <x v="0"/>
    <s v="United States"/>
    <x v="77"/>
    <x v="7"/>
    <x v="2"/>
    <s v="FUR-TA-10001307"/>
    <x v="0"/>
    <x v="2"/>
    <s v="SAFCO PlanMaster Heigh-Adjustable Drafting Table Base, 43w x 30d x 30-37h, Black"/>
    <n v="209.67"/>
    <n v="1"/>
    <n v="-13.978"/>
    <x v="2"/>
    <x v="1"/>
  </r>
  <r>
    <s v="CA-2017-158246"/>
    <x v="17"/>
    <d v="2017-11-11T00:00:00"/>
    <x v="2"/>
    <s v="JB-15400"/>
    <s v="Jennifer Braxton"/>
    <x v="1"/>
    <s v="United States"/>
    <x v="139"/>
    <x v="2"/>
    <x v="1"/>
    <s v="FUR-CH-10003061"/>
    <x v="0"/>
    <x v="1"/>
    <s v="Global Leather Task Chair, Black"/>
    <n v="215.976"/>
    <n v="3"/>
    <n v="-2.6997"/>
    <x v="3"/>
    <x v="0"/>
  </r>
  <r>
    <s v="CA-2017-167381"/>
    <x v="320"/>
    <d v="2017-09-24T00:00:00"/>
    <x v="0"/>
    <s v="EH-14005"/>
    <s v="Erica Hernandez"/>
    <x v="2"/>
    <s v="United States"/>
    <x v="140"/>
    <x v="17"/>
    <x v="3"/>
    <s v="FUR-BO-10001972"/>
    <x v="0"/>
    <x v="0"/>
    <s v="O'Sullivan 4-Shelf Bookcase in Odessa Pine"/>
    <n v="241.96"/>
    <n v="2"/>
    <n v="41.133200000000002"/>
    <x v="3"/>
    <x v="4"/>
  </r>
  <r>
    <s v="CA-2015-134859"/>
    <x v="103"/>
    <d v="2015-10-09T00:00:00"/>
    <x v="1"/>
    <s v="JK-16120"/>
    <s v="Julie Kriz"/>
    <x v="2"/>
    <s v="United States"/>
    <x v="3"/>
    <x v="3"/>
    <x v="2"/>
    <s v="FUR-FU-10003623"/>
    <x v="0"/>
    <x v="3"/>
    <s v="DataProducts Ampli Magnifier Task Lamp, Black,"/>
    <n v="64.944000000000003"/>
    <n v="3"/>
    <n v="6.4943999999999997"/>
    <x v="2"/>
    <x v="1"/>
  </r>
  <r>
    <s v="US-2014-114188"/>
    <x v="321"/>
    <d v="2014-05-22T00:00:00"/>
    <x v="0"/>
    <s v="RF-19345"/>
    <s v="Randy Ferguson"/>
    <x v="1"/>
    <s v="United States"/>
    <x v="63"/>
    <x v="28"/>
    <x v="2"/>
    <s v="FUR-FU-10000076"/>
    <x v="0"/>
    <x v="3"/>
    <s v="24-Hour Round Wall Clock"/>
    <n v="139.86000000000001"/>
    <n v="7"/>
    <n v="60.139800000000001"/>
    <x v="3"/>
    <x v="7"/>
  </r>
  <r>
    <s v="CA-2015-156377"/>
    <x v="322"/>
    <d v="2016-01-05T00:00:00"/>
    <x v="1"/>
    <s v="TB-21625"/>
    <s v="Trudy Brown"/>
    <x v="0"/>
    <s v="United States"/>
    <x v="141"/>
    <x v="5"/>
    <x v="3"/>
    <s v="FUR-FU-10002364"/>
    <x v="0"/>
    <x v="3"/>
    <s v="Eldon Expressions Wood Desk Accessories, Oak"/>
    <n v="14.76"/>
    <n v="5"/>
    <n v="-11.439"/>
    <x v="2"/>
    <x v="5"/>
  </r>
  <r>
    <s v="CA-2014-159520"/>
    <x v="323"/>
    <d v="2014-06-11T00:00:00"/>
    <x v="1"/>
    <s v="GT-14635"/>
    <s v="Grant Thornton"/>
    <x v="1"/>
    <s v="United States"/>
    <x v="62"/>
    <x v="7"/>
    <x v="2"/>
    <s v="FUR-TA-10003238"/>
    <x v="0"/>
    <x v="2"/>
    <s v="Chromcraft Bull-Nose Wood 48&quot; x 96&quot; Rectangular Conference Tables"/>
    <n v="991.76400000000001"/>
    <n v="3"/>
    <n v="-347.11739999999998"/>
    <x v="2"/>
    <x v="2"/>
  </r>
  <r>
    <s v="US-2016-152051"/>
    <x v="324"/>
    <d v="2016-06-29T00:00:00"/>
    <x v="1"/>
    <s v="TS-21160"/>
    <s v="Theresa Swint"/>
    <x v="1"/>
    <s v="United States"/>
    <x v="142"/>
    <x v="3"/>
    <x v="2"/>
    <s v="FUR-CH-10002965"/>
    <x v="0"/>
    <x v="1"/>
    <s v="Global Leather Highback Executive Chair with Pneumatic Height Adjustment, Black"/>
    <n v="422.05799999999999"/>
    <n v="3"/>
    <n v="-18.088200000000001"/>
    <x v="4"/>
    <x v="2"/>
  </r>
  <r>
    <s v="CA-2014-141607"/>
    <x v="202"/>
    <d v="2014-12-17T00:00:00"/>
    <x v="1"/>
    <s v="WB-21850"/>
    <s v="William Brown"/>
    <x v="0"/>
    <s v="United States"/>
    <x v="41"/>
    <x v="2"/>
    <x v="1"/>
    <s v="FUR-FU-10003975"/>
    <x v="0"/>
    <x v="3"/>
    <s v="Eldon Advantage Chair Mats for Low to Medium Pile Carpets"/>
    <n v="43.31"/>
    <n v="1"/>
    <n v="4.3310000000000004"/>
    <x v="2"/>
    <x v="5"/>
  </r>
  <r>
    <s v="US-2017-139969"/>
    <x v="49"/>
    <d v="2017-11-26T00:00:00"/>
    <x v="1"/>
    <s v="AF-10870"/>
    <s v="Art Ferguson"/>
    <x v="0"/>
    <s v="United States"/>
    <x v="143"/>
    <x v="5"/>
    <x v="3"/>
    <s v="FUR-CH-10001973"/>
    <x v="0"/>
    <x v="1"/>
    <s v="Office Star Flex Back Scooter Chair with White Frame"/>
    <n v="233.05799999999999"/>
    <n v="3"/>
    <n v="-53.270400000000002"/>
    <x v="1"/>
    <x v="0"/>
  </r>
  <r>
    <s v="US-2016-120460"/>
    <x v="325"/>
    <d v="2016-05-05T00:00:00"/>
    <x v="1"/>
    <s v="BF-11170"/>
    <s v="Ben Ferrer"/>
    <x v="2"/>
    <s v="United States"/>
    <x v="144"/>
    <x v="5"/>
    <x v="3"/>
    <s v="FUR-FU-10004973"/>
    <x v="0"/>
    <x v="3"/>
    <s v="Flat Face Poster Frame"/>
    <n v="22.608000000000001"/>
    <n v="3"/>
    <n v="-10.1736"/>
    <x v="2"/>
    <x v="6"/>
  </r>
  <r>
    <s v="CA-2016-141019"/>
    <x v="326"/>
    <d v="2016-05-14T00:00:00"/>
    <x v="3"/>
    <s v="LH-17155"/>
    <s v="Logan Haushalter"/>
    <x v="0"/>
    <s v="United States"/>
    <x v="145"/>
    <x v="15"/>
    <x v="2"/>
    <s v="FUR-FU-10002937"/>
    <x v="0"/>
    <x v="3"/>
    <s v="GE 48&quot; Fluorescent Tube, Cool White Energy Saver, 34 Watts, 30/Box"/>
    <n v="79.384"/>
    <n v="1"/>
    <n v="29.768999999999998"/>
    <x v="7"/>
    <x v="7"/>
  </r>
  <r>
    <s v="CA-2016-154018"/>
    <x v="25"/>
    <d v="2016-10-19T00:00:00"/>
    <x v="1"/>
    <s v="HA-14920"/>
    <s v="Helen Andreada"/>
    <x v="0"/>
    <s v="United States"/>
    <x v="146"/>
    <x v="5"/>
    <x v="3"/>
    <s v="FUR-FU-10003394"/>
    <x v="0"/>
    <x v="3"/>
    <s v="Tenex &quot;The Solids&quot; Textured Chair Mats"/>
    <n v="139.91999999999999"/>
    <n v="5"/>
    <n v="-150.41399999999999"/>
    <x v="6"/>
    <x v="1"/>
  </r>
  <r>
    <s v="US-2017-137491"/>
    <x v="49"/>
    <d v="2017-11-25T00:00:00"/>
    <x v="1"/>
    <s v="LC-16930"/>
    <s v="Linda Cazamias"/>
    <x v="1"/>
    <s v="United States"/>
    <x v="147"/>
    <x v="5"/>
    <x v="3"/>
    <s v="FUR-CH-10004675"/>
    <x v="0"/>
    <x v="1"/>
    <s v="Lifetime Advantage Folding Chairs, 4/Carton"/>
    <n v="305.31200000000001"/>
    <n v="2"/>
    <n v="-8.7232000000000003"/>
    <x v="6"/>
    <x v="0"/>
  </r>
  <r>
    <s v="CA-2016-128818"/>
    <x v="327"/>
    <d v="2016-05-11T00:00:00"/>
    <x v="1"/>
    <s v="CJ-12010"/>
    <s v="Caroline Jumper"/>
    <x v="0"/>
    <s v="United States"/>
    <x v="13"/>
    <x v="7"/>
    <x v="2"/>
    <s v="FUR-CH-10002084"/>
    <x v="0"/>
    <x v="1"/>
    <s v="Hon Mobius Operator's Chair"/>
    <n v="442.76400000000001"/>
    <n v="4"/>
    <n v="59.035200000000003"/>
    <x v="4"/>
    <x v="7"/>
  </r>
  <r>
    <s v="CA-2016-128818"/>
    <x v="327"/>
    <d v="2016-05-11T00:00:00"/>
    <x v="1"/>
    <s v="CJ-12010"/>
    <s v="Caroline Jumper"/>
    <x v="0"/>
    <s v="United States"/>
    <x v="13"/>
    <x v="7"/>
    <x v="2"/>
    <s v="FUR-FU-10001940"/>
    <x v="0"/>
    <x v="3"/>
    <s v="Staple-based wall hangings"/>
    <n v="63.68"/>
    <n v="8"/>
    <n v="28.019200000000001"/>
    <x v="4"/>
    <x v="7"/>
  </r>
  <r>
    <s v="CA-2017-143063"/>
    <x v="328"/>
    <d v="2017-08-15T00:00:00"/>
    <x v="1"/>
    <s v="IL-15100"/>
    <s v="Ivan Liston"/>
    <x v="0"/>
    <s v="United States"/>
    <x v="29"/>
    <x v="6"/>
    <x v="3"/>
    <s v="FUR-FU-10003708"/>
    <x v="0"/>
    <x v="3"/>
    <s v="Tenex Traditional Chairmats for Medium Pile Carpet, Standard Lip, 36&quot; x 48&quot;"/>
    <n v="121.3"/>
    <n v="2"/>
    <n v="25.472999999999999"/>
    <x v="2"/>
    <x v="10"/>
  </r>
  <r>
    <s v="US-2014-165659"/>
    <x v="42"/>
    <d v="2014-06-06T00:00:00"/>
    <x v="1"/>
    <s v="LT-17110"/>
    <s v="Liz Thompson"/>
    <x v="0"/>
    <s v="United States"/>
    <x v="148"/>
    <x v="31"/>
    <x v="0"/>
    <s v="FUR-FU-10001935"/>
    <x v="0"/>
    <x v="3"/>
    <s v="3M Hangers With Command Adhesive"/>
    <n v="22.2"/>
    <n v="6"/>
    <n v="9.1020000000000003"/>
    <x v="2"/>
    <x v="2"/>
  </r>
  <r>
    <s v="CA-2015-138002"/>
    <x v="329"/>
    <d v="2015-09-12T00:00:00"/>
    <x v="1"/>
    <s v="BT-11305"/>
    <s v="Beth Thompson"/>
    <x v="2"/>
    <s v="United States"/>
    <x v="15"/>
    <x v="13"/>
    <x v="1"/>
    <s v="FUR-FU-10004748"/>
    <x v="0"/>
    <x v="3"/>
    <s v="Howard Miller 16&quot; Diameter Gallery Wall Clock"/>
    <n v="191.82"/>
    <n v="3"/>
    <n v="74.809799999999996"/>
    <x v="6"/>
    <x v="4"/>
  </r>
  <r>
    <s v="CA-2015-128860"/>
    <x v="330"/>
    <d v="2015-07-05T00:00:00"/>
    <x v="1"/>
    <s v="SC-20725"/>
    <s v="Steven Cartwright"/>
    <x v="0"/>
    <s v="United States"/>
    <x v="68"/>
    <x v="3"/>
    <x v="2"/>
    <s v="FUR-FU-10001473"/>
    <x v="0"/>
    <x v="3"/>
    <s v="Eldon Executive Woodline II Desk Accessories, Mahogany"/>
    <n v="20.103999999999999"/>
    <n v="1"/>
    <n v="1.7591000000000001"/>
    <x v="6"/>
    <x v="2"/>
  </r>
  <r>
    <s v="CA-2017-107874"/>
    <x v="295"/>
    <d v="2017-11-25T00:00:00"/>
    <x v="1"/>
    <s v="SW-20275"/>
    <s v="Scott Williamson"/>
    <x v="0"/>
    <s v="United States"/>
    <x v="13"/>
    <x v="7"/>
    <x v="2"/>
    <s v="FUR-FU-10003535"/>
    <x v="0"/>
    <x v="3"/>
    <s v="Howard Miller Distant Time Traveler Alarm Clock"/>
    <n v="27.42"/>
    <n v="1"/>
    <n v="11.2422"/>
    <x v="4"/>
    <x v="0"/>
  </r>
  <r>
    <s v="CA-2017-129378"/>
    <x v="95"/>
    <d v="2017-10-02T00:00:00"/>
    <x v="2"/>
    <s v="NS-18505"/>
    <s v="Neola Schneider"/>
    <x v="0"/>
    <s v="United States"/>
    <x v="124"/>
    <x v="2"/>
    <x v="1"/>
    <s v="FUR-CH-10000553"/>
    <x v="0"/>
    <x v="1"/>
    <s v="Metal Folding Chairs, Beige, 4/Carton"/>
    <n v="108.608"/>
    <n v="4"/>
    <n v="9.5031999999999996"/>
    <x v="5"/>
    <x v="1"/>
  </r>
  <r>
    <s v="CA-2015-131884"/>
    <x v="248"/>
    <d v="2015-12-06T00:00:00"/>
    <x v="3"/>
    <s v="DK-13375"/>
    <s v="Dennis Kane"/>
    <x v="0"/>
    <s v="United States"/>
    <x v="149"/>
    <x v="15"/>
    <x v="2"/>
    <s v="FUR-CH-10004860"/>
    <x v="0"/>
    <x v="1"/>
    <s v="Global Low Back Tilter Chair"/>
    <n v="70.686000000000007"/>
    <n v="1"/>
    <n v="-24.235199999999999"/>
    <x v="7"/>
    <x v="5"/>
  </r>
  <r>
    <s v="CA-2016-106383"/>
    <x v="331"/>
    <d v="2016-03-21T00:00:00"/>
    <x v="0"/>
    <s v="BT-11440"/>
    <s v="Bobby Trafton"/>
    <x v="0"/>
    <s v="United States"/>
    <x v="150"/>
    <x v="12"/>
    <x v="1"/>
    <s v="FUR-BO-10002202"/>
    <x v="0"/>
    <x v="0"/>
    <s v="Atlantic Metals Mobile 2-Shelf Bookcases, Custom Colors"/>
    <n v="72.293999999999997"/>
    <n v="1"/>
    <n v="-98.8018"/>
    <x v="3"/>
    <x v="9"/>
  </r>
  <r>
    <s v="CA-2016-139157"/>
    <x v="180"/>
    <d v="2016-10-05T00:00:00"/>
    <x v="1"/>
    <s v="GM-14680"/>
    <s v="Greg Matthias"/>
    <x v="0"/>
    <s v="United States"/>
    <x v="13"/>
    <x v="7"/>
    <x v="2"/>
    <s v="FUR-TA-10003238"/>
    <x v="0"/>
    <x v="2"/>
    <s v="Chromcraft Bull-Nose Wood 48&quot; x 96&quot; Rectangular Conference Tables"/>
    <n v="330.58800000000002"/>
    <n v="1"/>
    <n v="-115.7058"/>
    <x v="4"/>
    <x v="1"/>
  </r>
  <r>
    <s v="CA-2017-157091"/>
    <x v="332"/>
    <d v="2017-07-01T00:00:00"/>
    <x v="1"/>
    <s v="DB-13405"/>
    <s v="Denny Blanton"/>
    <x v="0"/>
    <s v="United States"/>
    <x v="101"/>
    <x v="6"/>
    <x v="3"/>
    <s v="FUR-FU-10000293"/>
    <x v="0"/>
    <x v="3"/>
    <s v="Eldon Antistatic Chair Mats for Low to Medium Pile Carpets"/>
    <n v="526.45000000000005"/>
    <n v="5"/>
    <n v="31.587"/>
    <x v="2"/>
    <x v="2"/>
  </r>
  <r>
    <s v="CA-2017-166849"/>
    <x v="333"/>
    <d v="2017-04-26T00:00:00"/>
    <x v="1"/>
    <s v="SJ-20125"/>
    <s v="Sanjit Jacobs"/>
    <x v="2"/>
    <s v="United States"/>
    <x v="9"/>
    <x v="8"/>
    <x v="3"/>
    <s v="FUR-FU-10004597"/>
    <x v="0"/>
    <x v="3"/>
    <s v="Eldon Cleatmat Chair Mats for Medium Pile Carpets"/>
    <n v="44.4"/>
    <n v="2"/>
    <n v="-52.17"/>
    <x v="6"/>
    <x v="6"/>
  </r>
  <r>
    <s v="CA-2016-164091"/>
    <x v="334"/>
    <d v="2016-09-22T00:00:00"/>
    <x v="1"/>
    <s v="LA-16780"/>
    <s v="Laura Armstrong"/>
    <x v="1"/>
    <s v="United States"/>
    <x v="151"/>
    <x v="39"/>
    <x v="2"/>
    <s v="FUR-FU-10004952"/>
    <x v="0"/>
    <x v="3"/>
    <s v="C-Line Cubicle Keepers Polyproplyene Holder w/Velcro Back, 8-1/2x11, 25/Bx"/>
    <n v="109.48"/>
    <n v="2"/>
    <n v="33.938800000000001"/>
    <x v="2"/>
    <x v="4"/>
  </r>
  <r>
    <s v="CA-2017-105214"/>
    <x v="140"/>
    <d v="2017-06-19T00:00:00"/>
    <x v="2"/>
    <s v="TS-21610"/>
    <s v="Troy Staebel"/>
    <x v="0"/>
    <s v="United States"/>
    <x v="28"/>
    <x v="2"/>
    <x v="1"/>
    <s v="FUR-CH-10000015"/>
    <x v="0"/>
    <x v="1"/>
    <s v="Hon Multipurpose Stacking Arm Chairs"/>
    <n v="1212.96"/>
    <n v="7"/>
    <n v="90.971999999999994"/>
    <x v="0"/>
    <x v="2"/>
  </r>
  <r>
    <s v="CA-2017-122994"/>
    <x v="335"/>
    <d v="2017-02-09T00:00:00"/>
    <x v="2"/>
    <s v="MV-17485"/>
    <s v="Mark Van Huff"/>
    <x v="0"/>
    <s v="United States"/>
    <x v="58"/>
    <x v="25"/>
    <x v="0"/>
    <s v="FUR-BO-10004015"/>
    <x v="0"/>
    <x v="0"/>
    <s v="Bush Andora Bookcase, Maple/Graphite Gray Finish"/>
    <n v="359.97"/>
    <n v="3"/>
    <n v="79.193399999999997"/>
    <x v="0"/>
    <x v="11"/>
  </r>
  <r>
    <s v="CA-2015-142944"/>
    <x v="336"/>
    <d v="2015-03-11T00:00:00"/>
    <x v="1"/>
    <s v="JL-15850"/>
    <s v="John Lucas"/>
    <x v="0"/>
    <s v="United States"/>
    <x v="28"/>
    <x v="2"/>
    <x v="1"/>
    <s v="FUR-FU-10000308"/>
    <x v="0"/>
    <x v="3"/>
    <s v="Deflect-o Glass Clear Studded Chair Mats"/>
    <n v="435.26"/>
    <n v="7"/>
    <n v="95.757199999999997"/>
    <x v="2"/>
    <x v="9"/>
  </r>
  <r>
    <s v="CA-2014-157882"/>
    <x v="215"/>
    <d v="2014-10-08T00:00:00"/>
    <x v="0"/>
    <s v="AR-10405"/>
    <s v="Allen Rosenblatt"/>
    <x v="1"/>
    <s v="United States"/>
    <x v="2"/>
    <x v="2"/>
    <x v="1"/>
    <s v="FUR-TA-10001866"/>
    <x v="0"/>
    <x v="2"/>
    <s v="Bevis Round Conference Room Tables and Bases"/>
    <n v="143.43199999999999"/>
    <n v="1"/>
    <n v="3.5857999999999999"/>
    <x v="2"/>
    <x v="1"/>
  </r>
  <r>
    <s v="CA-2014-157882"/>
    <x v="215"/>
    <d v="2014-10-08T00:00:00"/>
    <x v="0"/>
    <s v="AR-10405"/>
    <s v="Allen Rosenblatt"/>
    <x v="1"/>
    <s v="United States"/>
    <x v="2"/>
    <x v="2"/>
    <x v="1"/>
    <s v="FUR-CH-10002774"/>
    <x v="0"/>
    <x v="1"/>
    <s v="Global Deluxe Stacking Chair, Gray"/>
    <n v="122.352"/>
    <n v="3"/>
    <n v="13.7646"/>
    <x v="2"/>
    <x v="1"/>
  </r>
  <r>
    <s v="CA-2014-104283"/>
    <x v="337"/>
    <d v="2014-07-01T00:00:00"/>
    <x v="1"/>
    <s v="LM-17065"/>
    <s v="Liz MacKendrick"/>
    <x v="0"/>
    <s v="United States"/>
    <x v="152"/>
    <x v="21"/>
    <x v="0"/>
    <s v="FUR-TA-10001039"/>
    <x v="0"/>
    <x v="2"/>
    <s v="KI Adjustable-Height Table"/>
    <n v="85.98"/>
    <n v="1"/>
    <n v="22.354800000000001"/>
    <x v="4"/>
    <x v="2"/>
  </r>
  <r>
    <s v="CA-2017-142622"/>
    <x v="242"/>
    <d v="2017-11-02T00:00:00"/>
    <x v="2"/>
    <s v="JK-15625"/>
    <s v="Jim Karlsson"/>
    <x v="0"/>
    <s v="United States"/>
    <x v="15"/>
    <x v="13"/>
    <x v="1"/>
    <s v="FUR-CH-10003833"/>
    <x v="0"/>
    <x v="1"/>
    <s v="Novimex Fabric Task Chair"/>
    <n v="97.567999999999998"/>
    <n v="2"/>
    <n v="-6.0979999999999999"/>
    <x v="0"/>
    <x v="1"/>
  </r>
  <r>
    <s v="CA-2017-142622"/>
    <x v="242"/>
    <d v="2017-11-02T00:00:00"/>
    <x v="2"/>
    <s v="JK-15625"/>
    <s v="Jim Karlsson"/>
    <x v="0"/>
    <s v="United States"/>
    <x v="15"/>
    <x v="13"/>
    <x v="1"/>
    <s v="FUR-CH-10004289"/>
    <x v="0"/>
    <x v="1"/>
    <s v="Global Super Steno Chair"/>
    <n v="614.27200000000005"/>
    <n v="8"/>
    <n v="-23.0352"/>
    <x v="0"/>
    <x v="1"/>
  </r>
  <r>
    <s v="CA-2017-142622"/>
    <x v="242"/>
    <d v="2017-11-02T00:00:00"/>
    <x v="2"/>
    <s v="JK-15625"/>
    <s v="Jim Karlsson"/>
    <x v="0"/>
    <s v="United States"/>
    <x v="15"/>
    <x v="13"/>
    <x v="1"/>
    <s v="FUR-BO-10004467"/>
    <x v="0"/>
    <x v="0"/>
    <s v="Bestar Classic Bookcase"/>
    <n v="199.98"/>
    <n v="2"/>
    <n v="37.996200000000002"/>
    <x v="0"/>
    <x v="1"/>
  </r>
  <r>
    <s v="CA-2017-115154"/>
    <x v="338"/>
    <d v="2017-01-11T00:00:00"/>
    <x v="2"/>
    <s v="RS-19420"/>
    <s v="Ricardo Sperren"/>
    <x v="1"/>
    <s v="United States"/>
    <x v="15"/>
    <x v="13"/>
    <x v="1"/>
    <s v="FUR-TA-10001950"/>
    <x v="0"/>
    <x v="2"/>
    <s v="Balt Solid Wood Round Tables"/>
    <n v="892.98"/>
    <n v="2"/>
    <n v="80.368200000000002"/>
    <x v="0"/>
    <x v="8"/>
  </r>
  <r>
    <s v="CA-2015-149342"/>
    <x v="339"/>
    <d v="2015-04-25T00:00:00"/>
    <x v="1"/>
    <s v="TS-21160"/>
    <s v="Theresa Swint"/>
    <x v="1"/>
    <s v="United States"/>
    <x v="29"/>
    <x v="24"/>
    <x v="0"/>
    <s v="FUR-FU-10002937"/>
    <x v="0"/>
    <x v="3"/>
    <s v="GE 48&quot; Fluorescent Tube, Cool White Energy Saver, 34 Watts, 30/Box"/>
    <n v="595.38"/>
    <n v="6"/>
    <n v="297.69"/>
    <x v="2"/>
    <x v="6"/>
  </r>
  <r>
    <s v="CA-2017-127929"/>
    <x v="340"/>
    <d v="2017-12-27T00:00:00"/>
    <x v="1"/>
    <s v="FM-14215"/>
    <s v="Filia McAdams"/>
    <x v="1"/>
    <s v="United States"/>
    <x v="108"/>
    <x v="19"/>
    <x v="2"/>
    <s v="FUR-FU-10003708"/>
    <x v="0"/>
    <x v="3"/>
    <s v="Tenex Traditional Chairmats for Medium Pile Carpet, Standard Lip, 36&quot; x 48&quot;"/>
    <n v="181.95"/>
    <n v="3"/>
    <n v="38.209499999999998"/>
    <x v="4"/>
    <x v="5"/>
  </r>
  <r>
    <s v="CA-2015-113145"/>
    <x v="341"/>
    <d v="2015-11-05T00:00:00"/>
    <x v="1"/>
    <s v="VD-21670"/>
    <s v="Valerie Dominguez"/>
    <x v="0"/>
    <s v="United States"/>
    <x v="13"/>
    <x v="7"/>
    <x v="2"/>
    <s v="FUR-FU-10000965"/>
    <x v="0"/>
    <x v="3"/>
    <s v="Howard Miller 11-1/2&quot; Diameter Ridgewood Wall Clock"/>
    <n v="259.7"/>
    <n v="5"/>
    <n v="106.477"/>
    <x v="4"/>
    <x v="0"/>
  </r>
  <r>
    <s v="CA-2017-157931"/>
    <x v="342"/>
    <d v="2017-09-22T00:00:00"/>
    <x v="0"/>
    <s v="MO-17800"/>
    <s v="Meg O'Connel"/>
    <x v="2"/>
    <s v="United States"/>
    <x v="153"/>
    <x v="24"/>
    <x v="0"/>
    <s v="FUR-CH-10000785"/>
    <x v="0"/>
    <x v="1"/>
    <s v="Global Ergonomic Managers Chair"/>
    <n v="723.92"/>
    <n v="4"/>
    <n v="188.2192"/>
    <x v="2"/>
    <x v="4"/>
  </r>
  <r>
    <s v="CA-2016-115574"/>
    <x v="207"/>
    <d v="2016-12-24T00:00:00"/>
    <x v="2"/>
    <s v="BP-11185"/>
    <s v="Ben Peterman"/>
    <x v="1"/>
    <s v="United States"/>
    <x v="9"/>
    <x v="8"/>
    <x v="3"/>
    <s v="FUR-BO-10003441"/>
    <x v="0"/>
    <x v="0"/>
    <s v="Bush Westfield Collection Bookcases, Fully Assembled"/>
    <n v="141.37200000000001"/>
    <n v="2"/>
    <n v="-14.1372"/>
    <x v="5"/>
    <x v="5"/>
  </r>
  <r>
    <s v="US-2017-120418"/>
    <x v="343"/>
    <d v="2017-06-12T00:00:00"/>
    <x v="2"/>
    <s v="BC-11125"/>
    <s v="Becky Castell"/>
    <x v="2"/>
    <s v="United States"/>
    <x v="117"/>
    <x v="22"/>
    <x v="1"/>
    <s v="FUR-CH-10001394"/>
    <x v="0"/>
    <x v="1"/>
    <s v="Global Leather Executive Chair"/>
    <n v="280.79199999999997"/>
    <n v="1"/>
    <n v="35.098999999999997"/>
    <x v="5"/>
    <x v="2"/>
  </r>
  <r>
    <s v="CA-2017-122035"/>
    <x v="96"/>
    <d v="2017-07-25T00:00:00"/>
    <x v="1"/>
    <s v="EM-13825"/>
    <s v="Elizabeth Moffitt"/>
    <x v="1"/>
    <s v="United States"/>
    <x v="154"/>
    <x v="40"/>
    <x v="3"/>
    <s v="FUR-CH-10003833"/>
    <x v="0"/>
    <x v="1"/>
    <s v="Novimex Fabric Task Chair"/>
    <n v="182.94"/>
    <n v="3"/>
    <n v="27.440999999999999"/>
    <x v="2"/>
    <x v="3"/>
  </r>
  <r>
    <s v="CA-2015-105102"/>
    <x v="195"/>
    <d v="2015-09-19T00:00:00"/>
    <x v="0"/>
    <s v="BM-11575"/>
    <s v="Brendan Murry"/>
    <x v="1"/>
    <s v="United States"/>
    <x v="13"/>
    <x v="7"/>
    <x v="2"/>
    <s v="FUR-BO-10004709"/>
    <x v="0"/>
    <x v="0"/>
    <s v="Bush Westfield Collection Bookcases, Medium Cherry Finish"/>
    <n v="46.384"/>
    <n v="1"/>
    <n v="1.1596"/>
    <x v="4"/>
    <x v="4"/>
  </r>
  <r>
    <s v="US-2015-147739"/>
    <x v="344"/>
    <d v="2015-12-29T00:00:00"/>
    <x v="1"/>
    <s v="JD-16150"/>
    <s v="Justin Deggeller"/>
    <x v="1"/>
    <s v="United States"/>
    <x v="3"/>
    <x v="3"/>
    <x v="2"/>
    <s v="FUR-FU-10001468"/>
    <x v="0"/>
    <x v="3"/>
    <s v="Tenex Antistatic Computer Chair Mats"/>
    <n v="547.13599999999997"/>
    <n v="4"/>
    <n v="-68.391999999999996"/>
    <x v="4"/>
    <x v="5"/>
  </r>
  <r>
    <s v="US-2014-143231"/>
    <x v="252"/>
    <d v="2015-01-03T00:00:00"/>
    <x v="2"/>
    <s v="GM-14455"/>
    <s v="Gary Mitchum"/>
    <x v="2"/>
    <s v="United States"/>
    <x v="20"/>
    <x v="20"/>
    <x v="2"/>
    <s v="FUR-FU-10002501"/>
    <x v="0"/>
    <x v="3"/>
    <s v="Nu-Dell Executive Frame"/>
    <n v="63.2"/>
    <n v="5"/>
    <n v="23.384"/>
    <x v="0"/>
    <x v="5"/>
  </r>
  <r>
    <s v="CA-2016-159373"/>
    <x v="345"/>
    <d v="2016-03-18T00:00:00"/>
    <x v="1"/>
    <s v="LT-17110"/>
    <s v="Liz Thompson"/>
    <x v="0"/>
    <s v="United States"/>
    <x v="21"/>
    <x v="5"/>
    <x v="3"/>
    <s v="FUR-TA-10004619"/>
    <x v="0"/>
    <x v="2"/>
    <s v="Hon Non-Folding Utility Tables"/>
    <n v="557.58500000000004"/>
    <n v="5"/>
    <n v="0"/>
    <x v="2"/>
    <x v="9"/>
  </r>
  <r>
    <s v="CA-2015-111514"/>
    <x v="346"/>
    <d v="2015-09-02T00:00:00"/>
    <x v="2"/>
    <s v="SC-20260"/>
    <s v="Scott Cohen"/>
    <x v="1"/>
    <s v="United States"/>
    <x v="28"/>
    <x v="2"/>
    <x v="1"/>
    <s v="FUR-BO-10002545"/>
    <x v="0"/>
    <x v="0"/>
    <s v="Atlantic Metals Mobile 3-Shelf Bookcases, Custom Colors"/>
    <n v="1552.8309999999999"/>
    <n v="7"/>
    <n v="200.9546"/>
    <x v="3"/>
    <x v="10"/>
  </r>
  <r>
    <s v="US-2014-148838"/>
    <x v="347"/>
    <d v="2014-03-21T00:00:00"/>
    <x v="1"/>
    <s v="CP-12340"/>
    <s v="Christine Phan"/>
    <x v="1"/>
    <s v="United States"/>
    <x v="13"/>
    <x v="7"/>
    <x v="2"/>
    <s v="FUR-TA-10003473"/>
    <x v="0"/>
    <x v="2"/>
    <s v="Bretford Rectangular Conference Table Tops"/>
    <n v="1579.7460000000001"/>
    <n v="7"/>
    <n v="-447.59469999999999"/>
    <x v="4"/>
    <x v="9"/>
  </r>
  <r>
    <s v="US-2014-148838"/>
    <x v="347"/>
    <d v="2014-03-21T00:00:00"/>
    <x v="1"/>
    <s v="CP-12340"/>
    <s v="Christine Phan"/>
    <x v="1"/>
    <s v="United States"/>
    <x v="13"/>
    <x v="7"/>
    <x v="2"/>
    <s v="FUR-TA-10001950"/>
    <x v="0"/>
    <x v="2"/>
    <s v="Balt Solid Wood Round Tables"/>
    <n v="1071.576"/>
    <n v="4"/>
    <n v="-553.64760000000001"/>
    <x v="4"/>
    <x v="9"/>
  </r>
  <r>
    <s v="US-2014-148838"/>
    <x v="347"/>
    <d v="2014-03-21T00:00:00"/>
    <x v="1"/>
    <s v="CP-12340"/>
    <s v="Christine Phan"/>
    <x v="1"/>
    <s v="United States"/>
    <x v="13"/>
    <x v="7"/>
    <x v="2"/>
    <s v="FUR-TA-10004175"/>
    <x v="0"/>
    <x v="2"/>
    <s v="Hon 30&quot; x 60&quot; Table with Locking Drawer"/>
    <n v="613.90800000000002"/>
    <n v="3"/>
    <n v="-122.7816"/>
    <x v="4"/>
    <x v="9"/>
  </r>
  <r>
    <s v="US-2016-108637"/>
    <x v="345"/>
    <d v="2016-03-18T00:00:00"/>
    <x v="1"/>
    <s v="AB-10060"/>
    <s v="Adam Bellavance"/>
    <x v="2"/>
    <s v="United States"/>
    <x v="61"/>
    <x v="25"/>
    <x v="0"/>
    <s v="FUR-FU-10004864"/>
    <x v="0"/>
    <x v="3"/>
    <s v="Howard Miller 14-1/2&quot; Diameter Chrome Round Wall Clock"/>
    <n v="127.88"/>
    <n v="2"/>
    <n v="40.921599999999998"/>
    <x v="2"/>
    <x v="9"/>
  </r>
  <r>
    <s v="CA-2014-102295"/>
    <x v="168"/>
    <d v="2014-11-26T00:00:00"/>
    <x v="0"/>
    <s v="EH-13990"/>
    <s v="Erica Hackney"/>
    <x v="0"/>
    <s v="United States"/>
    <x v="155"/>
    <x v="2"/>
    <x v="1"/>
    <s v="FUR-CH-10001714"/>
    <x v="0"/>
    <x v="1"/>
    <s v="Global Leather &amp; Oak Executive Chair, Burgundy"/>
    <n v="120.712"/>
    <n v="1"/>
    <n v="-18.1068"/>
    <x v="3"/>
    <x v="0"/>
  </r>
  <r>
    <s v="US-2016-12946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s v="CA-2016-159940"/>
    <x v="281"/>
    <d v="2016-07-11T00:00:00"/>
    <x v="0"/>
    <s v="BF-11020"/>
    <s v="Barry Franzšsisch"/>
    <x v="1"/>
    <s v="United States"/>
    <x v="14"/>
    <x v="8"/>
    <x v="3"/>
    <s v="FUR-FU-10004973"/>
    <x v="0"/>
    <x v="3"/>
    <s v="Flat Face Poster Frame"/>
    <n v="60.287999999999997"/>
    <n v="8"/>
    <n v="-27.1296"/>
    <x v="4"/>
    <x v="3"/>
  </r>
  <r>
    <s v="CA-2016-159940"/>
    <x v="281"/>
    <d v="2016-07-11T00:00:00"/>
    <x v="0"/>
    <s v="BF-11020"/>
    <s v="Barry Franzšsisch"/>
    <x v="1"/>
    <s v="United States"/>
    <x v="14"/>
    <x v="8"/>
    <x v="3"/>
    <s v="FUR-CH-10000785"/>
    <x v="0"/>
    <x v="1"/>
    <s v="Global Ergonomic Managers Chair"/>
    <n v="253.37200000000001"/>
    <n v="2"/>
    <n v="-14.478400000000001"/>
    <x v="4"/>
    <x v="3"/>
  </r>
  <r>
    <s v="CA-2016-118052"/>
    <x v="349"/>
    <d v="2016-05-10T00:00:00"/>
    <x v="1"/>
    <s v="BE-11455"/>
    <s v="Brad Eason"/>
    <x v="2"/>
    <s v="United States"/>
    <x v="75"/>
    <x v="15"/>
    <x v="2"/>
    <s v="FUR-FU-10004848"/>
    <x v="0"/>
    <x v="3"/>
    <s v="DAX Solid Wood Frames"/>
    <n v="54.712000000000003"/>
    <n v="7"/>
    <n v="11.626300000000001"/>
    <x v="4"/>
    <x v="7"/>
  </r>
  <r>
    <s v="US-2015-127040"/>
    <x v="248"/>
    <d v="2015-12-10T00:00:00"/>
    <x v="1"/>
    <s v="SG-20605"/>
    <s v="Speros Goranitis"/>
    <x v="0"/>
    <s v="United States"/>
    <x v="13"/>
    <x v="7"/>
    <x v="2"/>
    <s v="FUR-FU-10002878"/>
    <x v="0"/>
    <x v="3"/>
    <s v="Seth Thomas 14&quot; Day/Date Wall Clock"/>
    <n v="113.92"/>
    <n v="4"/>
    <n v="42.150399999999998"/>
    <x v="4"/>
    <x v="5"/>
  </r>
  <r>
    <s v="US-2016-110170"/>
    <x v="350"/>
    <d v="2016-10-03T00:00:00"/>
    <x v="1"/>
    <s v="HM-14860"/>
    <s v="Harry Marie"/>
    <x v="1"/>
    <s v="United States"/>
    <x v="156"/>
    <x v="5"/>
    <x v="3"/>
    <s v="FUR-BO-10000780"/>
    <x v="0"/>
    <x v="0"/>
    <s v="O'Sullivan Plantations 2-Door Library in Landvery Oak"/>
    <n v="956.66480000000001"/>
    <n v="7"/>
    <n v="-225.0976"/>
    <x v="6"/>
    <x v="4"/>
  </r>
  <r>
    <s v="CA-2017-155985"/>
    <x v="351"/>
    <d v="2017-03-25T00:00:00"/>
    <x v="2"/>
    <s v="BE-11335"/>
    <s v="Bill Eplett"/>
    <x v="2"/>
    <s v="United States"/>
    <x v="28"/>
    <x v="2"/>
    <x v="1"/>
    <s v="FUR-FU-10000758"/>
    <x v="0"/>
    <x v="3"/>
    <s v="DAX Natural Wood-Tone Poster Frame"/>
    <n v="211.84"/>
    <n v="8"/>
    <n v="76.2624"/>
    <x v="3"/>
    <x v="9"/>
  </r>
  <r>
    <s v="CA-2014-151295"/>
    <x v="352"/>
    <d v="2014-11-16T00:00:00"/>
    <x v="1"/>
    <s v="JA-15970"/>
    <s v="Joseph Airdo"/>
    <x v="0"/>
    <s v="United States"/>
    <x v="2"/>
    <x v="2"/>
    <x v="1"/>
    <s v="FUR-TA-10002356"/>
    <x v="0"/>
    <x v="2"/>
    <s v="Bevis Boat-Shaped Conference Table"/>
    <n v="629.06399999999996"/>
    <n v="3"/>
    <n v="31.453199999999999"/>
    <x v="4"/>
    <x v="0"/>
  </r>
  <r>
    <s v="CA-2016-156300"/>
    <x v="353"/>
    <d v="2017-01-02T00:00:00"/>
    <x v="1"/>
    <s v="TB-21595"/>
    <s v="Troy Blackwell"/>
    <x v="0"/>
    <s v="United States"/>
    <x v="79"/>
    <x v="16"/>
    <x v="3"/>
    <s v="FUR-CH-10001714"/>
    <x v="0"/>
    <x v="1"/>
    <s v="Global Leather &amp; Oak Executive Chair, Burgundy"/>
    <n v="754.45"/>
    <n v="5"/>
    <n v="60.356000000000002"/>
    <x v="4"/>
    <x v="5"/>
  </r>
  <r>
    <s v="CA-2015-146087"/>
    <x v="171"/>
    <d v="2015-07-11T00:00:00"/>
    <x v="1"/>
    <s v="PP-18955"/>
    <s v="Paul Prost"/>
    <x v="2"/>
    <s v="United States"/>
    <x v="157"/>
    <x v="20"/>
    <x v="2"/>
    <s v="FUR-BO-10002824"/>
    <x v="0"/>
    <x v="0"/>
    <s v="Bush Mission Pointe Library"/>
    <n v="301.95999999999998"/>
    <n v="2"/>
    <n v="60.392000000000003"/>
    <x v="2"/>
    <x v="3"/>
  </r>
  <r>
    <s v="US-2017-147669"/>
    <x v="19"/>
    <d v="2017-12-30T00:00:00"/>
    <x v="1"/>
    <s v="SV-20935"/>
    <s v="Susan Vittorini"/>
    <x v="0"/>
    <s v="United States"/>
    <x v="130"/>
    <x v="15"/>
    <x v="2"/>
    <s v="FUR-TA-10002645"/>
    <x v="0"/>
    <x v="2"/>
    <s v="Hon Rectangular Conference Tables"/>
    <n v="273.06"/>
    <n v="2"/>
    <n v="-104.673"/>
    <x v="2"/>
    <x v="5"/>
  </r>
  <r>
    <s v="CA-2016-169922"/>
    <x v="354"/>
    <d v="2016-06-17T00:00:00"/>
    <x v="1"/>
    <s v="MZ-17515"/>
    <s v="Mary Zewe"/>
    <x v="1"/>
    <s v="United States"/>
    <x v="58"/>
    <x v="5"/>
    <x v="3"/>
    <s v="FUR-FU-10004415"/>
    <x v="0"/>
    <x v="3"/>
    <s v="Stacking Tray, Side-Loading, Legal, Smoke"/>
    <n v="12.544"/>
    <n v="7"/>
    <n v="-9.0944000000000003"/>
    <x v="6"/>
    <x v="2"/>
  </r>
  <r>
    <s v="CA-2017-129805"/>
    <x v="158"/>
    <d v="2018-01-02T00:00:00"/>
    <x v="1"/>
    <s v="HM-14860"/>
    <s v="Harry Marie"/>
    <x v="1"/>
    <s v="United States"/>
    <x v="15"/>
    <x v="13"/>
    <x v="1"/>
    <s v="FUR-FU-10001935"/>
    <x v="0"/>
    <x v="3"/>
    <s v="3M Hangers With Command Adhesive"/>
    <n v="7.4"/>
    <n v="2"/>
    <n v="3.0339999999999998"/>
    <x v="2"/>
    <x v="5"/>
  </r>
  <r>
    <s v="CA-2014-148586"/>
    <x v="355"/>
    <d v="2014-04-01T00:00:00"/>
    <x v="1"/>
    <s v="AZ-10750"/>
    <s v="Annie Zypern"/>
    <x v="0"/>
    <s v="United States"/>
    <x v="13"/>
    <x v="7"/>
    <x v="2"/>
    <s v="FUR-CH-10002439"/>
    <x v="0"/>
    <x v="1"/>
    <s v="Iceberg Nesting Folding Chair, 19w x 6d x 43h"/>
    <n v="366.786"/>
    <n v="7"/>
    <n v="65.206400000000002"/>
    <x v="1"/>
    <x v="9"/>
  </r>
  <r>
    <s v="CA-2017-140053"/>
    <x v="209"/>
    <d v="2017-07-10T00:00:00"/>
    <x v="1"/>
    <s v="CA-12265"/>
    <s v="Christina Anderson"/>
    <x v="0"/>
    <s v="United States"/>
    <x v="158"/>
    <x v="41"/>
    <x v="1"/>
    <s v="FUR-FU-10003708"/>
    <x v="0"/>
    <x v="3"/>
    <s v="Tenex Traditional Chairmats for Medium Pile Carpet, Standard Lip, 36&quot; x 48&quot;"/>
    <n v="545.85"/>
    <n v="9"/>
    <n v="114.6285"/>
    <x v="1"/>
    <x v="3"/>
  </r>
  <r>
    <s v="CA-2014-164210"/>
    <x v="356"/>
    <d v="2014-11-20T00:00:00"/>
    <x v="0"/>
    <s v="PW-19240"/>
    <s v="Pierre Wener"/>
    <x v="0"/>
    <s v="United States"/>
    <x v="74"/>
    <x v="12"/>
    <x v="1"/>
    <s v="FUR-TA-10000849"/>
    <x v="0"/>
    <x v="2"/>
    <s v="Bevis Rectangular Conference Tables"/>
    <n v="145.97999999999999"/>
    <n v="2"/>
    <n v="-99.266400000000004"/>
    <x v="3"/>
    <x v="0"/>
  </r>
  <r>
    <s v="CA-2017-139948"/>
    <x v="357"/>
    <d v="2017-07-22T00:00:00"/>
    <x v="1"/>
    <s v="SW-20455"/>
    <s v="Shaun Weien"/>
    <x v="0"/>
    <s v="United States"/>
    <x v="26"/>
    <x v="1"/>
    <x v="0"/>
    <s v="FUR-FU-10002597"/>
    <x v="0"/>
    <x v="3"/>
    <s v="C-Line Magnetic Cubicle Keepers, Clear Polypropylene"/>
    <n v="7.9039999999999999"/>
    <n v="2"/>
    <n v="2.1736"/>
    <x v="2"/>
    <x v="3"/>
  </r>
  <r>
    <s v="CA-2016-146934"/>
    <x v="358"/>
    <d v="2016-05-27T00:00:00"/>
    <x v="1"/>
    <s v="AF-10870"/>
    <s v="Art Ferguson"/>
    <x v="0"/>
    <s v="United States"/>
    <x v="159"/>
    <x v="18"/>
    <x v="2"/>
    <s v="FUR-TA-10003748"/>
    <x v="0"/>
    <x v="2"/>
    <s v="Bevis 36 x 72 Conference Tables"/>
    <n v="174.286"/>
    <n v="2"/>
    <n v="-19.918399999999998"/>
    <x v="2"/>
    <x v="7"/>
  </r>
  <r>
    <s v="CA-2016-119165"/>
    <x v="359"/>
    <d v="2016-11-06T00:00:00"/>
    <x v="1"/>
    <s v="BD-11320"/>
    <s v="Bill Donatelli"/>
    <x v="0"/>
    <s v="United States"/>
    <x v="3"/>
    <x v="3"/>
    <x v="2"/>
    <s v="FUR-CH-10000988"/>
    <x v="0"/>
    <x v="1"/>
    <s v="Hon Olson Stacker Stools"/>
    <n v="492.83499999999998"/>
    <n v="5"/>
    <n v="-14.081"/>
    <x v="6"/>
    <x v="1"/>
  </r>
  <r>
    <s v="US-2016-135923"/>
    <x v="360"/>
    <d v="2016-01-28T00:00:00"/>
    <x v="1"/>
    <s v="CM-11935"/>
    <s v="Carlos Meador"/>
    <x v="0"/>
    <s v="United States"/>
    <x v="160"/>
    <x v="30"/>
    <x v="0"/>
    <s v="FUR-FU-10002107"/>
    <x v="0"/>
    <x v="3"/>
    <s v="Eldon Pizzaz Desk Accessories"/>
    <n v="14.272"/>
    <n v="8"/>
    <n v="4.2816000000000001"/>
    <x v="6"/>
    <x v="8"/>
  </r>
  <r>
    <s v="US-2016-135923"/>
    <x v="360"/>
    <d v="2016-01-28T00:00:00"/>
    <x v="1"/>
    <s v="CM-11935"/>
    <s v="Carlos Meador"/>
    <x v="0"/>
    <s v="United States"/>
    <x v="160"/>
    <x v="30"/>
    <x v="0"/>
    <s v="FUR-BO-10002213"/>
    <x v="0"/>
    <x v="0"/>
    <s v="Sauder Forest Hills Library, Woodland Oak Finish"/>
    <n v="451.13600000000002"/>
    <n v="4"/>
    <n v="-67.670400000000001"/>
    <x v="6"/>
    <x v="8"/>
  </r>
  <r>
    <s v="CA-2016-114972"/>
    <x v="361"/>
    <d v="2016-11-06T00:00:00"/>
    <x v="2"/>
    <s v="PF-19225"/>
    <s v="Phillip Flathmann"/>
    <x v="0"/>
    <s v="United States"/>
    <x v="2"/>
    <x v="2"/>
    <x v="1"/>
    <s v="FUR-CH-10001190"/>
    <x v="0"/>
    <x v="1"/>
    <s v="Global Deluxe High-Back Office Chair in Storm"/>
    <n v="217.584"/>
    <n v="2"/>
    <n v="-29.9178"/>
    <x v="0"/>
    <x v="0"/>
  </r>
  <r>
    <s v="CA-2017-102750"/>
    <x v="362"/>
    <d v="2017-09-08T00:00:00"/>
    <x v="0"/>
    <s v="GM-14695"/>
    <s v="Greg Maxwell"/>
    <x v="1"/>
    <s v="United States"/>
    <x v="2"/>
    <x v="2"/>
    <x v="1"/>
    <s v="FUR-TA-10000198"/>
    <x v="0"/>
    <x v="2"/>
    <s v="Chromcraft Bull-Nose Wood Oval Conference Tables &amp; Bases"/>
    <n v="1322.3520000000001"/>
    <n v="3"/>
    <n v="-99.176400000000001"/>
    <x v="4"/>
    <x v="4"/>
  </r>
  <r>
    <s v="CA-2017-126067"/>
    <x v="363"/>
    <d v="2017-09-03T00:00:00"/>
    <x v="1"/>
    <s v="KN-16705"/>
    <s v="Kristina Nunn"/>
    <x v="2"/>
    <s v="United States"/>
    <x v="15"/>
    <x v="13"/>
    <x v="1"/>
    <s v="FUR-TA-10000617"/>
    <x v="0"/>
    <x v="2"/>
    <s v="Hon Practical Foundations 30 x 60 Training Table, Light Gray/Charcoal"/>
    <n v="1137.75"/>
    <n v="5"/>
    <n v="250.30500000000001"/>
    <x v="6"/>
    <x v="10"/>
  </r>
  <r>
    <s v="CA-2016-146206"/>
    <x v="364"/>
    <d v="2016-09-14T00:00:00"/>
    <x v="0"/>
    <s v="KT-16480"/>
    <s v="Kean Thornton"/>
    <x v="0"/>
    <s v="United States"/>
    <x v="6"/>
    <x v="5"/>
    <x v="3"/>
    <s v="FUR-TA-10004086"/>
    <x v="0"/>
    <x v="2"/>
    <s v="KI Adjustable-Height Table"/>
    <n v="300.93"/>
    <n v="5"/>
    <n v="-34.392000000000003"/>
    <x v="4"/>
    <x v="4"/>
  </r>
  <r>
    <s v="CA-2014-136644"/>
    <x v="365"/>
    <d v="2014-06-22T00:00:00"/>
    <x v="1"/>
    <s v="SC-20575"/>
    <s v="Sonia Cooley"/>
    <x v="0"/>
    <s v="United States"/>
    <x v="161"/>
    <x v="6"/>
    <x v="3"/>
    <s v="FUR-CH-10000225"/>
    <x v="0"/>
    <x v="1"/>
    <s v="Global Geo Office Task Chair, Gray"/>
    <n v="647.84"/>
    <n v="8"/>
    <n v="32.392000000000003"/>
    <x v="6"/>
    <x v="2"/>
  </r>
  <r>
    <s v="CA-2014-143917"/>
    <x v="366"/>
    <d v="2014-07-27T00:00:00"/>
    <x v="0"/>
    <s v="KL-16645"/>
    <s v="Ken Lonsdale"/>
    <x v="0"/>
    <s v="United States"/>
    <x v="28"/>
    <x v="2"/>
    <x v="1"/>
    <s v="FUR-FU-10004351"/>
    <x v="0"/>
    <x v="3"/>
    <s v="Staple-based wall hangings"/>
    <n v="77.92"/>
    <n v="8"/>
    <n v="34.284799999999997"/>
    <x v="3"/>
    <x v="3"/>
  </r>
  <r>
    <s v="CA-2016-124506"/>
    <x v="367"/>
    <d v="2016-11-17T00:00:00"/>
    <x v="1"/>
    <s v="BB-11545"/>
    <s v="Brenda Bowman"/>
    <x v="1"/>
    <s v="United States"/>
    <x v="9"/>
    <x v="8"/>
    <x v="3"/>
    <s v="FUR-CH-10004540"/>
    <x v="0"/>
    <x v="1"/>
    <s v="Global Chrome Stack Chair"/>
    <n v="47.991999999999997"/>
    <n v="2"/>
    <n v="-2.0568"/>
    <x v="6"/>
    <x v="0"/>
  </r>
  <r>
    <s v="CA-2017-123134"/>
    <x v="368"/>
    <d v="2017-05-07T00:00:00"/>
    <x v="1"/>
    <s v="DW-13585"/>
    <s v="Dorothy Wardle"/>
    <x v="1"/>
    <s v="United States"/>
    <x v="162"/>
    <x v="18"/>
    <x v="2"/>
    <s v="FUR-FU-10003975"/>
    <x v="0"/>
    <x v="3"/>
    <s v="Eldon Advantage Chair Mats for Low to Medium Pile Carpets"/>
    <n v="129.93"/>
    <n v="3"/>
    <n v="12.993"/>
    <x v="2"/>
    <x v="7"/>
  </r>
  <r>
    <s v="CA-2015-168746"/>
    <x v="369"/>
    <d v="2015-01-29T00:00:00"/>
    <x v="0"/>
    <s v="SV-20365"/>
    <s v="Seth Vernon"/>
    <x v="0"/>
    <s v="United States"/>
    <x v="59"/>
    <x v="15"/>
    <x v="2"/>
    <s v="FUR-CH-10000513"/>
    <x v="0"/>
    <x v="1"/>
    <s v="High-Back Leather Manager's Chair"/>
    <n v="181.98599999999999"/>
    <n v="2"/>
    <n v="-54.595799999999997"/>
    <x v="3"/>
    <x v="8"/>
  </r>
  <r>
    <s v="CA-2015-113404"/>
    <x v="370"/>
    <d v="2015-07-16T00:00:00"/>
    <x v="3"/>
    <s v="EM-13810"/>
    <s v="Eleni McCrary"/>
    <x v="1"/>
    <s v="United States"/>
    <x v="28"/>
    <x v="2"/>
    <x v="1"/>
    <s v="FUR-CH-10003312"/>
    <x v="0"/>
    <x v="1"/>
    <s v="Hon 2090 ÒPillow SoftÓ Series Mid Back Swivel/Tilt Chairs"/>
    <n v="1348.704"/>
    <n v="6"/>
    <n v="-219.1644"/>
    <x v="7"/>
    <x v="3"/>
  </r>
  <r>
    <s v="CA-2015-113404"/>
    <x v="370"/>
    <d v="2015-07-16T00:00:00"/>
    <x v="3"/>
    <s v="EM-13810"/>
    <s v="Eleni McCrary"/>
    <x v="1"/>
    <s v="United States"/>
    <x v="28"/>
    <x v="2"/>
    <x v="1"/>
    <s v="FUR-CH-10004086"/>
    <x v="0"/>
    <x v="1"/>
    <s v="Hon 4070 Series Pagoda Armless Upholstered Stacking Chairs"/>
    <n v="700.15200000000004"/>
    <n v="3"/>
    <n v="78.767099999999999"/>
    <x v="7"/>
    <x v="3"/>
  </r>
  <r>
    <s v="CA-2016-144792"/>
    <x v="325"/>
    <d v="2016-05-04T00:00:00"/>
    <x v="1"/>
    <s v="KD-16615"/>
    <s v="Ken Dana"/>
    <x v="1"/>
    <s v="United States"/>
    <x v="163"/>
    <x v="22"/>
    <x v="1"/>
    <s v="FUR-FU-10002759"/>
    <x v="0"/>
    <x v="3"/>
    <s v="12-1/2 Diameter Round Wall Clock"/>
    <n v="111.88800000000001"/>
    <n v="7"/>
    <n v="22.377600000000001"/>
    <x v="4"/>
    <x v="6"/>
  </r>
  <r>
    <s v="US-2016-114174"/>
    <x v="63"/>
    <d v="2016-09-14T00:00:00"/>
    <x v="1"/>
    <s v="AP-10720"/>
    <s v="Anne Pryor"/>
    <x v="2"/>
    <s v="United States"/>
    <x v="164"/>
    <x v="20"/>
    <x v="2"/>
    <s v="FUR-BO-10003450"/>
    <x v="0"/>
    <x v="0"/>
    <s v="Bush Westfield Collection Bookcases, Dark Cherry Finish"/>
    <n v="173.94"/>
    <n v="3"/>
    <n v="13.9152"/>
    <x v="6"/>
    <x v="4"/>
  </r>
  <r>
    <s v="CA-2017-108070"/>
    <x v="371"/>
    <d v="2017-04-20T00:00:00"/>
    <x v="1"/>
    <s v="JE-15745"/>
    <s v="Joel Eaton"/>
    <x v="0"/>
    <s v="United States"/>
    <x v="124"/>
    <x v="2"/>
    <x v="1"/>
    <s v="FUR-BO-10001337"/>
    <x v="0"/>
    <x v="0"/>
    <s v="O'Sullivan Living Dimensions 2-Shelf Bookcases"/>
    <n v="102.833"/>
    <n v="1"/>
    <n v="-6.0490000000000004"/>
    <x v="4"/>
    <x v="6"/>
  </r>
  <r>
    <s v="CA-2017-101042"/>
    <x v="49"/>
    <d v="2017-11-23T00:00:00"/>
    <x v="1"/>
    <s v="AB-10105"/>
    <s v="Adrian Barton"/>
    <x v="0"/>
    <s v="United States"/>
    <x v="0"/>
    <x v="0"/>
    <x v="0"/>
    <s v="FUR-FU-10004665"/>
    <x v="0"/>
    <x v="3"/>
    <s v="3M Polarizing Task Lamp with Clamp Arm, Light Gray"/>
    <n v="821.88"/>
    <n v="6"/>
    <n v="213.68879999999999"/>
    <x v="4"/>
    <x v="0"/>
  </r>
  <r>
    <s v="US-2016-126844"/>
    <x v="372"/>
    <d v="2016-10-14T00:00:00"/>
    <x v="1"/>
    <s v="BW-11110"/>
    <s v="Bart Watters"/>
    <x v="1"/>
    <s v="United States"/>
    <x v="6"/>
    <x v="5"/>
    <x v="3"/>
    <s v="FUR-FU-10004909"/>
    <x v="0"/>
    <x v="3"/>
    <s v="Contemporary Wood/Metal Frame"/>
    <n v="51.712000000000003"/>
    <n v="8"/>
    <n v="-32.32"/>
    <x v="6"/>
    <x v="1"/>
  </r>
  <r>
    <s v="CA-2015-147788"/>
    <x v="151"/>
    <d v="2015-06-04T00:00:00"/>
    <x v="1"/>
    <s v="TM-21010"/>
    <s v="Tamara Manning"/>
    <x v="0"/>
    <s v="United States"/>
    <x v="4"/>
    <x v="4"/>
    <x v="1"/>
    <s v="FUR-BO-10004357"/>
    <x v="0"/>
    <x v="0"/>
    <s v="O'Sullivan Living Dimensions 3-Shelf Bookcases"/>
    <n v="1406.86"/>
    <n v="7"/>
    <n v="140.68600000000001"/>
    <x v="4"/>
    <x v="7"/>
  </r>
  <r>
    <s v="CA-2017-123967"/>
    <x v="373"/>
    <d v="2017-11-03T00:00:00"/>
    <x v="0"/>
    <s v="SF-20200"/>
    <s v="Sarah Foster"/>
    <x v="0"/>
    <s v="United States"/>
    <x v="165"/>
    <x v="13"/>
    <x v="1"/>
    <s v="FUR-TA-10003954"/>
    <x v="0"/>
    <x v="2"/>
    <s v="Hon 94000 Series Round Tables"/>
    <n v="2665.62"/>
    <n v="9"/>
    <n v="239.9058"/>
    <x v="3"/>
    <x v="0"/>
  </r>
  <r>
    <s v="CA-2017-145128"/>
    <x v="374"/>
    <d v="2017-07-14T00:00:00"/>
    <x v="1"/>
    <s v="SM-20320"/>
    <s v="Sean Miller"/>
    <x v="2"/>
    <s v="United States"/>
    <x v="120"/>
    <x v="6"/>
    <x v="3"/>
    <s v="FUR-FU-10000293"/>
    <x v="0"/>
    <x v="3"/>
    <s v="Eldon Antistatic Chair Mats for Low to Medium Pile Carpets"/>
    <n v="526.45000000000005"/>
    <n v="5"/>
    <n v="31.587"/>
    <x v="2"/>
    <x v="3"/>
  </r>
  <r>
    <s v="US-2014-155502"/>
    <x v="375"/>
    <d v="2014-01-31T00:00:00"/>
    <x v="1"/>
    <s v="SD-20485"/>
    <s v="Shirley Daniels"/>
    <x v="2"/>
    <s v="United States"/>
    <x v="166"/>
    <x v="25"/>
    <x v="0"/>
    <s v="FUR-FU-10004587"/>
    <x v="0"/>
    <x v="3"/>
    <s v="GE General Use Halogen Bulbs, 100 Watts, 1 Bulb per Pack"/>
    <n v="62.82"/>
    <n v="3"/>
    <n v="30.7818"/>
    <x v="2"/>
    <x v="8"/>
  </r>
  <r>
    <s v="US-2014-155502"/>
    <x v="375"/>
    <d v="2014-01-31T00:00:00"/>
    <x v="1"/>
    <s v="SD-20485"/>
    <s v="Shirley Daniels"/>
    <x v="2"/>
    <s v="United States"/>
    <x v="166"/>
    <x v="25"/>
    <x v="0"/>
    <s v="FUR-FU-10001847"/>
    <x v="0"/>
    <x v="3"/>
    <s v="Eldon Image Series Black Desk Accessories"/>
    <n v="12.42"/>
    <n v="3"/>
    <n v="4.4711999999999996"/>
    <x v="2"/>
    <x v="8"/>
  </r>
  <r>
    <s v="CA-2017-131695"/>
    <x v="254"/>
    <d v="2017-07-06T00:00:00"/>
    <x v="1"/>
    <s v="RA-19285"/>
    <s v="Ralph Arnett"/>
    <x v="0"/>
    <s v="United States"/>
    <x v="13"/>
    <x v="7"/>
    <x v="2"/>
    <s v="FUR-FU-10002045"/>
    <x v="0"/>
    <x v="3"/>
    <s v="Executive Impressions 14&quot;"/>
    <n v="22.23"/>
    <n v="1"/>
    <n v="9.7812000000000001"/>
    <x v="6"/>
    <x v="2"/>
  </r>
  <r>
    <s v="US-2016-115455"/>
    <x v="63"/>
    <d v="2016-09-14T00:00:00"/>
    <x v="1"/>
    <s v="SE-20110"/>
    <s v="Sanjit Engle"/>
    <x v="0"/>
    <s v="United States"/>
    <x v="167"/>
    <x v="8"/>
    <x v="3"/>
    <s v="FUR-FU-10004671"/>
    <x v="0"/>
    <x v="3"/>
    <s v="Executive Impressions 12&quot; Wall Clock"/>
    <n v="14.135999999999999"/>
    <n v="2"/>
    <n v="-7.7747999999999999"/>
    <x v="6"/>
    <x v="4"/>
  </r>
  <r>
    <s v="US-2016-115455"/>
    <x v="63"/>
    <d v="2016-09-14T00:00:00"/>
    <x v="1"/>
    <s v="SE-20110"/>
    <s v="Sanjit Engle"/>
    <x v="0"/>
    <s v="United States"/>
    <x v="167"/>
    <x v="8"/>
    <x v="3"/>
    <s v="FUR-TA-10003569"/>
    <x v="0"/>
    <x v="2"/>
    <s v="Bretford CR8500 Series Meeting Room Furniture"/>
    <n v="601.47"/>
    <n v="3"/>
    <n v="-300.73500000000001"/>
    <x v="6"/>
    <x v="4"/>
  </r>
  <r>
    <s v="CA-2016-165848"/>
    <x v="41"/>
    <d v="2016-06-04T00:00:00"/>
    <x v="3"/>
    <s v="EN-13780"/>
    <s v="Edward Nazzal"/>
    <x v="0"/>
    <s v="United States"/>
    <x v="13"/>
    <x v="7"/>
    <x v="2"/>
    <s v="FUR-BO-10000362"/>
    <x v="0"/>
    <x v="0"/>
    <s v="Sauder Inglewood Library Bookcases"/>
    <n v="136.78399999999999"/>
    <n v="1"/>
    <n v="5.1294000000000004"/>
    <x v="7"/>
    <x v="2"/>
  </r>
  <r>
    <s v="CA-2016-165848"/>
    <x v="41"/>
    <d v="2016-06-04T00:00:00"/>
    <x v="3"/>
    <s v="EN-13780"/>
    <s v="Edward Nazzal"/>
    <x v="0"/>
    <s v="United States"/>
    <x v="13"/>
    <x v="7"/>
    <x v="2"/>
    <s v="FUR-FU-10003878"/>
    <x v="0"/>
    <x v="3"/>
    <s v="Linden 10&quot; Round Wall Clock, Black"/>
    <n v="61.12"/>
    <n v="4"/>
    <n v="20.780799999999999"/>
    <x v="7"/>
    <x v="2"/>
  </r>
  <r>
    <s v="CA-2014-127446"/>
    <x v="306"/>
    <d v="2014-11-30T00:00:00"/>
    <x v="1"/>
    <s v="MC-17590"/>
    <s v="Matt Collister"/>
    <x v="1"/>
    <s v="United States"/>
    <x v="58"/>
    <x v="5"/>
    <x v="3"/>
    <s v="FUR-TA-10000577"/>
    <x v="0"/>
    <x v="2"/>
    <s v="Bretford CR4500 Series Slim Rectangular Table"/>
    <n v="1218.7349999999999"/>
    <n v="5"/>
    <n v="-121.87350000000001"/>
    <x v="2"/>
    <x v="0"/>
  </r>
  <r>
    <s v="CA-2014-127446"/>
    <x v="306"/>
    <d v="2014-11-30T00:00:00"/>
    <x v="1"/>
    <s v="MC-17590"/>
    <s v="Matt Collister"/>
    <x v="1"/>
    <s v="United States"/>
    <x v="58"/>
    <x v="5"/>
    <x v="3"/>
    <s v="FUR-FU-10000221"/>
    <x v="0"/>
    <x v="3"/>
    <s v="Master Caster Door Stop, Brown"/>
    <n v="6.0960000000000001"/>
    <n v="3"/>
    <n v="-3.9624000000000001"/>
    <x v="2"/>
    <x v="0"/>
  </r>
  <r>
    <s v="CA-2016-137204"/>
    <x v="376"/>
    <d v="2016-05-05T00:00:00"/>
    <x v="1"/>
    <s v="BO-11350"/>
    <s v="Bill Overfelt"/>
    <x v="1"/>
    <s v="United States"/>
    <x v="2"/>
    <x v="2"/>
    <x v="1"/>
    <s v="FUR-CH-10002304"/>
    <x v="0"/>
    <x v="1"/>
    <s v="Global Stack Chair without Arms, Black"/>
    <n v="41.567999999999998"/>
    <n v="2"/>
    <n v="2.5979999999999999"/>
    <x v="1"/>
    <x v="6"/>
  </r>
  <r>
    <s v="CA-2014-147298"/>
    <x v="377"/>
    <d v="2014-05-03T00:00:00"/>
    <x v="1"/>
    <s v="AG-10300"/>
    <s v="Aleksandra Gannaway"/>
    <x v="1"/>
    <s v="United States"/>
    <x v="2"/>
    <x v="2"/>
    <x v="1"/>
    <s v="FUR-CH-10004886"/>
    <x v="0"/>
    <x v="1"/>
    <s v="Bevis Steel Folding Chairs"/>
    <n v="230.28"/>
    <n v="3"/>
    <n v="23.027999999999999"/>
    <x v="1"/>
    <x v="6"/>
  </r>
  <r>
    <s v="US-2017-110604"/>
    <x v="378"/>
    <d v="2017-05-20T00:00:00"/>
    <x v="1"/>
    <s v="JF-15295"/>
    <s v="Jason Fortune-"/>
    <x v="0"/>
    <s v="United States"/>
    <x v="15"/>
    <x v="13"/>
    <x v="1"/>
    <s v="FUR-FU-10000076"/>
    <x v="0"/>
    <x v="3"/>
    <s v="24-Hour Round Wall Clock"/>
    <n v="39.96"/>
    <n v="2"/>
    <n v="17.1828"/>
    <x v="2"/>
    <x v="7"/>
  </r>
  <r>
    <s v="US-2017-110604"/>
    <x v="378"/>
    <d v="2017-05-20T00:00:00"/>
    <x v="1"/>
    <s v="JF-15295"/>
    <s v="Jason Fortune-"/>
    <x v="0"/>
    <s v="United States"/>
    <x v="15"/>
    <x v="13"/>
    <x v="1"/>
    <s v="FUR-CH-10002017"/>
    <x v="0"/>
    <x v="1"/>
    <s v="SAFCO Optional Arm Kit for Workspace Cribbage Stacking Chair"/>
    <n v="42.624000000000002"/>
    <n v="2"/>
    <n v="4.2624000000000004"/>
    <x v="2"/>
    <x v="7"/>
  </r>
  <r>
    <s v="US-2017-110604"/>
    <x v="378"/>
    <d v="2017-05-20T00:00:00"/>
    <x v="1"/>
    <s v="JF-15295"/>
    <s v="Jason Fortune-"/>
    <x v="0"/>
    <s v="United States"/>
    <x v="15"/>
    <x v="13"/>
    <x v="1"/>
    <s v="FUR-CH-10004287"/>
    <x v="0"/>
    <x v="1"/>
    <s v="SAFCO Arco Folding Chair"/>
    <n v="220.96"/>
    <n v="1"/>
    <n v="24.858000000000001"/>
    <x v="2"/>
    <x v="7"/>
  </r>
  <r>
    <s v="CA-2015-116750"/>
    <x v="379"/>
    <d v="2015-07-10T00:00:00"/>
    <x v="0"/>
    <s v="BF-10975"/>
    <s v="Barbara Fisher"/>
    <x v="1"/>
    <s v="United States"/>
    <x v="160"/>
    <x v="30"/>
    <x v="0"/>
    <s v="FUR-FU-10003829"/>
    <x v="0"/>
    <x v="3"/>
    <s v="Stackable Trays"/>
    <n v="4.9279999999999999"/>
    <n v="2"/>
    <n v="0.73919999999999997"/>
    <x v="2"/>
    <x v="3"/>
  </r>
  <r>
    <s v="CA-2017-108441"/>
    <x v="235"/>
    <d v="2017-06-18T00:00:00"/>
    <x v="1"/>
    <s v="SB-20170"/>
    <s v="Sarah Bern"/>
    <x v="0"/>
    <s v="United States"/>
    <x v="13"/>
    <x v="7"/>
    <x v="2"/>
    <s v="FUR-CH-10000595"/>
    <x v="0"/>
    <x v="1"/>
    <s v="Safco Contoured Stacking Chairs"/>
    <n v="858.24"/>
    <n v="4"/>
    <n v="143.04"/>
    <x v="6"/>
    <x v="2"/>
  </r>
  <r>
    <s v="CA-2016-149111"/>
    <x v="380"/>
    <d v="2016-04-21T00:00:00"/>
    <x v="0"/>
    <s v="BF-11170"/>
    <s v="Ben Ferrer"/>
    <x v="2"/>
    <s v="United States"/>
    <x v="168"/>
    <x v="30"/>
    <x v="0"/>
    <s v="FUR-FU-10000206"/>
    <x v="0"/>
    <x v="3"/>
    <s v="GE General Purpose, Extra Long Life, Showcase &amp; Floodlight Incandescent Bulbs"/>
    <n v="18.623999999999999"/>
    <n v="8"/>
    <n v="6.2855999999999996"/>
    <x v="4"/>
    <x v="6"/>
  </r>
  <r>
    <s v="CA-2014-131002"/>
    <x v="266"/>
    <d v="2014-09-12T00:00:00"/>
    <x v="0"/>
    <s v="TB-21400"/>
    <s v="Tom Boeckenhauer"/>
    <x v="0"/>
    <s v="United States"/>
    <x v="169"/>
    <x v="37"/>
    <x v="3"/>
    <s v="FUR-FU-10004270"/>
    <x v="0"/>
    <x v="3"/>
    <s v="Executive Impressions 13&quot; Clairmont Wall Clock"/>
    <n v="57.69"/>
    <n v="3"/>
    <n v="23.652899999999999"/>
    <x v="2"/>
    <x v="4"/>
  </r>
  <r>
    <s v="CA-2014-131002"/>
    <x v="266"/>
    <d v="2014-09-12T00:00:00"/>
    <x v="0"/>
    <s v="TB-21400"/>
    <s v="Tom Boeckenhauer"/>
    <x v="0"/>
    <s v="United States"/>
    <x v="169"/>
    <x v="37"/>
    <x v="3"/>
    <s v="FUR-FU-10004665"/>
    <x v="0"/>
    <x v="3"/>
    <s v="3M Polarizing Task Lamp with Clamp Arm, Light Gray"/>
    <n v="821.88"/>
    <n v="6"/>
    <n v="213.68879999999999"/>
    <x v="2"/>
    <x v="4"/>
  </r>
  <r>
    <s v="US-2016-146794"/>
    <x v="73"/>
    <d v="2016-10-01T00:00:00"/>
    <x v="1"/>
    <s v="SH-19975"/>
    <s v="Sally Hughsby"/>
    <x v="1"/>
    <s v="United States"/>
    <x v="170"/>
    <x v="2"/>
    <x v="1"/>
    <s v="FUR-BO-10004467"/>
    <x v="0"/>
    <x v="0"/>
    <s v="Bestar Classic Bookcase"/>
    <n v="424.95749999999998"/>
    <n v="5"/>
    <n v="19.998000000000001"/>
    <x v="2"/>
    <x v="4"/>
  </r>
  <r>
    <s v="CA-2017-112515"/>
    <x v="342"/>
    <d v="2017-09-21T00:00:00"/>
    <x v="0"/>
    <s v="AS-10225"/>
    <s v="Alan Schoenberger"/>
    <x v="1"/>
    <s v="United States"/>
    <x v="106"/>
    <x v="4"/>
    <x v="1"/>
    <s v="FUR-BO-10003404"/>
    <x v="0"/>
    <x v="0"/>
    <s v="Global Adaptabilites Bookcase, Cherry/Storm Gray Finish"/>
    <n v="1292.94"/>
    <n v="3"/>
    <n v="77.576400000000007"/>
    <x v="4"/>
    <x v="4"/>
  </r>
  <r>
    <s v="CA-2015-135538"/>
    <x v="37"/>
    <d v="2015-12-28T00:00:00"/>
    <x v="1"/>
    <s v="HR-14830"/>
    <s v="Harold Ryan"/>
    <x v="1"/>
    <s v="United States"/>
    <x v="171"/>
    <x v="22"/>
    <x v="1"/>
    <s v="FUR-CH-10004287"/>
    <x v="0"/>
    <x v="1"/>
    <s v="SAFCO Arco Folding Chair"/>
    <n v="883.84"/>
    <n v="4"/>
    <n v="99.432000000000002"/>
    <x v="4"/>
    <x v="5"/>
  </r>
  <r>
    <s v="CA-2016-164784"/>
    <x v="381"/>
    <d v="2016-05-04T00:00:00"/>
    <x v="2"/>
    <s v="HF-14995"/>
    <s v="Herbert Flentye"/>
    <x v="0"/>
    <s v="United States"/>
    <x v="10"/>
    <x v="9"/>
    <x v="0"/>
    <s v="FUR-TA-10004534"/>
    <x v="0"/>
    <x v="2"/>
    <s v="Bevis 44 x 96 Conference Tables"/>
    <n v="370.62"/>
    <n v="3"/>
    <n v="-142.071"/>
    <x v="0"/>
    <x v="7"/>
  </r>
  <r>
    <s v="US-2015-139759"/>
    <x v="382"/>
    <d v="2015-08-30T00:00:00"/>
    <x v="1"/>
    <s v="NL-18310"/>
    <s v="Nancy Lomonaco"/>
    <x v="2"/>
    <s v="United States"/>
    <x v="2"/>
    <x v="2"/>
    <x v="1"/>
    <s v="FUR-CH-10002774"/>
    <x v="0"/>
    <x v="1"/>
    <s v="Global Deluxe Stacking Chair, Gray"/>
    <n v="40.783999999999999"/>
    <n v="1"/>
    <n v="4.5881999999999996"/>
    <x v="2"/>
    <x v="10"/>
  </r>
  <r>
    <s v="CA-2014-126403"/>
    <x v="383"/>
    <d v="2014-09-12T00:00:00"/>
    <x v="0"/>
    <s v="RR-19525"/>
    <s v="Rick Reed"/>
    <x v="1"/>
    <s v="United States"/>
    <x v="172"/>
    <x v="20"/>
    <x v="2"/>
    <s v="FUR-CH-10003761"/>
    <x v="0"/>
    <x v="1"/>
    <s v="Global Italian Leather Office Chair"/>
    <n v="785.88"/>
    <n v="6"/>
    <n v="212.1876"/>
    <x v="0"/>
    <x v="4"/>
  </r>
  <r>
    <s v="CA-2016-138079"/>
    <x v="360"/>
    <d v="2016-01-28T00:00:00"/>
    <x v="1"/>
    <s v="AJ-10795"/>
    <s v="Anthony Johnson"/>
    <x v="1"/>
    <s v="United States"/>
    <x v="15"/>
    <x v="13"/>
    <x v="1"/>
    <s v="FUR-FU-10001475"/>
    <x v="0"/>
    <x v="3"/>
    <s v="Contract Clock, 14&quot;, Brown"/>
    <n v="109.9"/>
    <n v="5"/>
    <n v="37.366"/>
    <x v="6"/>
    <x v="8"/>
  </r>
  <r>
    <s v="CA-2014-143182"/>
    <x v="384"/>
    <d v="2014-10-20T00:00:00"/>
    <x v="1"/>
    <s v="DL-12865"/>
    <s v="Dan Lawera"/>
    <x v="0"/>
    <s v="United States"/>
    <x v="173"/>
    <x v="1"/>
    <x v="0"/>
    <s v="FUR-FU-10004270"/>
    <x v="0"/>
    <x v="3"/>
    <s v="Executive Impressions 13&quot; Clairmont Wall Clock"/>
    <n v="15.384"/>
    <n v="1"/>
    <n v="4.0382999999999996"/>
    <x v="2"/>
    <x v="1"/>
  </r>
  <r>
    <s v="CA-2014-145317"/>
    <x v="385"/>
    <d v="2014-03-23T00:00:00"/>
    <x v="1"/>
    <s v="SM-20320"/>
    <s v="Sean Miller"/>
    <x v="2"/>
    <s v="United States"/>
    <x v="51"/>
    <x v="1"/>
    <x v="0"/>
    <s v="FUR-FU-10004270"/>
    <x v="0"/>
    <x v="3"/>
    <s v="Executive Impressions 13&quot; Clairmont Wall Clock"/>
    <n v="30.768000000000001"/>
    <n v="2"/>
    <n v="8.0765999999999991"/>
    <x v="2"/>
    <x v="9"/>
  </r>
  <r>
    <s v="CA-2014-145317"/>
    <x v="385"/>
    <d v="2014-03-23T00:00:00"/>
    <x v="1"/>
    <s v="SM-20320"/>
    <s v="Sean Miller"/>
    <x v="2"/>
    <s v="United States"/>
    <x v="51"/>
    <x v="1"/>
    <x v="0"/>
    <s v="FUR-FU-10001986"/>
    <x v="0"/>
    <x v="3"/>
    <s v="Dana Fluorescent Magnifying Lamp, White, 36&quot;"/>
    <n v="122.352"/>
    <n v="3"/>
    <n v="15.294"/>
    <x v="2"/>
    <x v="9"/>
  </r>
  <r>
    <s v="CA-2015-121797"/>
    <x v="386"/>
    <d v="2015-02-06T00:00:00"/>
    <x v="1"/>
    <s v="CC-12145"/>
    <s v="Charles Crestani"/>
    <x v="0"/>
    <s v="United States"/>
    <x v="2"/>
    <x v="2"/>
    <x v="1"/>
    <s v="FUR-FU-10001876"/>
    <x v="0"/>
    <x v="3"/>
    <s v="Computer Room Manger, 14&quot;"/>
    <n v="227.36"/>
    <n v="7"/>
    <n v="81.849599999999995"/>
    <x v="1"/>
    <x v="8"/>
  </r>
  <r>
    <s v="CA-2017-132430"/>
    <x v="224"/>
    <d v="2017-10-11T00:00:00"/>
    <x v="2"/>
    <s v="CP-12085"/>
    <s v="Cathy Prescott"/>
    <x v="1"/>
    <s v="United States"/>
    <x v="174"/>
    <x v="15"/>
    <x v="2"/>
    <s v="FUR-FU-10003577"/>
    <x v="0"/>
    <x v="3"/>
    <s v="Nu-Dell Leatherette Frames"/>
    <n v="45.887999999999998"/>
    <n v="4"/>
    <n v="9.1776"/>
    <x v="3"/>
    <x v="1"/>
  </r>
  <r>
    <s v="CA-2014-110030"/>
    <x v="387"/>
    <d v="2014-12-08T00:00:00"/>
    <x v="0"/>
    <s v="LF-17185"/>
    <s v="Luke Foster"/>
    <x v="0"/>
    <s v="United States"/>
    <x v="6"/>
    <x v="5"/>
    <x v="3"/>
    <s v="FUR-FU-10002759"/>
    <x v="0"/>
    <x v="3"/>
    <s v="12-1/2 Diameter Round Wall Clock"/>
    <n v="23.975999999999999"/>
    <n v="3"/>
    <n v="-14.3856"/>
    <x v="3"/>
    <x v="5"/>
  </r>
  <r>
    <s v="CA-2017-149888"/>
    <x v="388"/>
    <d v="2017-11-13T00:00:00"/>
    <x v="1"/>
    <s v="EP-13915"/>
    <s v="Emily Phan"/>
    <x v="0"/>
    <s v="United States"/>
    <x v="3"/>
    <x v="3"/>
    <x v="2"/>
    <s v="FUR-TA-10000849"/>
    <x v="0"/>
    <x v="2"/>
    <s v="Bevis Rectangular Conference Tables"/>
    <n v="350.35199999999998"/>
    <n v="4"/>
    <n v="-140.14080000000001"/>
    <x v="6"/>
    <x v="0"/>
  </r>
  <r>
    <s v="CA-2017-104801"/>
    <x v="389"/>
    <d v="2017-02-19T00:00:00"/>
    <x v="1"/>
    <s v="FH-14350"/>
    <s v="Fred Harton"/>
    <x v="0"/>
    <s v="United States"/>
    <x v="15"/>
    <x v="13"/>
    <x v="1"/>
    <s v="FUR-FU-10004017"/>
    <x v="0"/>
    <x v="3"/>
    <s v="Tenex Contemporary Contur Chairmats for Low and Medium Pile Carpet, Computer, 39&quot; x 49&quot;"/>
    <n v="107.53"/>
    <n v="1"/>
    <n v="21.506"/>
    <x v="6"/>
    <x v="11"/>
  </r>
  <r>
    <s v="CA-2015-115798"/>
    <x v="18"/>
    <d v="2015-11-19T00:00:00"/>
    <x v="1"/>
    <s v="KL-16645"/>
    <s v="Ken Lonsdale"/>
    <x v="0"/>
    <s v="United States"/>
    <x v="19"/>
    <x v="14"/>
    <x v="2"/>
    <s v="FUR-BO-10004467"/>
    <x v="0"/>
    <x v="0"/>
    <s v="Bestar Classic Bookcase"/>
    <n v="299.97000000000003"/>
    <n v="3"/>
    <n v="56.994300000000003"/>
    <x v="6"/>
    <x v="0"/>
  </r>
  <r>
    <s v="CA-2014-149244"/>
    <x v="53"/>
    <d v="2014-11-08T00:00:00"/>
    <x v="1"/>
    <s v="MS-17530"/>
    <s v="MaryBeth Skach"/>
    <x v="0"/>
    <s v="United States"/>
    <x v="53"/>
    <x v="2"/>
    <x v="1"/>
    <s v="FUR-FU-10004671"/>
    <x v="0"/>
    <x v="3"/>
    <s v="Executive Impressions 12&quot; Wall Clock"/>
    <n v="35.340000000000003"/>
    <n v="2"/>
    <n v="13.4292"/>
    <x v="4"/>
    <x v="0"/>
  </r>
  <r>
    <s v="CA-2015-140144"/>
    <x v="390"/>
    <d v="2015-06-25T00:00:00"/>
    <x v="0"/>
    <s v="SC-20770"/>
    <s v="Stewart Carmichael"/>
    <x v="1"/>
    <s v="United States"/>
    <x v="28"/>
    <x v="2"/>
    <x v="1"/>
    <s v="FUR-FU-10002253"/>
    <x v="0"/>
    <x v="3"/>
    <s v="Howard Miller 13&quot; Diameter Pewter Finish Round Wall Clock"/>
    <n v="257.64"/>
    <n v="6"/>
    <n v="100.4796"/>
    <x v="2"/>
    <x v="2"/>
  </r>
  <r>
    <s v="CA-2014-155887"/>
    <x v="264"/>
    <d v="2014-05-17T00:00:00"/>
    <x v="1"/>
    <s v="KT-16480"/>
    <s v="Kean Thornton"/>
    <x v="0"/>
    <s v="United States"/>
    <x v="20"/>
    <x v="20"/>
    <x v="2"/>
    <s v="FUR-TA-10002228"/>
    <x v="0"/>
    <x v="2"/>
    <s v="Bevis Traditional Conference Table Top, Plinth Base"/>
    <n v="700.05600000000004"/>
    <n v="3"/>
    <n v="-130.0104"/>
    <x v="2"/>
    <x v="7"/>
  </r>
  <r>
    <s v="US-2014-141257"/>
    <x v="391"/>
    <d v="2014-06-14T00:00:00"/>
    <x v="1"/>
    <s v="CS-11950"/>
    <s v="Carlos Soltero"/>
    <x v="0"/>
    <s v="United States"/>
    <x v="15"/>
    <x v="13"/>
    <x v="1"/>
    <s v="FUR-CH-10002758"/>
    <x v="0"/>
    <x v="1"/>
    <s v="Hon Deluxe Fabric Upholstered Stacking Chairs, Squared Back"/>
    <n v="585.55200000000002"/>
    <n v="3"/>
    <n v="73.194000000000003"/>
    <x v="6"/>
    <x v="2"/>
  </r>
  <r>
    <s v="CA-2014-158029"/>
    <x v="261"/>
    <d v="2014-05-30T00:00:00"/>
    <x v="1"/>
    <s v="HF-14995"/>
    <s v="Herbert Flentye"/>
    <x v="0"/>
    <s v="United States"/>
    <x v="2"/>
    <x v="2"/>
    <x v="1"/>
    <s v="FUR-CH-10000988"/>
    <x v="0"/>
    <x v="1"/>
    <s v="Hon Olson Stacker Stools"/>
    <n v="225.29599999999999"/>
    <n v="2"/>
    <n v="22.529599999999999"/>
    <x v="4"/>
    <x v="7"/>
  </r>
  <r>
    <s v="CA-2016-146171"/>
    <x v="237"/>
    <d v="2016-03-15T00:00:00"/>
    <x v="1"/>
    <s v="JP-16135"/>
    <s v="Julie Prescott"/>
    <x v="2"/>
    <s v="United States"/>
    <x v="29"/>
    <x v="24"/>
    <x v="0"/>
    <s v="FUR-FU-10004270"/>
    <x v="0"/>
    <x v="3"/>
    <s v="Executive Impressions 13&quot; Clairmont Wall Clock"/>
    <n v="76.92"/>
    <n v="4"/>
    <n v="31.537199999999999"/>
    <x v="4"/>
    <x v="9"/>
  </r>
  <r>
    <s v="CA-2017-158967"/>
    <x v="247"/>
    <d v="2017-12-12T00:00:00"/>
    <x v="2"/>
    <s v="BT-11680"/>
    <s v="Brian Thompson"/>
    <x v="0"/>
    <s v="United States"/>
    <x v="1"/>
    <x v="1"/>
    <x v="0"/>
    <s v="FUR-FU-10001940"/>
    <x v="0"/>
    <x v="3"/>
    <s v="Staple-based wall hangings"/>
    <n v="19.103999999999999"/>
    <n v="3"/>
    <n v="5.7312000000000003"/>
    <x v="3"/>
    <x v="5"/>
  </r>
  <r>
    <s v="CA-2015-138534"/>
    <x v="392"/>
    <d v="2015-07-19T00:00:00"/>
    <x v="0"/>
    <s v="JM-15535"/>
    <s v="Jessica Myrick"/>
    <x v="0"/>
    <s v="United States"/>
    <x v="175"/>
    <x v="2"/>
    <x v="1"/>
    <s v="FUR-BO-10003159"/>
    <x v="0"/>
    <x v="0"/>
    <s v="Sauder Camden County Collection Libraries, Planked Cherry Finish"/>
    <n v="195.46600000000001"/>
    <n v="2"/>
    <n v="-13.797599999999999"/>
    <x v="3"/>
    <x v="3"/>
  </r>
  <r>
    <s v="CA-2017-108322"/>
    <x v="393"/>
    <d v="2017-05-05T00:00:00"/>
    <x v="1"/>
    <s v="SS-20140"/>
    <s v="Saphhira Shifley"/>
    <x v="1"/>
    <s v="United States"/>
    <x v="176"/>
    <x v="1"/>
    <x v="0"/>
    <s v="FUR-FU-10001935"/>
    <x v="0"/>
    <x v="3"/>
    <s v="3M Hangers With Command Adhesive"/>
    <n v="23.68"/>
    <n v="8"/>
    <n v="6.2160000000000002"/>
    <x v="2"/>
    <x v="6"/>
  </r>
  <r>
    <s v="CA-2015-149972"/>
    <x v="231"/>
    <d v="2015-09-23T00:00:00"/>
    <x v="2"/>
    <s v="CD-12790"/>
    <s v="Cynthia Delaney"/>
    <x v="2"/>
    <s v="United States"/>
    <x v="2"/>
    <x v="2"/>
    <x v="1"/>
    <s v="FUR-CH-10004997"/>
    <x v="0"/>
    <x v="1"/>
    <s v="Hon Every-Day Series Multi-Task Chairs"/>
    <n v="601.53599999999994"/>
    <n v="4"/>
    <n v="0"/>
    <x v="3"/>
    <x v="4"/>
  </r>
  <r>
    <s v="US-2014-117744"/>
    <x v="116"/>
    <d v="2014-12-06T00:00:00"/>
    <x v="1"/>
    <s v="MD-17860"/>
    <s v="Michael Dominguez"/>
    <x v="1"/>
    <s v="United States"/>
    <x v="177"/>
    <x v="5"/>
    <x v="3"/>
    <s v="FUR-FU-10001588"/>
    <x v="0"/>
    <x v="3"/>
    <s v="Deflect-o SuperTray Unbreakable Stackable Tray, Letter, Black"/>
    <n v="58.36"/>
    <n v="5"/>
    <n v="-24.803000000000001"/>
    <x v="4"/>
    <x v="5"/>
  </r>
  <r>
    <s v="US-2014-117744"/>
    <x v="116"/>
    <d v="2014-12-06T00:00:00"/>
    <x v="1"/>
    <s v="MD-17860"/>
    <s v="Michael Dominguez"/>
    <x v="1"/>
    <s v="United States"/>
    <x v="177"/>
    <x v="5"/>
    <x v="3"/>
    <s v="FUR-FU-10002759"/>
    <x v="0"/>
    <x v="3"/>
    <s v="12-1/2 Diameter Round Wall Clock"/>
    <n v="39.96"/>
    <n v="5"/>
    <n v="-23.975999999999999"/>
    <x v="4"/>
    <x v="5"/>
  </r>
  <r>
    <s v="CA-2014-154599"/>
    <x v="394"/>
    <d v="2014-04-17T00:00:00"/>
    <x v="1"/>
    <s v="KN-16450"/>
    <s v="Kean Nguyen"/>
    <x v="1"/>
    <s v="United States"/>
    <x v="178"/>
    <x v="2"/>
    <x v="1"/>
    <s v="FUR-BO-10001337"/>
    <x v="0"/>
    <x v="0"/>
    <s v="O'Sullivan Living Dimensions 2-Shelf Bookcases"/>
    <n v="308.49900000000002"/>
    <n v="3"/>
    <n v="-18.146999999999998"/>
    <x v="2"/>
    <x v="6"/>
  </r>
  <r>
    <s v="CA-2017-143329"/>
    <x v="54"/>
    <d v="2017-11-08T00:00:00"/>
    <x v="1"/>
    <s v="DL-13330"/>
    <s v="Denise Leinenbach"/>
    <x v="0"/>
    <s v="United States"/>
    <x v="179"/>
    <x v="41"/>
    <x v="1"/>
    <s v="FUR-FU-10000629"/>
    <x v="0"/>
    <x v="3"/>
    <s v="9-3/4 Diameter Round Wall Clock"/>
    <n v="41.37"/>
    <n v="3"/>
    <n v="17.375399999999999"/>
    <x v="2"/>
    <x v="0"/>
  </r>
  <r>
    <s v="CA-2015-122623"/>
    <x v="395"/>
    <d v="2015-09-11T00:00:00"/>
    <x v="1"/>
    <s v="CC-12145"/>
    <s v="Charles Crestani"/>
    <x v="0"/>
    <s v="United States"/>
    <x v="116"/>
    <x v="5"/>
    <x v="3"/>
    <s v="FUR-CH-10000553"/>
    <x v="0"/>
    <x v="1"/>
    <s v="Metal Folding Chairs, Beige, 4/Carton"/>
    <n v="47.515999999999998"/>
    <n v="2"/>
    <n v="-2.0364"/>
    <x v="4"/>
    <x v="4"/>
  </r>
  <r>
    <s v="CA-2015-148635"/>
    <x v="396"/>
    <d v="2015-07-27T00:00:00"/>
    <x v="0"/>
    <s v="MH-18025"/>
    <s v="Michelle Huthwaite"/>
    <x v="0"/>
    <s v="United States"/>
    <x v="15"/>
    <x v="13"/>
    <x v="1"/>
    <s v="FUR-BO-10002213"/>
    <x v="0"/>
    <x v="0"/>
    <s v="Sauder Forest Hills Library, Woodland Oak Finish"/>
    <n v="704.9"/>
    <n v="5"/>
    <n v="56.392000000000003"/>
    <x v="3"/>
    <x v="3"/>
  </r>
  <r>
    <s v="CA-2015-148635"/>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s v="CA-2015-135685"/>
    <x v="397"/>
    <d v="2015-11-18T00:00:00"/>
    <x v="0"/>
    <s v="MP-18175"/>
    <s v="Mike Pelletier"/>
    <x v="2"/>
    <s v="United States"/>
    <x v="79"/>
    <x v="16"/>
    <x v="3"/>
    <s v="FUR-FU-10001185"/>
    <x v="0"/>
    <x v="3"/>
    <s v="Advantus Employee of the Month Certificate Frame, 11 x 13-1/2"/>
    <n v="185.58"/>
    <n v="6"/>
    <n v="76.087800000000001"/>
    <x v="3"/>
    <x v="0"/>
  </r>
  <r>
    <s v="CA-2015-135685"/>
    <x v="397"/>
    <d v="2015-11-18T00:00:00"/>
    <x v="0"/>
    <s v="MP-18175"/>
    <s v="Mike Pelletier"/>
    <x v="2"/>
    <s v="United States"/>
    <x v="79"/>
    <x v="16"/>
    <x v="3"/>
    <s v="FUR-TA-10001520"/>
    <x v="0"/>
    <x v="2"/>
    <s v="Lesro Sheffield Collection Coffee Table, End Table, Center Table, Corner Table"/>
    <n v="214.11"/>
    <n v="3"/>
    <n v="36.398699999999998"/>
    <x v="3"/>
    <x v="0"/>
  </r>
  <r>
    <s v="CA-2015-135685"/>
    <x v="397"/>
    <d v="2015-11-18T00:00:00"/>
    <x v="0"/>
    <s v="MP-18175"/>
    <s v="Mike Pelletier"/>
    <x v="2"/>
    <s v="United States"/>
    <x v="79"/>
    <x v="16"/>
    <x v="3"/>
    <s v="FUR-TA-10000688"/>
    <x v="0"/>
    <x v="2"/>
    <s v="Chromcraft Bull-Nose Wood Round Conference Table Top, Wood Base"/>
    <n v="653.54999999999995"/>
    <n v="3"/>
    <n v="111.1035"/>
    <x v="3"/>
    <x v="0"/>
  </r>
  <r>
    <s v="CA-2015-104626"/>
    <x v="398"/>
    <d v="2015-09-08T00:00:00"/>
    <x v="1"/>
    <s v="DR-12940"/>
    <s v="Daniel Raglin"/>
    <x v="2"/>
    <s v="United States"/>
    <x v="20"/>
    <x v="20"/>
    <x v="2"/>
    <s v="FUR-CH-10003817"/>
    <x v="0"/>
    <x v="1"/>
    <s v="Global Value Steno Chair, Gray"/>
    <n v="60.74"/>
    <n v="1"/>
    <n v="15.185"/>
    <x v="1"/>
    <x v="4"/>
  </r>
  <r>
    <s v="CA-2015-104626"/>
    <x v="398"/>
    <d v="2015-09-08T00:00:00"/>
    <x v="1"/>
    <s v="DR-12940"/>
    <s v="Daniel Raglin"/>
    <x v="2"/>
    <s v="United States"/>
    <x v="20"/>
    <x v="20"/>
    <x v="2"/>
    <s v="FUR-FU-10000308"/>
    <x v="0"/>
    <x v="3"/>
    <s v="Deflect-o Glass Clear Studded Chair Mats"/>
    <n v="124.36"/>
    <n v="2"/>
    <n v="27.359200000000001"/>
    <x v="1"/>
    <x v="4"/>
  </r>
  <r>
    <s v="CA-2016-160500"/>
    <x v="399"/>
    <d v="2016-05-08T00:00:00"/>
    <x v="2"/>
    <s v="DM-13015"/>
    <s v="Darrin Martin"/>
    <x v="0"/>
    <s v="United States"/>
    <x v="92"/>
    <x v="2"/>
    <x v="1"/>
    <s v="FUR-TA-10003748"/>
    <x v="0"/>
    <x v="2"/>
    <s v="Bevis 36 x 72 Conference Tables"/>
    <n v="298.77600000000001"/>
    <n v="3"/>
    <n v="7.4694000000000003"/>
    <x v="0"/>
    <x v="7"/>
  </r>
  <r>
    <s v="US-2014-112914"/>
    <x v="400"/>
    <d v="2014-09-30T00:00:00"/>
    <x v="1"/>
    <s v="MT-18070"/>
    <s v="Michelle Tran"/>
    <x v="2"/>
    <s v="United States"/>
    <x v="6"/>
    <x v="5"/>
    <x v="3"/>
    <s v="FUR-BO-10003272"/>
    <x v="0"/>
    <x v="0"/>
    <s v="O'Sullivan Living Dimensions 5-Shelf Bookcases"/>
    <n v="300.53280000000001"/>
    <n v="2"/>
    <n v="-97.231200000000001"/>
    <x v="2"/>
    <x v="4"/>
  </r>
  <r>
    <s v="US-2014-125521"/>
    <x v="401"/>
    <d v="2014-03-19T00:00:00"/>
    <x v="1"/>
    <s v="CK-12325"/>
    <s v="Christine Kargatis"/>
    <x v="2"/>
    <s v="United States"/>
    <x v="180"/>
    <x v="25"/>
    <x v="0"/>
    <s v="FUR-CH-10003379"/>
    <x v="0"/>
    <x v="1"/>
    <s v="Global Commerce Series High-Back Swivel/Tilt Chairs"/>
    <n v="1139.92"/>
    <n v="4"/>
    <n v="284.98"/>
    <x v="2"/>
    <x v="9"/>
  </r>
  <r>
    <s v="US-2016-162852"/>
    <x v="402"/>
    <d v="2016-12-31T00:00:00"/>
    <x v="1"/>
    <s v="BG-11695"/>
    <s v="Brooke Gillingham"/>
    <x v="1"/>
    <s v="United States"/>
    <x v="181"/>
    <x v="8"/>
    <x v="3"/>
    <s v="FUR-CH-10004853"/>
    <x v="0"/>
    <x v="1"/>
    <s v="Global Manager's Adjustable Task Chair, Storm"/>
    <n v="845.48800000000006"/>
    <n v="8"/>
    <n v="-12.0784"/>
    <x v="4"/>
    <x v="5"/>
  </r>
  <r>
    <s v="CA-2017-157854"/>
    <x v="403"/>
    <d v="2017-04-15T00:00:00"/>
    <x v="1"/>
    <s v="DM-13345"/>
    <s v="Denise Monton"/>
    <x v="1"/>
    <s v="United States"/>
    <x v="153"/>
    <x v="24"/>
    <x v="0"/>
    <s v="FUR-FU-10003832"/>
    <x v="0"/>
    <x v="3"/>
    <s v="Eldon Expressions Punched Metal &amp; Wood Desk Accessories, Black &amp; Cherry"/>
    <n v="56.28"/>
    <n v="6"/>
    <n v="15.7584"/>
    <x v="1"/>
    <x v="6"/>
  </r>
  <r>
    <s v="CA-2016-136371"/>
    <x v="331"/>
    <d v="2016-03-21T00:00:00"/>
    <x v="0"/>
    <s v="SV-20935"/>
    <s v="Susan Vittorini"/>
    <x v="0"/>
    <s v="United States"/>
    <x v="64"/>
    <x v="7"/>
    <x v="2"/>
    <s v="FUR-FU-10000409"/>
    <x v="0"/>
    <x v="3"/>
    <s v="GE 4 Foot Flourescent Tube, 40 Watt"/>
    <n v="14.98"/>
    <n v="1"/>
    <n v="6.8907999999999996"/>
    <x v="3"/>
    <x v="9"/>
  </r>
  <r>
    <s v="CA-2016-136371"/>
    <x v="331"/>
    <d v="2016-03-21T00:00:00"/>
    <x v="0"/>
    <s v="SV-20935"/>
    <s v="Susan Vittorini"/>
    <x v="0"/>
    <s v="United States"/>
    <x v="64"/>
    <x v="7"/>
    <x v="2"/>
    <s v="FUR-FU-10000221"/>
    <x v="0"/>
    <x v="3"/>
    <s v="Master Caster Door Stop, Brown"/>
    <n v="20.32"/>
    <n v="4"/>
    <n v="6.9088000000000003"/>
    <x v="3"/>
    <x v="9"/>
  </r>
  <r>
    <s v="CA-2016-128594"/>
    <x v="238"/>
    <d v="2016-08-29T00:00:00"/>
    <x v="2"/>
    <s v="DJ-13510"/>
    <s v="Don Jones"/>
    <x v="1"/>
    <s v="United States"/>
    <x v="53"/>
    <x v="2"/>
    <x v="1"/>
    <s v="FUR-CH-10001215"/>
    <x v="0"/>
    <x v="1"/>
    <s v="Global Troy Executive Leather Low-Back Tilter"/>
    <n v="1603.136"/>
    <n v="4"/>
    <n v="100.196"/>
    <x v="0"/>
    <x v="10"/>
  </r>
  <r>
    <s v="CA-2016-154690"/>
    <x v="404"/>
    <d v="2016-08-17T00:00:00"/>
    <x v="0"/>
    <s v="CC-12370"/>
    <s v="Christopher Conant"/>
    <x v="0"/>
    <s v="United States"/>
    <x v="160"/>
    <x v="30"/>
    <x v="0"/>
    <s v="FUR-CH-10000988"/>
    <x v="0"/>
    <x v="1"/>
    <s v="Hon Olson Stacker Stools"/>
    <n v="225.29599999999999"/>
    <n v="2"/>
    <n v="22.529599999999999"/>
    <x v="3"/>
    <x v="10"/>
  </r>
  <r>
    <s v="CA-2017-138975"/>
    <x v="405"/>
    <d v="2017-05-23T00:00:00"/>
    <x v="1"/>
    <s v="SC-20380"/>
    <s v="Shahid Collister"/>
    <x v="0"/>
    <s v="United States"/>
    <x v="182"/>
    <x v="24"/>
    <x v="0"/>
    <s v="FUR-BO-10004695"/>
    <x v="0"/>
    <x v="0"/>
    <s v="O'Sullivan 2-Door Barrister Bookcase in Odessa Pine"/>
    <n v="1628.82"/>
    <n v="9"/>
    <n v="374.62860000000001"/>
    <x v="4"/>
    <x v="7"/>
  </r>
  <r>
    <s v="CA-2017-143861"/>
    <x v="235"/>
    <d v="2017-06-19T00:00:00"/>
    <x v="1"/>
    <s v="LC-16885"/>
    <s v="Lena Creighton"/>
    <x v="0"/>
    <s v="United States"/>
    <x v="66"/>
    <x v="1"/>
    <x v="0"/>
    <s v="FUR-FU-10001546"/>
    <x v="0"/>
    <x v="3"/>
    <s v="Dana Swing-Arm Lamps"/>
    <n v="17.088000000000001"/>
    <n v="2"/>
    <n v="1.0680000000000001"/>
    <x v="1"/>
    <x v="2"/>
  </r>
  <r>
    <s v="CA-2014-148040"/>
    <x v="406"/>
    <d v="2014-03-26T00:00:00"/>
    <x v="1"/>
    <s v="BF-11275"/>
    <s v="Beth Fritzler"/>
    <x v="1"/>
    <s v="United States"/>
    <x v="104"/>
    <x v="22"/>
    <x v="1"/>
    <s v="FUR-CH-10001482"/>
    <x v="0"/>
    <x v="1"/>
    <s v="Office Star - Mesh Screen back chair with Vinyl seat"/>
    <n v="314.35199999999998"/>
    <n v="3"/>
    <n v="-35.364600000000003"/>
    <x v="4"/>
    <x v="9"/>
  </r>
  <r>
    <s v="US-2016-167339"/>
    <x v="407"/>
    <d v="2016-01-23T00:00:00"/>
    <x v="0"/>
    <s v="TD-20995"/>
    <s v="Tamara Dahlen"/>
    <x v="0"/>
    <s v="United States"/>
    <x v="53"/>
    <x v="2"/>
    <x v="1"/>
    <s v="FUR-CH-10004289"/>
    <x v="0"/>
    <x v="1"/>
    <s v="Global Super Steno Chair"/>
    <n v="153.56800000000001"/>
    <n v="2"/>
    <n v="-5.7587999999999999"/>
    <x v="3"/>
    <x v="8"/>
  </r>
  <r>
    <s v="US-2016-167339"/>
    <x v="407"/>
    <d v="2016-01-23T00:00:00"/>
    <x v="0"/>
    <s v="TD-20995"/>
    <s v="Tamara Dahlen"/>
    <x v="0"/>
    <s v="United States"/>
    <x v="53"/>
    <x v="2"/>
    <x v="1"/>
    <s v="FUR-CH-10000785"/>
    <x v="0"/>
    <x v="1"/>
    <s v="Global Ergonomic Managers Chair"/>
    <n v="1013.4880000000001"/>
    <n v="7"/>
    <n v="76.011600000000001"/>
    <x v="3"/>
    <x v="8"/>
  </r>
  <r>
    <s v="CA-2016-130799"/>
    <x v="367"/>
    <d v="2016-11-16T00:00:00"/>
    <x v="0"/>
    <s v="BK-11260"/>
    <s v="Berenike Kampe"/>
    <x v="0"/>
    <s v="United States"/>
    <x v="28"/>
    <x v="2"/>
    <x v="1"/>
    <s v="FUR-FU-10001852"/>
    <x v="0"/>
    <x v="3"/>
    <s v="Eldon Regeneration Recycled Desk Accessories, Smoke"/>
    <n v="6.96"/>
    <n v="4"/>
    <n v="2.2271999999999998"/>
    <x v="2"/>
    <x v="0"/>
  </r>
  <r>
    <s v="US-2016-159856"/>
    <x v="408"/>
    <d v="2016-10-22T00:00:00"/>
    <x v="1"/>
    <s v="EP-13915"/>
    <s v="Emily Phan"/>
    <x v="0"/>
    <s v="United States"/>
    <x v="183"/>
    <x v="22"/>
    <x v="1"/>
    <s v="FUR-CH-10003396"/>
    <x v="0"/>
    <x v="1"/>
    <s v="Global Deluxe Steno Chair"/>
    <n v="307.92"/>
    <n v="5"/>
    <n v="-34.640999999999998"/>
    <x v="4"/>
    <x v="1"/>
  </r>
  <r>
    <s v="CA-2014-142727"/>
    <x v="149"/>
    <d v="2014-05-01T00:00:00"/>
    <x v="0"/>
    <s v="HG-14845"/>
    <s v="Harry Greene"/>
    <x v="0"/>
    <s v="United States"/>
    <x v="184"/>
    <x v="35"/>
    <x v="0"/>
    <s v="FUR-CH-10002304"/>
    <x v="0"/>
    <x v="1"/>
    <s v="Global Stack Chair without Arms, Black"/>
    <n v="51.96"/>
    <n v="2"/>
    <n v="12.99"/>
    <x v="3"/>
    <x v="6"/>
  </r>
  <r>
    <s v="CA-2017-139913"/>
    <x v="409"/>
    <d v="2017-10-29T00:00:00"/>
    <x v="1"/>
    <s v="JC-16105"/>
    <s v="Julie Creighton"/>
    <x v="1"/>
    <s v="United States"/>
    <x v="77"/>
    <x v="7"/>
    <x v="2"/>
    <s v="FUR-FU-10000771"/>
    <x v="0"/>
    <x v="3"/>
    <s v="Eldon 200 Class Desk Accessories, Smoke"/>
    <n v="69.08"/>
    <n v="11"/>
    <n v="29.0136"/>
    <x v="6"/>
    <x v="1"/>
  </r>
  <r>
    <s v="US-2015-114839"/>
    <x v="12"/>
    <d v="2015-04-30T00:00:00"/>
    <x v="1"/>
    <s v="PW-19240"/>
    <s v="Pierre Wener"/>
    <x v="0"/>
    <s v="United States"/>
    <x v="6"/>
    <x v="5"/>
    <x v="3"/>
    <s v="FUR-CH-10004086"/>
    <x v="0"/>
    <x v="1"/>
    <s v="Hon 4070 Series Pagoda Armless Upholstered Stacking Chairs"/>
    <n v="408.42200000000003"/>
    <n v="2"/>
    <n v="-5.8346"/>
    <x v="4"/>
    <x v="6"/>
  </r>
  <r>
    <s v="CA-2016-153577"/>
    <x v="410"/>
    <d v="2016-07-01T00:00:00"/>
    <x v="1"/>
    <s v="KH-16330"/>
    <s v="Katharine Harms"/>
    <x v="1"/>
    <s v="United States"/>
    <x v="185"/>
    <x v="8"/>
    <x v="3"/>
    <s v="FUR-CH-10003981"/>
    <x v="0"/>
    <x v="1"/>
    <s v="Global Commerce Series Low-Back Swivel/Tilt Chairs"/>
    <n v="539.65800000000002"/>
    <n v="3"/>
    <n v="-7.7093999999999996"/>
    <x v="4"/>
    <x v="2"/>
  </r>
  <r>
    <s v="CA-2016-160129"/>
    <x v="411"/>
    <d v="2016-11-23T00:00:00"/>
    <x v="3"/>
    <s v="LS-17200"/>
    <s v="Luke Schmidt"/>
    <x v="1"/>
    <s v="United States"/>
    <x v="3"/>
    <x v="3"/>
    <x v="2"/>
    <s v="FUR-FU-10002088"/>
    <x v="0"/>
    <x v="3"/>
    <s v="Nu-Dell Float Frame 11 x 14 1/2"/>
    <n v="14.368"/>
    <n v="2"/>
    <n v="3.9512"/>
    <x v="7"/>
    <x v="0"/>
  </r>
  <r>
    <s v="CA-2016-160129"/>
    <x v="411"/>
    <d v="2016-11-23T00:00:00"/>
    <x v="3"/>
    <s v="LS-17200"/>
    <s v="Luke Schmidt"/>
    <x v="1"/>
    <s v="United States"/>
    <x v="3"/>
    <x v="3"/>
    <x v="2"/>
    <s v="FUR-FU-10003976"/>
    <x v="0"/>
    <x v="3"/>
    <s v="DAX Executive Solid Wood Document Frame, Desktop or Hang, Mahogany, 5 x 7"/>
    <n v="70.447999999999993"/>
    <n v="7"/>
    <n v="12.3284"/>
    <x v="7"/>
    <x v="0"/>
  </r>
  <r>
    <s v="CA-2014-157721"/>
    <x v="412"/>
    <d v="2014-09-05T00:00:00"/>
    <x v="2"/>
    <s v="JM-16195"/>
    <s v="Justin MacKendrick"/>
    <x v="0"/>
    <s v="United States"/>
    <x v="115"/>
    <x v="7"/>
    <x v="2"/>
    <s v="FUR-FU-10002116"/>
    <x v="0"/>
    <x v="3"/>
    <s v="Tenex Carpeted, Granite-Look or Clear Contemporary Contour Shape Chair Mats"/>
    <n v="70.709999999999994"/>
    <n v="1"/>
    <n v="4.9497"/>
    <x v="0"/>
    <x v="4"/>
  </r>
  <r>
    <s v="CA-2017-128629"/>
    <x v="413"/>
    <d v="2017-07-14T00:00:00"/>
    <x v="0"/>
    <s v="BP-11155"/>
    <s v="Becky Pak"/>
    <x v="0"/>
    <s v="United States"/>
    <x v="29"/>
    <x v="24"/>
    <x v="0"/>
    <s v="FUR-FU-10000771"/>
    <x v="0"/>
    <x v="3"/>
    <s v="Eldon 200 Class Desk Accessories, Smoke"/>
    <n v="18.84"/>
    <n v="3"/>
    <n v="7.9127999999999998"/>
    <x v="4"/>
    <x v="3"/>
  </r>
  <r>
    <s v="CA-2017-143434"/>
    <x v="414"/>
    <d v="2017-11-24T00:00:00"/>
    <x v="1"/>
    <s v="ME-17320"/>
    <s v="Maria Etezadi"/>
    <x v="2"/>
    <s v="United States"/>
    <x v="186"/>
    <x v="17"/>
    <x v="3"/>
    <s v="FUR-FU-10002597"/>
    <x v="0"/>
    <x v="3"/>
    <s v="C-Line Magnetic Cubicle Keepers, Clear Polypropylene"/>
    <n v="19.760000000000002"/>
    <n v="4"/>
    <n v="8.2992000000000008"/>
    <x v="6"/>
    <x v="0"/>
  </r>
  <r>
    <s v="CA-2015-168564"/>
    <x v="415"/>
    <d v="2015-08-08T00:00:00"/>
    <x v="3"/>
    <s v="TT-21220"/>
    <s v="Thomas Thornton"/>
    <x v="0"/>
    <s v="United States"/>
    <x v="28"/>
    <x v="2"/>
    <x v="1"/>
    <s v="FUR-CH-10000785"/>
    <x v="0"/>
    <x v="1"/>
    <s v="Global Ergonomic Managers Chair"/>
    <n v="144.78399999999999"/>
    <n v="1"/>
    <n v="10.8588"/>
    <x v="7"/>
    <x v="10"/>
  </r>
  <r>
    <s v="CA-2017-155880"/>
    <x v="416"/>
    <d v="2017-03-31T00:00:00"/>
    <x v="1"/>
    <s v="JD-16150"/>
    <s v="Justin Deggeller"/>
    <x v="1"/>
    <s v="United States"/>
    <x v="79"/>
    <x v="16"/>
    <x v="3"/>
    <s v="FUR-CH-10000422"/>
    <x v="0"/>
    <x v="1"/>
    <s v="Global Highback Leather Tilter in Burgundy"/>
    <n v="90.99"/>
    <n v="1"/>
    <n v="14.558400000000001"/>
    <x v="6"/>
    <x v="9"/>
  </r>
  <r>
    <s v="CA-2017-155880"/>
    <x v="416"/>
    <d v="2017-03-31T00:00:00"/>
    <x v="1"/>
    <s v="JD-16150"/>
    <s v="Justin Deggeller"/>
    <x v="1"/>
    <s v="United States"/>
    <x v="79"/>
    <x v="16"/>
    <x v="3"/>
    <s v="FUR-CH-10004675"/>
    <x v="0"/>
    <x v="1"/>
    <s v="Lifetime Advantage Folding Chairs, 4/Carton"/>
    <n v="1526.56"/>
    <n v="7"/>
    <n v="427.43680000000001"/>
    <x v="6"/>
    <x v="9"/>
  </r>
  <r>
    <s v="CA-2017-155880"/>
    <x v="416"/>
    <d v="2017-03-31T00:00:00"/>
    <x v="1"/>
    <s v="JD-16150"/>
    <s v="Justin Deggeller"/>
    <x v="1"/>
    <s v="United States"/>
    <x v="79"/>
    <x v="16"/>
    <x v="3"/>
    <s v="FUR-CH-10002880"/>
    <x v="0"/>
    <x v="1"/>
    <s v="Global High-Back Leather Tilter, Burgundy"/>
    <n v="368.97"/>
    <n v="3"/>
    <n v="40.5867"/>
    <x v="6"/>
    <x v="9"/>
  </r>
  <r>
    <s v="CA-2017-126242"/>
    <x v="49"/>
    <d v="2017-11-24T00:00:00"/>
    <x v="1"/>
    <s v="MC-18100"/>
    <s v="Mick Crebagga"/>
    <x v="0"/>
    <s v="United States"/>
    <x v="2"/>
    <x v="2"/>
    <x v="1"/>
    <s v="FUR-FU-10002685"/>
    <x v="0"/>
    <x v="3"/>
    <s v="Executive Impressions 13-1/2&quot; Indoor/Outdoor Wall Clock"/>
    <n v="18.7"/>
    <n v="1"/>
    <n v="7.1059999999999999"/>
    <x v="2"/>
    <x v="0"/>
  </r>
  <r>
    <s v="CA-2016-166443"/>
    <x v="114"/>
    <d v="2016-11-05T00:00:00"/>
    <x v="2"/>
    <s v="LH-17020"/>
    <s v="Lisa Hazard"/>
    <x v="0"/>
    <s v="United States"/>
    <x v="28"/>
    <x v="2"/>
    <x v="1"/>
    <s v="FUR-FU-10004020"/>
    <x v="0"/>
    <x v="3"/>
    <s v="Advantus Panel Wall Acrylic Frame"/>
    <n v="38.29"/>
    <n v="7"/>
    <n v="16.464700000000001"/>
    <x v="5"/>
    <x v="0"/>
  </r>
  <r>
    <s v="CA-2017-169859"/>
    <x v="417"/>
    <d v="2017-12-18T00:00:00"/>
    <x v="1"/>
    <s v="MP-18175"/>
    <s v="Mike Pelletier"/>
    <x v="2"/>
    <s v="United States"/>
    <x v="53"/>
    <x v="2"/>
    <x v="1"/>
    <s v="FUR-FU-10004963"/>
    <x v="0"/>
    <x v="3"/>
    <s v="Eldon 400 Class Desk Accessories, Black Carbon"/>
    <n v="26.25"/>
    <n v="3"/>
    <n v="11.025"/>
    <x v="4"/>
    <x v="5"/>
  </r>
  <r>
    <s v="CA-2017-134915"/>
    <x v="418"/>
    <d v="2017-11-12T00:00:00"/>
    <x v="3"/>
    <s v="EM-14140"/>
    <s v="Eugene Moren"/>
    <x v="2"/>
    <s v="United States"/>
    <x v="110"/>
    <x v="22"/>
    <x v="1"/>
    <s v="FUR-CH-10004875"/>
    <x v="0"/>
    <x v="1"/>
    <s v="Harbour Creations 67200 Series Stacking Chairs"/>
    <n v="113.88800000000001"/>
    <n v="2"/>
    <n v="9.9651999999999994"/>
    <x v="7"/>
    <x v="0"/>
  </r>
  <r>
    <s v="CA-2017-134915"/>
    <x v="418"/>
    <d v="2017-11-12T00:00:00"/>
    <x v="3"/>
    <s v="EM-14140"/>
    <s v="Eugene Moren"/>
    <x v="2"/>
    <s v="United States"/>
    <x v="110"/>
    <x v="22"/>
    <x v="1"/>
    <s v="FUR-FU-10000305"/>
    <x v="0"/>
    <x v="3"/>
    <s v="Tenex V2T-RE Standard Weight Series Chair Mat, 45&quot; x 53&quot;, Lip 25&quot; x 12&quot;"/>
    <n v="113.568"/>
    <n v="2"/>
    <n v="-5.6783999999999999"/>
    <x v="7"/>
    <x v="0"/>
  </r>
  <r>
    <s v="CA-2017-123638"/>
    <x v="419"/>
    <d v="2017-07-04T00:00:00"/>
    <x v="1"/>
    <s v="MA-17995"/>
    <s v="Michelle Arnett"/>
    <x v="2"/>
    <s v="United States"/>
    <x v="115"/>
    <x v="7"/>
    <x v="2"/>
    <s v="FUR-CH-10002647"/>
    <x v="0"/>
    <x v="1"/>
    <s v="Situations Contoured Folding Chairs, 4/Set"/>
    <n v="191.64599999999999"/>
    <n v="3"/>
    <n v="31.940999999999999"/>
    <x v="1"/>
    <x v="2"/>
  </r>
  <r>
    <s v="CA-2017-137428"/>
    <x v="420"/>
    <d v="2017-12-21T00:00:00"/>
    <x v="0"/>
    <s v="AY-10555"/>
    <s v="Andy Yotov"/>
    <x v="1"/>
    <s v="United States"/>
    <x v="64"/>
    <x v="2"/>
    <x v="1"/>
    <s v="FUR-CH-10002774"/>
    <x v="0"/>
    <x v="1"/>
    <s v="Global Deluxe Stacking Chair, Gray"/>
    <n v="81.567999999999998"/>
    <n v="2"/>
    <n v="9.1763999999999992"/>
    <x v="2"/>
    <x v="5"/>
  </r>
  <r>
    <s v="CA-2017-137428"/>
    <x v="420"/>
    <d v="2017-12-21T00:00:00"/>
    <x v="0"/>
    <s v="AY-10555"/>
    <s v="Andy Yotov"/>
    <x v="1"/>
    <s v="United States"/>
    <x v="64"/>
    <x v="2"/>
    <x v="1"/>
    <s v="FUR-CH-10003817"/>
    <x v="0"/>
    <x v="1"/>
    <s v="Global Value Steno Chair, Gray"/>
    <n v="97.183999999999997"/>
    <n v="2"/>
    <n v="6.0739999999999998"/>
    <x v="2"/>
    <x v="5"/>
  </r>
  <r>
    <s v="CA-2017-137428"/>
    <x v="420"/>
    <d v="2017-12-21T00:00:00"/>
    <x v="0"/>
    <s v="AY-10555"/>
    <s v="Andy Yotov"/>
    <x v="1"/>
    <s v="United States"/>
    <x v="64"/>
    <x v="2"/>
    <x v="1"/>
    <s v="FUR-FU-10002445"/>
    <x v="0"/>
    <x v="3"/>
    <s v="DAX Two-Tone Rosewood/Black Document Frame, Desktop, 5 x 7"/>
    <n v="18.96"/>
    <n v="2"/>
    <n v="7.5839999999999996"/>
    <x v="2"/>
    <x v="5"/>
  </r>
  <r>
    <s v="CA-2014-162866"/>
    <x v="421"/>
    <d v="2014-12-31T00:00:00"/>
    <x v="1"/>
    <s v="Co-12640"/>
    <s v="Corey-Lock"/>
    <x v="0"/>
    <s v="United States"/>
    <x v="187"/>
    <x v="8"/>
    <x v="3"/>
    <s v="FUR-FU-10001473"/>
    <x v="0"/>
    <x v="3"/>
    <s v="DAX Wood Document Frame"/>
    <n v="32.951999999999998"/>
    <n v="6"/>
    <n v="-19.7712"/>
    <x v="4"/>
    <x v="5"/>
  </r>
  <r>
    <s v="CA-2017-167941"/>
    <x v="200"/>
    <d v="2017-11-09T00:00:00"/>
    <x v="0"/>
    <s v="JF-15565"/>
    <s v="Jill Fjeld"/>
    <x v="0"/>
    <s v="United States"/>
    <x v="160"/>
    <x v="30"/>
    <x v="0"/>
    <s v="FUR-FU-10004671"/>
    <x v="0"/>
    <x v="3"/>
    <s v="Executive Impressions 12&quot; Wall Clock"/>
    <n v="28.271999999999998"/>
    <n v="2"/>
    <n v="6.3612000000000002"/>
    <x v="0"/>
    <x v="0"/>
  </r>
  <r>
    <s v="CA-2015-137512"/>
    <x v="422"/>
    <d v="2015-05-12T00:00:00"/>
    <x v="1"/>
    <s v="AG-10675"/>
    <s v="Anna Gayman"/>
    <x v="0"/>
    <s v="United States"/>
    <x v="188"/>
    <x v="5"/>
    <x v="3"/>
    <s v="FUR-TA-10001095"/>
    <x v="0"/>
    <x v="2"/>
    <s v="Chromcraft Round Conference Tables"/>
    <n v="244.006"/>
    <n v="2"/>
    <n v="-31.372199999999999"/>
    <x v="2"/>
    <x v="7"/>
  </r>
  <r>
    <s v="CA-2017-139773"/>
    <x v="423"/>
    <d v="2017-12-04T00:00:00"/>
    <x v="3"/>
    <s v="DV-13045"/>
    <s v="Darrin Van Huff"/>
    <x v="1"/>
    <s v="United States"/>
    <x v="3"/>
    <x v="3"/>
    <x v="2"/>
    <s v="FUR-CH-10001797"/>
    <x v="0"/>
    <x v="1"/>
    <s v="Safco Chair Connectors, 6/Carton"/>
    <n v="188.55199999999999"/>
    <n v="7"/>
    <n v="-2.6936"/>
    <x v="7"/>
    <x v="5"/>
  </r>
  <r>
    <s v="CA-2014-109232"/>
    <x v="424"/>
    <d v="2014-01-16T00:00:00"/>
    <x v="0"/>
    <s v="ND-18370"/>
    <s v="Natalie DeCherney"/>
    <x v="0"/>
    <s v="United States"/>
    <x v="189"/>
    <x v="10"/>
    <x v="0"/>
    <s v="FUR-CH-10000422"/>
    <x v="0"/>
    <x v="1"/>
    <s v="Global Highback Leather Tilter in Burgundy"/>
    <n v="545.94000000000005"/>
    <n v="6"/>
    <n v="87.350399999999993"/>
    <x v="0"/>
    <x v="8"/>
  </r>
  <r>
    <s v="CA-2015-139850"/>
    <x v="425"/>
    <d v="2015-06-17T00:00:00"/>
    <x v="1"/>
    <s v="GB-14575"/>
    <s v="Giulietta Baptist"/>
    <x v="0"/>
    <s v="United States"/>
    <x v="3"/>
    <x v="3"/>
    <x v="2"/>
    <s v="FUR-FU-10003623"/>
    <x v="0"/>
    <x v="3"/>
    <s v="DataProducts Ampli Magnifier Task Lamp, Black,"/>
    <n v="43.295999999999999"/>
    <n v="2"/>
    <n v="4.3296000000000001"/>
    <x v="2"/>
    <x v="2"/>
  </r>
  <r>
    <s v="CA-2014-131310"/>
    <x v="56"/>
    <d v="2014-07-18T00:00:00"/>
    <x v="1"/>
    <s v="CL-12565"/>
    <s v="Clay Ludtke"/>
    <x v="0"/>
    <s v="United States"/>
    <x v="15"/>
    <x v="13"/>
    <x v="1"/>
    <s v="FUR-CH-10001797"/>
    <x v="0"/>
    <x v="1"/>
    <s v="Safco Chair Connectors, 6/Carton"/>
    <n v="123.136"/>
    <n v="4"/>
    <n v="13.8528"/>
    <x v="6"/>
    <x v="3"/>
  </r>
  <r>
    <s v="US-2014-112872"/>
    <x v="387"/>
    <d v="2014-12-11T00:00:00"/>
    <x v="0"/>
    <s v="RC-19960"/>
    <s v="Ryan Crowe"/>
    <x v="0"/>
    <s v="United States"/>
    <x v="76"/>
    <x v="36"/>
    <x v="1"/>
    <s v="FUR-TA-10003238"/>
    <x v="0"/>
    <x v="2"/>
    <s v="Chromcraft Bull-Nose Wood 48&quot; x 96&quot; Rectangular Conference Tables"/>
    <n v="275.49"/>
    <n v="1"/>
    <n v="-170.8038"/>
    <x v="2"/>
    <x v="5"/>
  </r>
  <r>
    <s v="CA-2016-139269"/>
    <x v="426"/>
    <d v="2016-05-30T00:00:00"/>
    <x v="1"/>
    <s v="JB-16045"/>
    <s v="Julia Barnett"/>
    <x v="2"/>
    <s v="United States"/>
    <x v="29"/>
    <x v="24"/>
    <x v="0"/>
    <s v="FUR-FU-10000755"/>
    <x v="0"/>
    <x v="3"/>
    <s v="Eldon Expressions Mahogany Wood Desk Collection"/>
    <n v="24.96"/>
    <n v="4"/>
    <n v="6.24"/>
    <x v="2"/>
    <x v="7"/>
  </r>
  <r>
    <s v="CA-2014-138317"/>
    <x v="112"/>
    <d v="2014-06-25T00:00:00"/>
    <x v="1"/>
    <s v="NW-18400"/>
    <s v="Natalie Webber"/>
    <x v="0"/>
    <s v="United States"/>
    <x v="3"/>
    <x v="3"/>
    <x v="2"/>
    <s v="FUR-FU-10000550"/>
    <x v="0"/>
    <x v="3"/>
    <s v="Stacking Trays by OIC"/>
    <n v="3.984"/>
    <n v="1"/>
    <n v="0.64739999999999998"/>
    <x v="4"/>
    <x v="2"/>
  </r>
  <r>
    <s v="CA-2016-124772"/>
    <x v="28"/>
    <d v="2016-12-06T00:00:00"/>
    <x v="2"/>
    <s v="JG-15160"/>
    <s v="James Galang"/>
    <x v="0"/>
    <s v="United States"/>
    <x v="190"/>
    <x v="0"/>
    <x v="0"/>
    <s v="FUR-FU-10004748"/>
    <x v="0"/>
    <x v="3"/>
    <s v="Howard Miller 16&quot; Diameter Gallery Wall Clock"/>
    <n v="191.82"/>
    <n v="3"/>
    <n v="74.809799999999996"/>
    <x v="5"/>
    <x v="5"/>
  </r>
  <r>
    <s v="US-2015-138919"/>
    <x v="5"/>
    <d v="2015-09-21T00:00:00"/>
    <x v="1"/>
    <s v="LS-16975"/>
    <s v="Lindsay Shagiari"/>
    <x v="2"/>
    <s v="United States"/>
    <x v="13"/>
    <x v="7"/>
    <x v="2"/>
    <s v="FUR-TA-10004154"/>
    <x v="0"/>
    <x v="2"/>
    <s v="Riverside Furniture Oval Coffee Table, Oval End Table, End Table with Drawer"/>
    <n v="344.22"/>
    <n v="2"/>
    <n v="-103.26600000000001"/>
    <x v="4"/>
    <x v="4"/>
  </r>
  <r>
    <s v="US-2016-160528"/>
    <x v="427"/>
    <d v="2016-08-30T00:00:00"/>
    <x v="1"/>
    <s v="MH-18115"/>
    <s v="Mick Hernandez"/>
    <x v="2"/>
    <s v="United States"/>
    <x v="191"/>
    <x v="5"/>
    <x v="3"/>
    <s v="FUR-FU-10004973"/>
    <x v="0"/>
    <x v="3"/>
    <s v="Flat Face Poster Frame"/>
    <n v="22.608000000000001"/>
    <n v="3"/>
    <n v="-10.1736"/>
    <x v="1"/>
    <x v="10"/>
  </r>
  <r>
    <s v="CA-2015-123568"/>
    <x v="428"/>
    <d v="2015-11-14T00:00:00"/>
    <x v="1"/>
    <s v="SC-20095"/>
    <s v="Sanjit Chand"/>
    <x v="0"/>
    <s v="United States"/>
    <x v="192"/>
    <x v="4"/>
    <x v="1"/>
    <s v="FUR-FU-10004090"/>
    <x v="0"/>
    <x v="3"/>
    <s v="Executive Impressions 14&quot; Contract Wall Clock"/>
    <n v="66.69"/>
    <n v="3"/>
    <n v="22.0077"/>
    <x v="6"/>
    <x v="0"/>
  </r>
  <r>
    <s v="CA-2017-124674"/>
    <x v="429"/>
    <d v="2017-11-23T00:00:00"/>
    <x v="1"/>
    <s v="JB-16000"/>
    <s v="Joy Bell-"/>
    <x v="0"/>
    <s v="United States"/>
    <x v="193"/>
    <x v="5"/>
    <x v="3"/>
    <s v="FUR-BO-10002202"/>
    <x v="0"/>
    <x v="0"/>
    <s v="Atlantic Metals Mobile 2-Shelf Bookcases, Custom Colors"/>
    <n v="327.7328"/>
    <n v="2"/>
    <n v="-14.4588"/>
    <x v="6"/>
    <x v="0"/>
  </r>
  <r>
    <s v="CA-2017-169054"/>
    <x v="135"/>
    <d v="2017-04-26T00:00:00"/>
    <x v="1"/>
    <s v="MO-17800"/>
    <s v="Meg O'Connel"/>
    <x v="2"/>
    <s v="United States"/>
    <x v="3"/>
    <x v="3"/>
    <x v="2"/>
    <s v="FUR-FU-10001488"/>
    <x v="0"/>
    <x v="3"/>
    <s v="Tenex 46&quot; x 60&quot; Computer Anti-Static Chairmat, Rectangular Shaped"/>
    <n v="254.352"/>
    <n v="3"/>
    <n v="0"/>
    <x v="4"/>
    <x v="6"/>
  </r>
  <r>
    <s v="CA-2017-116855"/>
    <x v="430"/>
    <d v="2017-12-21T00:00:00"/>
    <x v="1"/>
    <s v="AI-10855"/>
    <s v="Arianne Irving"/>
    <x v="0"/>
    <s v="United States"/>
    <x v="180"/>
    <x v="25"/>
    <x v="0"/>
    <s v="FUR-CH-10003846"/>
    <x v="0"/>
    <x v="1"/>
    <s v="Hon Valutask Swivel Chairs"/>
    <n v="504.9"/>
    <n v="5"/>
    <n v="80.784000000000006"/>
    <x v="4"/>
    <x v="5"/>
  </r>
  <r>
    <s v="CA-2015-168480"/>
    <x v="231"/>
    <d v="2015-09-27T00:00:00"/>
    <x v="1"/>
    <s v="DM-12955"/>
    <s v="Dario Medina"/>
    <x v="1"/>
    <s v="United States"/>
    <x v="194"/>
    <x v="17"/>
    <x v="3"/>
    <s v="FUR-BO-10000468"/>
    <x v="0"/>
    <x v="0"/>
    <s v="O'Sullivan 2-Shelf Heavy-Duty Bookcases"/>
    <n v="194.32"/>
    <n v="4"/>
    <n v="31.091200000000001"/>
    <x v="6"/>
    <x v="4"/>
  </r>
  <r>
    <s v="US-2016-114293"/>
    <x v="431"/>
    <d v="2016-11-26T00:00:00"/>
    <x v="1"/>
    <s v="JH-16180"/>
    <s v="Justin Hirsh"/>
    <x v="0"/>
    <s v="United States"/>
    <x v="195"/>
    <x v="36"/>
    <x v="1"/>
    <s v="FUR-CH-10003833"/>
    <x v="0"/>
    <x v="1"/>
    <s v="Novimex Fabric Task Chair"/>
    <n v="195.136"/>
    <n v="4"/>
    <n v="-12.196"/>
    <x v="2"/>
    <x v="0"/>
  </r>
  <r>
    <s v="US-2015-123960"/>
    <x v="432"/>
    <d v="2015-06-16T00:00:00"/>
    <x v="1"/>
    <s v="BD-11605"/>
    <s v="Brian Dahlen"/>
    <x v="0"/>
    <s v="United States"/>
    <x v="91"/>
    <x v="35"/>
    <x v="0"/>
    <s v="FUR-FU-10004666"/>
    <x v="0"/>
    <x v="3"/>
    <s v="DAX Clear Channel Poster Frame"/>
    <n v="29.16"/>
    <n v="2"/>
    <n v="10.789199999999999"/>
    <x v="2"/>
    <x v="2"/>
  </r>
  <r>
    <s v="CA-2017-101749"/>
    <x v="433"/>
    <d v="2017-10-08T00:00:00"/>
    <x v="1"/>
    <s v="AS-10045"/>
    <s v="Aaron Smayling"/>
    <x v="1"/>
    <s v="United States"/>
    <x v="102"/>
    <x v="2"/>
    <x v="1"/>
    <s v="FUR-TA-10001520"/>
    <x v="0"/>
    <x v="2"/>
    <s v="Lesro Sheffield Collection Coffee Table, End Table, Center Table, Corner Table"/>
    <n v="171.28800000000001"/>
    <n v="3"/>
    <n v="-6.4233000000000002"/>
    <x v="2"/>
    <x v="1"/>
  </r>
  <r>
    <s v="US-2016-147991"/>
    <x v="399"/>
    <d v="2016-05-09T00:00:00"/>
    <x v="1"/>
    <s v="ZD-21925"/>
    <s v="Zuschuss Donatelli"/>
    <x v="0"/>
    <s v="United States"/>
    <x v="196"/>
    <x v="9"/>
    <x v="0"/>
    <s v="FUR-FU-10004270"/>
    <x v="0"/>
    <x v="3"/>
    <s v="Eldon Image Series Desk Accessories, Burgundy"/>
    <n v="16.72"/>
    <n v="5"/>
    <n v="3.3439999999999999"/>
    <x v="4"/>
    <x v="7"/>
  </r>
  <r>
    <s v="CA-2017-149559"/>
    <x v="91"/>
    <d v="2017-09-12T00:00:00"/>
    <x v="3"/>
    <s v="KF-16285"/>
    <s v="Karen Ferguson"/>
    <x v="2"/>
    <s v="United States"/>
    <x v="62"/>
    <x v="2"/>
    <x v="1"/>
    <s v="FUR-CH-10002320"/>
    <x v="0"/>
    <x v="1"/>
    <s v="Hon Pagoda Stacking Chairs"/>
    <n v="2054.2719999999999"/>
    <n v="8"/>
    <n v="256.78399999999999"/>
    <x v="5"/>
    <x v="4"/>
  </r>
  <r>
    <s v="CA-2017-121419"/>
    <x v="214"/>
    <d v="2017-04-04T00:00:00"/>
    <x v="2"/>
    <s v="TC-21475"/>
    <s v="Tony Chapman"/>
    <x v="2"/>
    <s v="United States"/>
    <x v="29"/>
    <x v="24"/>
    <x v="0"/>
    <s v="FUR-TA-10004534"/>
    <x v="0"/>
    <x v="2"/>
    <s v="Bevis 44 x 96 Conference Tables"/>
    <n v="411.8"/>
    <n v="2"/>
    <n v="70.006"/>
    <x v="3"/>
    <x v="6"/>
  </r>
  <r>
    <s v="US-2017-148054"/>
    <x v="434"/>
    <d v="2017-10-11T00:00:00"/>
    <x v="1"/>
    <s v="NZ-18565"/>
    <s v="Nick Zandusky"/>
    <x v="2"/>
    <s v="United States"/>
    <x v="197"/>
    <x v="42"/>
    <x v="1"/>
    <s v="FUR-FU-10003247"/>
    <x v="0"/>
    <x v="3"/>
    <s v="36X48 HARDFLOOR CHAIRMAT"/>
    <n v="41.96"/>
    <n v="2"/>
    <n v="2.9371999999999998"/>
    <x v="2"/>
    <x v="1"/>
  </r>
  <r>
    <s v="CA-2017-131492"/>
    <x v="66"/>
    <d v="2017-10-24T00:00:00"/>
    <x v="0"/>
    <s v="HH-15010"/>
    <s v="Hilary Holden"/>
    <x v="1"/>
    <s v="United States"/>
    <x v="28"/>
    <x v="2"/>
    <x v="1"/>
    <s v="FUR-FU-10003878"/>
    <x v="0"/>
    <x v="3"/>
    <s v="Linden 10&quot; Round Wall Clock, Black"/>
    <n v="30.56"/>
    <n v="2"/>
    <n v="10.3904"/>
    <x v="2"/>
    <x v="1"/>
  </r>
  <r>
    <s v="CA-2017-131492"/>
    <x v="66"/>
    <d v="2017-10-24T00:00:00"/>
    <x v="0"/>
    <s v="HH-15010"/>
    <s v="Hilary Holden"/>
    <x v="1"/>
    <s v="United States"/>
    <x v="28"/>
    <x v="2"/>
    <x v="1"/>
    <s v="FUR-TA-10003837"/>
    <x v="0"/>
    <x v="2"/>
    <s v="Anderson Hickey Conga Table Tops &amp; Accessories"/>
    <n v="24.367999999999999"/>
    <n v="2"/>
    <n v="-3.3506"/>
    <x v="2"/>
    <x v="1"/>
  </r>
  <r>
    <s v="CA-2014-119375"/>
    <x v="317"/>
    <d v="2014-11-22T00:00:00"/>
    <x v="1"/>
    <s v="YC-21895"/>
    <s v="Yoseph Carroll"/>
    <x v="1"/>
    <s v="United States"/>
    <x v="19"/>
    <x v="14"/>
    <x v="2"/>
    <s v="FUR-FU-10002379"/>
    <x v="0"/>
    <x v="3"/>
    <s v="Eldon Econocleat Chair Mats for Low Pile Carpets"/>
    <n v="124.41"/>
    <n v="3"/>
    <n v="14.9292"/>
    <x v="2"/>
    <x v="0"/>
  </r>
  <r>
    <s v="CA-2015-126137"/>
    <x v="131"/>
    <d v="2015-10-08T00:00:00"/>
    <x v="1"/>
    <s v="BS-11755"/>
    <s v="Bruce Stewart"/>
    <x v="0"/>
    <s v="United States"/>
    <x v="2"/>
    <x v="2"/>
    <x v="1"/>
    <s v="FUR-BO-10004409"/>
    <x v="0"/>
    <x v="0"/>
    <s v="Safco Value Mate Series Steel Bookcases, Baked Enamel Finish on Steel, Gray"/>
    <n v="120.666"/>
    <n v="2"/>
    <n v="18.454799999999999"/>
    <x v="2"/>
    <x v="1"/>
  </r>
  <r>
    <s v="CA-2014-143903"/>
    <x v="435"/>
    <d v="2014-07-24T00:00:00"/>
    <x v="1"/>
    <s v="KM-16375"/>
    <s v="Katherine Murray"/>
    <x v="2"/>
    <s v="United States"/>
    <x v="144"/>
    <x v="5"/>
    <x v="3"/>
    <s v="FUR-FU-10003724"/>
    <x v="0"/>
    <x v="3"/>
    <s v="Westinghouse Clip-On Gooseneck Lamps"/>
    <n v="16.739999999999998"/>
    <n v="5"/>
    <n v="-14.228999999999999"/>
    <x v="4"/>
    <x v="3"/>
  </r>
  <r>
    <s v="CA-2014-143903"/>
    <x v="435"/>
    <d v="2014-07-24T00:00:00"/>
    <x v="1"/>
    <s v="KM-16375"/>
    <s v="Katherine Murray"/>
    <x v="2"/>
    <s v="United States"/>
    <x v="144"/>
    <x v="5"/>
    <x v="3"/>
    <s v="FUR-CH-10002024"/>
    <x v="0"/>
    <x v="1"/>
    <s v="HON 5400 Series Task Chairs for Big and Tall"/>
    <n v="981.37199999999996"/>
    <n v="2"/>
    <n v="-140.196"/>
    <x v="4"/>
    <x v="3"/>
  </r>
  <r>
    <s v="CA-2017-118773"/>
    <x v="436"/>
    <d v="2017-02-14T00:00:00"/>
    <x v="1"/>
    <s v="TP-21415"/>
    <s v="Tom Prescott"/>
    <x v="0"/>
    <s v="United States"/>
    <x v="6"/>
    <x v="5"/>
    <x v="3"/>
    <s v="FUR-FU-10000550"/>
    <x v="0"/>
    <x v="3"/>
    <s v="Stacking Trays by OIC"/>
    <n v="3.984"/>
    <n v="2"/>
    <n v="-2.6892"/>
    <x v="2"/>
    <x v="11"/>
  </r>
  <r>
    <s v="US-2017-159205"/>
    <x v="76"/>
    <d v="2017-04-02T00:00:00"/>
    <x v="0"/>
    <s v="DB-12910"/>
    <s v="Daniel Byrd"/>
    <x v="2"/>
    <s v="United States"/>
    <x v="0"/>
    <x v="0"/>
    <x v="0"/>
    <s v="FUR-FU-10001591"/>
    <x v="0"/>
    <x v="3"/>
    <s v="Advantus Panel Wall Certificate Holder - 8.5x11"/>
    <n v="61"/>
    <n v="5"/>
    <n v="25.62"/>
    <x v="3"/>
    <x v="9"/>
  </r>
  <r>
    <s v="CA-2017-135692"/>
    <x v="437"/>
    <d v="2017-05-01T00:00:00"/>
    <x v="1"/>
    <s v="CV-12805"/>
    <s v="Cynthia Voltz"/>
    <x v="1"/>
    <s v="United States"/>
    <x v="50"/>
    <x v="5"/>
    <x v="3"/>
    <s v="FUR-BO-10002268"/>
    <x v="0"/>
    <x v="0"/>
    <s v="Sauder Barrister Bookcases"/>
    <n v="220.26560000000001"/>
    <n v="4"/>
    <n v="-42.1096"/>
    <x v="4"/>
    <x v="6"/>
  </r>
  <r>
    <s v="CA-2017-131233"/>
    <x v="438"/>
    <d v="2017-04-19T00:00:00"/>
    <x v="1"/>
    <s v="CS-12355"/>
    <s v="Christine Sundaresam"/>
    <x v="0"/>
    <s v="United States"/>
    <x v="13"/>
    <x v="7"/>
    <x v="2"/>
    <s v="FUR-BO-10003441"/>
    <x v="0"/>
    <x v="0"/>
    <s v="Bush Westfield Collection Bookcases, Fully Assembled"/>
    <n v="242.352"/>
    <n v="3"/>
    <n v="9.0882000000000005"/>
    <x v="2"/>
    <x v="6"/>
  </r>
  <r>
    <s v="CA-2017-119578"/>
    <x v="313"/>
    <d v="2017-12-27T00:00:00"/>
    <x v="0"/>
    <s v="JG-15310"/>
    <s v="Jason Gross"/>
    <x v="1"/>
    <s v="United States"/>
    <x v="134"/>
    <x v="38"/>
    <x v="2"/>
    <s v="FUR-BO-10003660"/>
    <x v="0"/>
    <x v="0"/>
    <s v="Bush Cubix Collection Bookcases, Fully Assembled"/>
    <n v="220.98"/>
    <n v="1"/>
    <n v="50.825400000000002"/>
    <x v="2"/>
    <x v="5"/>
  </r>
  <r>
    <s v="CA-2016-150350"/>
    <x v="427"/>
    <d v="2016-08-30T00:00:00"/>
    <x v="1"/>
    <s v="MS-17770"/>
    <s v="Maxwell Schwartz"/>
    <x v="0"/>
    <s v="United States"/>
    <x v="15"/>
    <x v="13"/>
    <x v="1"/>
    <s v="FUR-CH-10001973"/>
    <x v="0"/>
    <x v="1"/>
    <s v="Office Star Flex Back Scooter Chair with White Frame"/>
    <n v="532.70399999999995"/>
    <n v="6"/>
    <n v="-39.952800000000003"/>
    <x v="1"/>
    <x v="10"/>
  </r>
  <r>
    <s v="CA-2015-121720"/>
    <x v="432"/>
    <d v="2015-06-12T00:00:00"/>
    <x v="2"/>
    <s v="JE-15610"/>
    <s v="Jim Epp"/>
    <x v="1"/>
    <s v="United States"/>
    <x v="49"/>
    <x v="1"/>
    <x v="0"/>
    <s v="FUR-CH-10003312"/>
    <x v="0"/>
    <x v="1"/>
    <s v="Hon 2090 ÒPillow SoftÓ Series Mid Back Swivel/Tilt Chairs"/>
    <n v="1123.92"/>
    <n v="5"/>
    <n v="-182.637"/>
    <x v="5"/>
    <x v="2"/>
  </r>
  <r>
    <s v="CA-2015-121720"/>
    <x v="432"/>
    <d v="2015-06-12T00:00:00"/>
    <x v="2"/>
    <s v="JE-15610"/>
    <s v="Jim Epp"/>
    <x v="1"/>
    <s v="United States"/>
    <x v="49"/>
    <x v="1"/>
    <x v="0"/>
    <s v="FUR-FU-10003464"/>
    <x v="0"/>
    <x v="3"/>
    <s v="Seth Thomas 8 1/2&quot; Cubicle Clock"/>
    <n v="48.671999999999997"/>
    <n v="3"/>
    <n v="7.3007999999999997"/>
    <x v="5"/>
    <x v="2"/>
  </r>
  <r>
    <s v="CA-2014-136399"/>
    <x v="439"/>
    <d v="2014-12-17T00:00:00"/>
    <x v="2"/>
    <s v="CC-12100"/>
    <s v="Chad Cunningham"/>
    <x v="2"/>
    <s v="United States"/>
    <x v="2"/>
    <x v="2"/>
    <x v="1"/>
    <s v="FUR-FU-10004090"/>
    <x v="0"/>
    <x v="3"/>
    <s v="Executive Impressions 14&quot; Contract Wall Clock"/>
    <n v="44.46"/>
    <n v="2"/>
    <n v="14.671799999999999"/>
    <x v="5"/>
    <x v="5"/>
  </r>
  <r>
    <s v="CA-2014-136399"/>
    <x v="439"/>
    <d v="2014-12-17T00:00:00"/>
    <x v="2"/>
    <s v="CC-12100"/>
    <s v="Chad Cunningham"/>
    <x v="2"/>
    <s v="United States"/>
    <x v="2"/>
    <x v="2"/>
    <x v="1"/>
    <s v="FUR-CH-10002602"/>
    <x v="0"/>
    <x v="1"/>
    <s v="DMI Arturo Collection Mission-style Design Wood Chair"/>
    <n v="241.56800000000001"/>
    <n v="2"/>
    <n v="18.117599999999999"/>
    <x v="5"/>
    <x v="5"/>
  </r>
  <r>
    <s v="CA-2014-107916"/>
    <x v="440"/>
    <d v="2014-08-26T00:00:00"/>
    <x v="2"/>
    <s v="JP-15460"/>
    <s v="Jennifer Patt"/>
    <x v="1"/>
    <s v="United States"/>
    <x v="64"/>
    <x v="7"/>
    <x v="2"/>
    <s v="FUR-FU-10004586"/>
    <x v="0"/>
    <x v="3"/>
    <s v="G.E. Longer-Life Indoor Recessed Floodlight Bulbs"/>
    <n v="13.28"/>
    <n v="2"/>
    <n v="6.3743999999999996"/>
    <x v="3"/>
    <x v="10"/>
  </r>
  <r>
    <s v="CA-2017-164168"/>
    <x v="418"/>
    <d v="2017-11-18T00:00:00"/>
    <x v="1"/>
    <s v="LS-16975"/>
    <s v="Lindsay Shagiari"/>
    <x v="2"/>
    <s v="United States"/>
    <x v="144"/>
    <x v="5"/>
    <x v="3"/>
    <s v="FUR-FU-10001756"/>
    <x v="0"/>
    <x v="3"/>
    <s v="Eldon Expressions Desk Accessory, Wood Photo Frame, Mahogany"/>
    <n v="22.847999999999999"/>
    <n v="3"/>
    <n v="-17.7072"/>
    <x v="6"/>
    <x v="0"/>
  </r>
  <r>
    <s v="US-2016-148110"/>
    <x v="26"/>
    <d v="2016-09-11T00:00:00"/>
    <x v="1"/>
    <s v="AR-10825"/>
    <s v="Anthony Rawles"/>
    <x v="1"/>
    <s v="United States"/>
    <x v="198"/>
    <x v="5"/>
    <x v="3"/>
    <s v="FUR-CH-10002647"/>
    <x v="0"/>
    <x v="1"/>
    <s v="Situations Contoured Folding Chairs, 4/Set"/>
    <n v="347.80200000000002"/>
    <n v="7"/>
    <n v="-24.843"/>
    <x v="6"/>
    <x v="4"/>
  </r>
  <r>
    <s v="CA-2017-131828"/>
    <x v="441"/>
    <d v="2017-02-13T00:00:00"/>
    <x v="0"/>
    <s v="CS-11845"/>
    <s v="Cari Sayre"/>
    <x v="1"/>
    <s v="United States"/>
    <x v="15"/>
    <x v="13"/>
    <x v="1"/>
    <s v="FUR-CH-10004495"/>
    <x v="0"/>
    <x v="1"/>
    <s v="Global Leather and Oak Executive Chair, Black"/>
    <n v="963.13599999999997"/>
    <n v="4"/>
    <n v="108.3528"/>
    <x v="3"/>
    <x v="11"/>
  </r>
  <r>
    <s v="CA-2015-147830"/>
    <x v="442"/>
    <d v="2015-12-18T00:00:00"/>
    <x v="2"/>
    <s v="NF-18385"/>
    <s v="Natalie Fritzler"/>
    <x v="0"/>
    <s v="United States"/>
    <x v="19"/>
    <x v="15"/>
    <x v="2"/>
    <s v="FUR-FU-10004091"/>
    <x v="0"/>
    <x v="3"/>
    <s v="Howard Miller 13&quot; Diameter Goldtone Round Wall Clock"/>
    <n v="262.86399999999998"/>
    <n v="7"/>
    <n v="69.001800000000003"/>
    <x v="0"/>
    <x v="5"/>
  </r>
  <r>
    <s v="CA-2015-139584"/>
    <x v="108"/>
    <d v="2015-08-28T00:00:00"/>
    <x v="1"/>
    <s v="EM-13810"/>
    <s v="Eleni McCrary"/>
    <x v="1"/>
    <s v="United States"/>
    <x v="13"/>
    <x v="7"/>
    <x v="2"/>
    <s v="FUR-TA-10001539"/>
    <x v="0"/>
    <x v="2"/>
    <s v="Chromcraft Rectangular Conference Tables"/>
    <n v="284.36399999999998"/>
    <n v="2"/>
    <n v="-75.830399999999997"/>
    <x v="4"/>
    <x v="10"/>
  </r>
  <r>
    <s v="CA-2016-146682"/>
    <x v="443"/>
    <d v="2016-10-31T00:00:00"/>
    <x v="2"/>
    <s v="KW-16435"/>
    <s v="Katrina Willman"/>
    <x v="0"/>
    <s v="United States"/>
    <x v="140"/>
    <x v="17"/>
    <x v="3"/>
    <s v="FUR-FU-10002671"/>
    <x v="0"/>
    <x v="3"/>
    <s v="Electrix 20W Halogen Replacement Bulb for Zoom-In Desk Lamp"/>
    <n v="67"/>
    <n v="5"/>
    <n v="32.159999999999997"/>
    <x v="3"/>
    <x v="1"/>
  </r>
  <r>
    <s v="CA-2016-138695"/>
    <x v="444"/>
    <d v="2016-06-03T00:00:00"/>
    <x v="1"/>
    <s v="KC-16675"/>
    <s v="Kimberly Carter"/>
    <x v="1"/>
    <s v="United States"/>
    <x v="199"/>
    <x v="1"/>
    <x v="0"/>
    <s v="FUR-CH-10003833"/>
    <x v="0"/>
    <x v="1"/>
    <s v="Novimex Fabric Task Chair"/>
    <n v="390.27199999999999"/>
    <n v="8"/>
    <n v="-24.391999999999999"/>
    <x v="6"/>
    <x v="7"/>
  </r>
  <r>
    <s v="US-2016-133879"/>
    <x v="445"/>
    <d v="2016-03-28T00:00:00"/>
    <x v="1"/>
    <s v="KT-16465"/>
    <s v="Kean Takahito"/>
    <x v="0"/>
    <s v="United States"/>
    <x v="9"/>
    <x v="8"/>
    <x v="3"/>
    <s v="FUR-CH-10000665"/>
    <x v="0"/>
    <x v="1"/>
    <s v="Global Airflow Leather Mesh Back Chair, Black"/>
    <n v="528.42999999999995"/>
    <n v="5"/>
    <n v="0"/>
    <x v="1"/>
    <x v="9"/>
  </r>
  <r>
    <s v="US-2017-132059"/>
    <x v="204"/>
    <d v="2017-09-29T00:00:00"/>
    <x v="1"/>
    <s v="AP-10915"/>
    <s v="Arthur Prichep"/>
    <x v="0"/>
    <s v="United States"/>
    <x v="200"/>
    <x v="12"/>
    <x v="1"/>
    <s v="FUR-BO-10001811"/>
    <x v="0"/>
    <x v="0"/>
    <s v="Atlantic Metals Mobile 5-Shelf Bookcases, Custom Colors"/>
    <n v="180.58799999999999"/>
    <n v="2"/>
    <n v="-240.78399999999999"/>
    <x v="6"/>
    <x v="4"/>
  </r>
  <r>
    <s v="CA-2017-105235"/>
    <x v="446"/>
    <d v="2017-12-11T00:00:00"/>
    <x v="1"/>
    <s v="SM-20950"/>
    <s v="Suzanne McNair"/>
    <x v="1"/>
    <s v="United States"/>
    <x v="13"/>
    <x v="7"/>
    <x v="2"/>
    <s v="FUR-FU-10001487"/>
    <x v="0"/>
    <x v="3"/>
    <s v="Eldon Expressions Wood and Plastic Desk Accessories, Cherry Wood"/>
    <n v="20.94"/>
    <n v="3"/>
    <n v="6.0726000000000004"/>
    <x v="6"/>
    <x v="5"/>
  </r>
  <r>
    <s v="CA-2017-105235"/>
    <x v="446"/>
    <d v="2017-12-11T00:00:00"/>
    <x v="1"/>
    <s v="SM-20950"/>
    <s v="Suzanne McNair"/>
    <x v="1"/>
    <s v="United States"/>
    <x v="13"/>
    <x v="7"/>
    <x v="2"/>
    <s v="FUR-FU-10000521"/>
    <x v="0"/>
    <x v="3"/>
    <s v="Seth Thomas 14&quot; Putty-Colored Wall Clock"/>
    <n v="58.68"/>
    <n v="2"/>
    <n v="18.190799999999999"/>
    <x v="6"/>
    <x v="5"/>
  </r>
  <r>
    <s v="CA-2014-164224"/>
    <x v="447"/>
    <d v="2014-05-20T00:00:00"/>
    <x v="0"/>
    <s v="TT-21070"/>
    <s v="Ted Trevino"/>
    <x v="0"/>
    <s v="United States"/>
    <x v="40"/>
    <x v="15"/>
    <x v="2"/>
    <s v="FUR-FU-10000308"/>
    <x v="0"/>
    <x v="3"/>
    <s v="Deflect-o Glass Clear Studded Chair Mats"/>
    <n v="149.232"/>
    <n v="3"/>
    <n v="3.7307999999999999"/>
    <x v="3"/>
    <x v="7"/>
  </r>
  <r>
    <s v="CA-2014-158372"/>
    <x v="448"/>
    <d v="2014-11-16T00:00:00"/>
    <x v="1"/>
    <s v="RD-19900"/>
    <s v="Ruben Dartt"/>
    <x v="0"/>
    <s v="United States"/>
    <x v="53"/>
    <x v="2"/>
    <x v="1"/>
    <s v="FUR-FU-10000397"/>
    <x v="0"/>
    <x v="3"/>
    <s v="Luxo Economy Swing Arm Lamp"/>
    <n v="39.880000000000003"/>
    <n v="2"/>
    <n v="11.166399999999999"/>
    <x v="6"/>
    <x v="0"/>
  </r>
  <r>
    <s v="CA-2014-158372"/>
    <x v="448"/>
    <d v="2014-11-16T00:00:00"/>
    <x v="1"/>
    <s v="RD-19900"/>
    <s v="Ruben Dartt"/>
    <x v="0"/>
    <s v="United States"/>
    <x v="53"/>
    <x v="2"/>
    <x v="1"/>
    <s v="FUR-FU-10001867"/>
    <x v="0"/>
    <x v="3"/>
    <s v="Eldon Expressions Punched Metal &amp; Wood Desk Accessories, Pewter &amp; Cherry"/>
    <n v="53.2"/>
    <n v="5"/>
    <n v="14.896000000000001"/>
    <x v="6"/>
    <x v="0"/>
  </r>
  <r>
    <s v="CA-2017-131625"/>
    <x v="449"/>
    <d v="2017-09-05T00:00:00"/>
    <x v="0"/>
    <s v="BN-11515"/>
    <s v="Bradley Nguyen"/>
    <x v="0"/>
    <s v="United States"/>
    <x v="13"/>
    <x v="7"/>
    <x v="2"/>
    <s v="FUR-FU-10004960"/>
    <x v="0"/>
    <x v="3"/>
    <s v="Seth Thomas 12&quot; Clock w/ Goldtone Case"/>
    <n v="114.9"/>
    <n v="5"/>
    <n v="39.066000000000003"/>
    <x v="4"/>
    <x v="4"/>
  </r>
  <r>
    <s v="CA-2016-140746"/>
    <x v="450"/>
    <d v="2016-01-15T00:00:00"/>
    <x v="3"/>
    <s v="RC-19825"/>
    <s v="Roy Collins"/>
    <x v="0"/>
    <s v="United States"/>
    <x v="130"/>
    <x v="19"/>
    <x v="2"/>
    <s v="FUR-TA-10002903"/>
    <x v="0"/>
    <x v="2"/>
    <s v="Bevis Round Bullnose 29&quot; High Table Top"/>
    <n v="181.797"/>
    <n v="1"/>
    <n v="-15.582599999999999"/>
    <x v="7"/>
    <x v="8"/>
  </r>
  <r>
    <s v="US-2016-127971"/>
    <x v="47"/>
    <d v="2016-11-27T00:00:00"/>
    <x v="1"/>
    <s v="DW-13195"/>
    <s v="David Wiener"/>
    <x v="1"/>
    <s v="United States"/>
    <x v="6"/>
    <x v="5"/>
    <x v="3"/>
    <s v="FUR-CH-10003774"/>
    <x v="0"/>
    <x v="1"/>
    <s v="Global Wood Trimmed Manager's Task Chair, Khaki"/>
    <n v="318.43"/>
    <n v="5"/>
    <n v="-77.332999999999998"/>
    <x v="1"/>
    <x v="0"/>
  </r>
  <r>
    <s v="US-2016-127971"/>
    <x v="47"/>
    <d v="2016-11-27T00:00:00"/>
    <x v="1"/>
    <s v="DW-13195"/>
    <s v="David Wiener"/>
    <x v="1"/>
    <s v="United States"/>
    <x v="6"/>
    <x v="5"/>
    <x v="3"/>
    <s v="FUR-FU-10000023"/>
    <x v="0"/>
    <x v="3"/>
    <s v="Eldon Wave Desk Accessories"/>
    <n v="7.0679999999999996"/>
    <n v="3"/>
    <n v="-2.8271999999999999"/>
    <x v="1"/>
    <x v="0"/>
  </r>
  <r>
    <s v="CA-2017-113355"/>
    <x v="451"/>
    <d v="2017-12-05T00:00:00"/>
    <x v="1"/>
    <s v="SJ-20215"/>
    <s v="Sarah Jordon"/>
    <x v="0"/>
    <s v="United States"/>
    <x v="141"/>
    <x v="5"/>
    <x v="3"/>
    <s v="FUR-CH-10002602"/>
    <x v="0"/>
    <x v="1"/>
    <s v="DMI Arturo Collection Mission-style Design Wood Chair"/>
    <n v="317.05799999999999"/>
    <n v="3"/>
    <n v="-18.117599999999999"/>
    <x v="4"/>
    <x v="5"/>
  </r>
  <r>
    <s v="CA-2016-159730"/>
    <x v="334"/>
    <d v="2016-09-21T00:00:00"/>
    <x v="1"/>
    <s v="SJ-20125"/>
    <s v="Sanjit Jacobs"/>
    <x v="2"/>
    <s v="United States"/>
    <x v="15"/>
    <x v="13"/>
    <x v="1"/>
    <s v="FUR-CH-10004875"/>
    <x v="0"/>
    <x v="1"/>
    <s v="Harbour Creations 67200 Series Stacking Chairs"/>
    <n v="113.88800000000001"/>
    <n v="2"/>
    <n v="9.9651999999999994"/>
    <x v="4"/>
    <x v="4"/>
  </r>
  <r>
    <s v="CA-2017-119389"/>
    <x v="452"/>
    <d v="2017-04-19T00:00:00"/>
    <x v="2"/>
    <s v="BG-11740"/>
    <s v="Bruce Geld"/>
    <x v="0"/>
    <s v="United States"/>
    <x v="3"/>
    <x v="3"/>
    <x v="2"/>
    <s v="FUR-FU-10001473"/>
    <x v="0"/>
    <x v="3"/>
    <s v="Eldon Executive Woodline II Desk Accessories, Mahogany"/>
    <n v="60.311999999999998"/>
    <n v="3"/>
    <n v="5.2773000000000003"/>
    <x v="3"/>
    <x v="6"/>
  </r>
  <r>
    <s v="US-2016-161844"/>
    <x v="453"/>
    <d v="2016-12-14T00:00:00"/>
    <x v="0"/>
    <s v="DK-12835"/>
    <s v="Damala Kotsonis"/>
    <x v="1"/>
    <s v="United States"/>
    <x v="20"/>
    <x v="9"/>
    <x v="0"/>
    <s v="FUR-TA-10001676"/>
    <x v="0"/>
    <x v="2"/>
    <s v="Hon 61000 Series Interactive Training Tables"/>
    <n v="79.974000000000004"/>
    <n v="3"/>
    <n v="-29.323799999999999"/>
    <x v="2"/>
    <x v="5"/>
  </r>
  <r>
    <s v="CA-2015-146038"/>
    <x v="289"/>
    <d v="2015-02-16T00:00:00"/>
    <x v="1"/>
    <s v="SJ-20215"/>
    <s v="Sarah Jordon"/>
    <x v="0"/>
    <s v="United States"/>
    <x v="2"/>
    <x v="2"/>
    <x v="1"/>
    <s v="FUR-CH-10002774"/>
    <x v="0"/>
    <x v="1"/>
    <s v="Global Deluxe Stacking Chair, Gray"/>
    <n v="203.92"/>
    <n v="5"/>
    <n v="22.940999999999999"/>
    <x v="1"/>
    <x v="11"/>
  </r>
  <r>
    <s v="CA-2014-159478"/>
    <x v="454"/>
    <d v="2014-10-06T00:00:00"/>
    <x v="1"/>
    <s v="MH-17785"/>
    <s v="Maya Herman"/>
    <x v="1"/>
    <s v="United States"/>
    <x v="13"/>
    <x v="7"/>
    <x v="2"/>
    <s v="FUR-FU-10000221"/>
    <x v="0"/>
    <x v="3"/>
    <s v="Master Caster Door Stop, Brown"/>
    <n v="15.24"/>
    <n v="3"/>
    <n v="5.1816000000000004"/>
    <x v="6"/>
    <x v="4"/>
  </r>
  <r>
    <s v="CA-2014-106264"/>
    <x v="22"/>
    <d v="2014-12-30T00:00:00"/>
    <x v="1"/>
    <s v="CK-12595"/>
    <s v="Clytie Kelty"/>
    <x v="0"/>
    <s v="United States"/>
    <x v="53"/>
    <x v="2"/>
    <x v="1"/>
    <s v="FUR-FU-10001852"/>
    <x v="0"/>
    <x v="3"/>
    <s v="Eldon Regeneration Recycled Desk Accessories, Smoke"/>
    <n v="3.48"/>
    <n v="2"/>
    <n v="1.1135999999999999"/>
    <x v="4"/>
    <x v="5"/>
  </r>
  <r>
    <s v="US-2014-159926"/>
    <x v="356"/>
    <d v="2014-11-22T00:00:00"/>
    <x v="1"/>
    <s v="CS-11950"/>
    <s v="Carlos Soltero"/>
    <x v="0"/>
    <s v="United States"/>
    <x v="3"/>
    <x v="3"/>
    <x v="2"/>
    <s v="FUR-FU-10001473"/>
    <x v="0"/>
    <x v="3"/>
    <s v="Eldon Executive Woodline II Desk Accessories, Mahogany"/>
    <n v="60.311999999999998"/>
    <n v="3"/>
    <n v="5.2773000000000003"/>
    <x v="4"/>
    <x v="0"/>
  </r>
  <r>
    <s v="CA-2016-162747"/>
    <x v="174"/>
    <d v="2016-03-25T00:00:00"/>
    <x v="0"/>
    <s v="AH-10030"/>
    <s v="Aaron Hawkins"/>
    <x v="1"/>
    <s v="United States"/>
    <x v="201"/>
    <x v="21"/>
    <x v="0"/>
    <s v="FUR-FU-10003691"/>
    <x v="0"/>
    <x v="3"/>
    <s v="Eldon Image Series Desk Accessories, Ebony"/>
    <n v="86.45"/>
    <n v="7"/>
    <n v="38.037999999999997"/>
    <x v="2"/>
    <x v="9"/>
  </r>
  <r>
    <s v="US-2014-133130"/>
    <x v="52"/>
    <d v="2014-10-01T00:00:00"/>
    <x v="1"/>
    <s v="TH-21100"/>
    <s v="Thea Hendricks"/>
    <x v="0"/>
    <s v="United States"/>
    <x v="53"/>
    <x v="2"/>
    <x v="1"/>
    <s v="FUR-CH-10002602"/>
    <x v="0"/>
    <x v="1"/>
    <s v="DMI Arturo Collection Mission-style Design Wood Chair"/>
    <n v="603.91999999999996"/>
    <n v="5"/>
    <n v="45.293999999999997"/>
    <x v="4"/>
    <x v="4"/>
  </r>
  <r>
    <s v="CA-2017-169978"/>
    <x v="455"/>
    <d v="2017-12-28T00:00:00"/>
    <x v="1"/>
    <s v="HG-15025"/>
    <s v="Hunter Glantz"/>
    <x v="0"/>
    <s v="United States"/>
    <x v="64"/>
    <x v="7"/>
    <x v="2"/>
    <s v="FUR-CH-10002602"/>
    <x v="0"/>
    <x v="1"/>
    <s v="DMI Arturo Collection Mission-style Design Wood Chair"/>
    <n v="271.76400000000001"/>
    <n v="2"/>
    <n v="48.313600000000001"/>
    <x v="4"/>
    <x v="5"/>
  </r>
  <r>
    <s v="CA-2017-161739"/>
    <x v="219"/>
    <d v="2017-11-15T00:00:00"/>
    <x v="0"/>
    <s v="EB-13750"/>
    <s v="Edward Becker"/>
    <x v="1"/>
    <s v="United States"/>
    <x v="82"/>
    <x v="5"/>
    <x v="3"/>
    <s v="FUR-FU-10001468"/>
    <x v="0"/>
    <x v="3"/>
    <s v="Tenex Antistatic Computer Chair Mats"/>
    <n v="341.96"/>
    <n v="5"/>
    <n v="-427.45"/>
    <x v="2"/>
    <x v="0"/>
  </r>
  <r>
    <s v="CA-2014-134551"/>
    <x v="191"/>
    <d v="2014-12-25T00:00:00"/>
    <x v="1"/>
    <s v="TS-21505"/>
    <s v="Tony Sayre"/>
    <x v="0"/>
    <s v="United States"/>
    <x v="11"/>
    <x v="9"/>
    <x v="0"/>
    <s v="FUR-CH-10004287"/>
    <x v="0"/>
    <x v="1"/>
    <s v="SAFCO Arco Folding Chair"/>
    <n v="662.88"/>
    <n v="3"/>
    <n v="74.573999999999998"/>
    <x v="2"/>
    <x v="5"/>
  </r>
  <r>
    <s v="CA-2015-120810"/>
    <x v="456"/>
    <d v="2015-07-27T00:00:00"/>
    <x v="1"/>
    <s v="TH-21550"/>
    <s v="Tracy Hopkins"/>
    <x v="2"/>
    <s v="United States"/>
    <x v="13"/>
    <x v="7"/>
    <x v="2"/>
    <s v="FUR-FU-10002253"/>
    <x v="0"/>
    <x v="3"/>
    <s v="Howard Miller 13&quot; Diameter Pewter Finish Round Wall Clock"/>
    <n v="128.82"/>
    <n v="3"/>
    <n v="50.239800000000002"/>
    <x v="4"/>
    <x v="3"/>
  </r>
  <r>
    <s v="CA-2017-122595"/>
    <x v="417"/>
    <d v="2017-12-20T00:00:00"/>
    <x v="1"/>
    <s v="GM-14455"/>
    <s v="Gary Mitchum"/>
    <x v="2"/>
    <s v="United States"/>
    <x v="9"/>
    <x v="8"/>
    <x v="3"/>
    <s v="FUR-FU-10002963"/>
    <x v="0"/>
    <x v="3"/>
    <s v="Master Caster Door Stop, Gray"/>
    <n v="2.032"/>
    <n v="1"/>
    <n v="-1.3208"/>
    <x v="6"/>
    <x v="5"/>
  </r>
  <r>
    <s v="US-2017-109253"/>
    <x v="67"/>
    <d v="2017-08-22T00:00:00"/>
    <x v="2"/>
    <s v="PR-18880"/>
    <s v="Patrick Ryan"/>
    <x v="0"/>
    <s v="United States"/>
    <x v="121"/>
    <x v="2"/>
    <x v="1"/>
    <s v="FUR-FU-10000193"/>
    <x v="0"/>
    <x v="3"/>
    <s v="Tenex Chairmats For Use with Hard Floors"/>
    <n v="129.91999999999999"/>
    <n v="4"/>
    <n v="10.393599999999999"/>
    <x v="5"/>
    <x v="10"/>
  </r>
  <r>
    <s v="US-2017-109253"/>
    <x v="67"/>
    <d v="2017-08-22T00:00:00"/>
    <x v="2"/>
    <s v="PR-18880"/>
    <s v="Patrick Ryan"/>
    <x v="0"/>
    <s v="United States"/>
    <x v="121"/>
    <x v="2"/>
    <x v="1"/>
    <s v="FUR-TA-10001539"/>
    <x v="0"/>
    <x v="2"/>
    <s v="Chromcraft Rectangular Conference Tables"/>
    <n v="568.72799999999995"/>
    <n v="3"/>
    <n v="28.436399999999999"/>
    <x v="5"/>
    <x v="10"/>
  </r>
  <r>
    <s v="CA-2016-145982"/>
    <x v="457"/>
    <d v="2016-09-01T00:00:00"/>
    <x v="0"/>
    <s v="TB-21055"/>
    <s v="Ted Butterfield"/>
    <x v="0"/>
    <s v="United States"/>
    <x v="202"/>
    <x v="20"/>
    <x v="2"/>
    <s v="FUR-TA-10001307"/>
    <x v="0"/>
    <x v="2"/>
    <s v="SAFCO PlanMaster Heigh-Adjustable Drafting Table Base, 43w x 30d x 30-37h, Black"/>
    <n v="244.61500000000001"/>
    <n v="1"/>
    <n v="20.966999999999999"/>
    <x v="2"/>
    <x v="10"/>
  </r>
  <r>
    <s v="US-2014-134733"/>
    <x v="458"/>
    <d v="2014-09-28T00:00:00"/>
    <x v="1"/>
    <s v="BM-11650"/>
    <s v="Brian Moss"/>
    <x v="1"/>
    <s v="United States"/>
    <x v="53"/>
    <x v="2"/>
    <x v="1"/>
    <s v="FUR-BO-10002916"/>
    <x v="0"/>
    <x v="0"/>
    <s v="Rush Hierlooms Collection 1&quot; Thick Stackable Bookcases"/>
    <n v="435.99900000000002"/>
    <n v="3"/>
    <n v="20.517600000000002"/>
    <x v="2"/>
    <x v="4"/>
  </r>
  <r>
    <s v="US-2014-150434"/>
    <x v="459"/>
    <d v="2014-07-24T00:00:00"/>
    <x v="1"/>
    <s v="CA-12310"/>
    <s v="Christine Abelman"/>
    <x v="1"/>
    <s v="United States"/>
    <x v="203"/>
    <x v="19"/>
    <x v="2"/>
    <s v="FUR-TA-10004152"/>
    <x v="0"/>
    <x v="2"/>
    <s v="Barricks 18&quot; x 48&quot; Non-Folding Utility Table with Bottom Storage Shelf"/>
    <n v="70.56"/>
    <n v="1"/>
    <n v="-4.032"/>
    <x v="2"/>
    <x v="3"/>
  </r>
  <r>
    <s v="US-2015-142020"/>
    <x v="460"/>
    <d v="2015-06-08T00:00:00"/>
    <x v="0"/>
    <s v="TC-21535"/>
    <s v="Tracy Collins"/>
    <x v="2"/>
    <s v="United States"/>
    <x v="13"/>
    <x v="7"/>
    <x v="2"/>
    <s v="FUR-FU-10000672"/>
    <x v="0"/>
    <x v="3"/>
    <s v="Executive Impressions 10&quot; Spectator Wall Clock"/>
    <n v="35.28"/>
    <n v="3"/>
    <n v="11.995200000000001"/>
    <x v="4"/>
    <x v="2"/>
  </r>
  <r>
    <s v="CA-2016-130050"/>
    <x v="461"/>
    <d v="2016-07-18T00:00:00"/>
    <x v="0"/>
    <s v="MC-17425"/>
    <s v="Mark Cousins"/>
    <x v="1"/>
    <s v="United States"/>
    <x v="6"/>
    <x v="5"/>
    <x v="3"/>
    <s v="FUR-FU-10001940"/>
    <x v="0"/>
    <x v="3"/>
    <s v="Staple-based wall hangings"/>
    <n v="9.5519999999999996"/>
    <n v="3"/>
    <n v="-3.8208000000000002"/>
    <x v="3"/>
    <x v="3"/>
  </r>
  <r>
    <s v="CA-2014-115161"/>
    <x v="462"/>
    <d v="2014-02-02T00:00:00"/>
    <x v="2"/>
    <s v="LC-17050"/>
    <s v="Liz Carlisle"/>
    <x v="0"/>
    <s v="United States"/>
    <x v="204"/>
    <x v="2"/>
    <x v="1"/>
    <s v="FUR-BO-10003966"/>
    <x v="0"/>
    <x v="0"/>
    <s v="Sauder Facets Collection Library, Sky Alder Finish"/>
    <n v="290.666"/>
    <n v="2"/>
    <n v="3.4196"/>
    <x v="3"/>
    <x v="8"/>
  </r>
  <r>
    <s v="CA-2015-115511"/>
    <x v="32"/>
    <d v="2015-11-25T00:00:00"/>
    <x v="1"/>
    <s v="NW-18400"/>
    <s v="Natalie Webber"/>
    <x v="0"/>
    <s v="United States"/>
    <x v="205"/>
    <x v="34"/>
    <x v="1"/>
    <s v="FUR-BO-10002598"/>
    <x v="0"/>
    <x v="0"/>
    <s v="Hon Metal Bookcases, Putty"/>
    <n v="141.96"/>
    <n v="2"/>
    <n v="41.168399999999998"/>
    <x v="4"/>
    <x v="0"/>
  </r>
  <r>
    <s v="CA-2015-161718"/>
    <x v="463"/>
    <d v="2015-12-10T00:00:00"/>
    <x v="1"/>
    <s v="SO-20335"/>
    <s v="Sean O'Donnell"/>
    <x v="0"/>
    <s v="United States"/>
    <x v="206"/>
    <x v="7"/>
    <x v="2"/>
    <s v="FUR-FU-10002445"/>
    <x v="0"/>
    <x v="3"/>
    <s v="DAX Two-Tone Rosewood/Black Document Frame, Desktop, 5 x 7"/>
    <n v="28.44"/>
    <n v="3"/>
    <n v="11.375999999999999"/>
    <x v="6"/>
    <x v="5"/>
  </r>
  <r>
    <s v="CA-2015-161718"/>
    <x v="463"/>
    <d v="2015-12-10T00:00:00"/>
    <x v="1"/>
    <s v="SO-20335"/>
    <s v="Sean O'Donnell"/>
    <x v="0"/>
    <s v="United States"/>
    <x v="206"/>
    <x v="7"/>
    <x v="2"/>
    <s v="FUR-CH-10002372"/>
    <x v="0"/>
    <x v="1"/>
    <s v="Office Star - Ergonomically Designed Knee Chair"/>
    <n v="364.41"/>
    <n v="5"/>
    <n v="8.0980000000000008"/>
    <x v="6"/>
    <x v="5"/>
  </r>
  <r>
    <s v="CA-2015-161718"/>
    <x v="463"/>
    <d v="2015-12-10T00:00:00"/>
    <x v="1"/>
    <s v="SO-20335"/>
    <s v="Sean O'Donnell"/>
    <x v="0"/>
    <s v="United States"/>
    <x v="206"/>
    <x v="7"/>
    <x v="2"/>
    <s v="FUR-CH-10002965"/>
    <x v="0"/>
    <x v="1"/>
    <s v="Global Leather Highback Executive Chair with Pneumatic Height Adjustment, Black"/>
    <n v="361.76400000000001"/>
    <n v="2"/>
    <n v="68.333200000000005"/>
    <x v="6"/>
    <x v="5"/>
  </r>
  <r>
    <s v="CA-2017-103156"/>
    <x v="68"/>
    <d v="2017-11-24T00:00:00"/>
    <x v="2"/>
    <s v="TD-20995"/>
    <s v="Tamara Dahlen"/>
    <x v="0"/>
    <s v="United States"/>
    <x v="3"/>
    <x v="3"/>
    <x v="2"/>
    <s v="FUR-FU-10000320"/>
    <x v="0"/>
    <x v="3"/>
    <s v="OIC Stacking Trays"/>
    <n v="24.047999999999998"/>
    <n v="9"/>
    <n v="7.2144000000000004"/>
    <x v="5"/>
    <x v="0"/>
  </r>
  <r>
    <s v="CA-2015-130659"/>
    <x v="463"/>
    <d v="2015-12-09T00:00:00"/>
    <x v="0"/>
    <s v="MS-17365"/>
    <s v="Maribeth Schnelling"/>
    <x v="0"/>
    <s v="United States"/>
    <x v="13"/>
    <x v="7"/>
    <x v="2"/>
    <s v="FUR-CH-10003535"/>
    <x v="0"/>
    <x v="1"/>
    <s v="Global Armless Task Chair, Royal Blue"/>
    <n v="384.17399999999998"/>
    <n v="7"/>
    <n v="29.880199999999999"/>
    <x v="2"/>
    <x v="5"/>
  </r>
  <r>
    <s v="CA-2017-148404"/>
    <x v="273"/>
    <d v="2017-10-11T00:00:00"/>
    <x v="1"/>
    <s v="Dp-13240"/>
    <s v="Dean percer"/>
    <x v="2"/>
    <s v="United States"/>
    <x v="127"/>
    <x v="30"/>
    <x v="0"/>
    <s v="FUR-TA-10001039"/>
    <x v="0"/>
    <x v="2"/>
    <s v="KI Adjustable-Height Table"/>
    <n v="154.76400000000001"/>
    <n v="3"/>
    <n v="-36.111600000000003"/>
    <x v="4"/>
    <x v="1"/>
  </r>
  <r>
    <s v="CA-2015-129700"/>
    <x v="50"/>
    <d v="2015-05-05T00:00:00"/>
    <x v="2"/>
    <s v="LA-16780"/>
    <s v="Laura Armstrong"/>
    <x v="1"/>
    <s v="United States"/>
    <x v="207"/>
    <x v="8"/>
    <x v="3"/>
    <s v="FUR-FU-10001940"/>
    <x v="0"/>
    <x v="3"/>
    <s v="Staple-based wall hangings"/>
    <n v="22.288"/>
    <n v="7"/>
    <n v="-8.9152000000000005"/>
    <x v="5"/>
    <x v="7"/>
  </r>
  <r>
    <s v="CA-2017-168739"/>
    <x v="464"/>
    <d v="2017-06-05T00:00:00"/>
    <x v="1"/>
    <s v="HZ-14950"/>
    <s v="Henia Zydlo"/>
    <x v="0"/>
    <s v="United States"/>
    <x v="6"/>
    <x v="5"/>
    <x v="3"/>
    <s v="FUR-FU-10003919"/>
    <x v="0"/>
    <x v="3"/>
    <s v="Eldon Executive Woodline II Cherry Finish Desk Accessories"/>
    <n v="65.424000000000007"/>
    <n v="4"/>
    <n v="-52.339199999999998"/>
    <x v="1"/>
    <x v="7"/>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FU-10002191"/>
    <x v="0"/>
    <x v="3"/>
    <s v="G.E. Halogen Desk Lamp Bulbs"/>
    <n v="22.335999999999999"/>
    <n v="4"/>
    <n v="7.8175999999999997"/>
    <x v="4"/>
    <x v="6"/>
  </r>
  <r>
    <s v="CA-2015-150791"/>
    <x v="329"/>
    <d v="2015-09-13T00:00:00"/>
    <x v="1"/>
    <s v="CC-12430"/>
    <s v="Chuck Clark"/>
    <x v="2"/>
    <s v="United States"/>
    <x v="13"/>
    <x v="7"/>
    <x v="2"/>
    <s v="FUR-CH-10000665"/>
    <x v="0"/>
    <x v="1"/>
    <s v="Global Airflow Leather Mesh Back Chair, Black"/>
    <n v="271.76400000000001"/>
    <n v="2"/>
    <n v="60.392000000000003"/>
    <x v="1"/>
    <x v="4"/>
  </r>
  <r>
    <s v="CA-2015-153381"/>
    <x v="262"/>
    <d v="2015-09-28T00:00:00"/>
    <x v="1"/>
    <s v="DE-13255"/>
    <s v="Deanra Eno"/>
    <x v="2"/>
    <s v="United States"/>
    <x v="208"/>
    <x v="26"/>
    <x v="3"/>
    <s v="FUR-CH-10000988"/>
    <x v="0"/>
    <x v="1"/>
    <s v="Hon Olson Stacker Stools"/>
    <n v="1408.1"/>
    <n v="10"/>
    <n v="394.26799999999997"/>
    <x v="4"/>
    <x v="4"/>
  </r>
  <r>
    <s v="US-2017-111024"/>
    <x v="209"/>
    <d v="2017-07-06T00:00:00"/>
    <x v="0"/>
    <s v="SZ-20035"/>
    <s v="Sam Zeldin"/>
    <x v="2"/>
    <s v="United States"/>
    <x v="68"/>
    <x v="15"/>
    <x v="2"/>
    <s v="FUR-TA-10002041"/>
    <x v="0"/>
    <x v="2"/>
    <s v="Bevis Round Conference Table Top, X-Base"/>
    <n v="215.148"/>
    <n v="2"/>
    <n v="-103.98820000000001"/>
    <x v="0"/>
    <x v="3"/>
  </r>
  <r>
    <s v="CA-2017-148264"/>
    <x v="64"/>
    <d v="2017-12-09T00:00:00"/>
    <x v="2"/>
    <s v="LF-17185"/>
    <s v="Luke Foster"/>
    <x v="0"/>
    <s v="United States"/>
    <x v="209"/>
    <x v="2"/>
    <x v="1"/>
    <s v="FUR-FU-10002703"/>
    <x v="0"/>
    <x v="3"/>
    <s v="Tenex Traditional Chairmats for Hard Floors, Average Lip, 36&quot; x 48&quot;"/>
    <n v="128.9"/>
    <n v="2"/>
    <n v="15.468"/>
    <x v="5"/>
    <x v="5"/>
  </r>
  <r>
    <s v="US-2015-100531"/>
    <x v="466"/>
    <d v="2015-09-29T00:00:00"/>
    <x v="2"/>
    <s v="NM-18520"/>
    <s v="Neoma Murray"/>
    <x v="0"/>
    <s v="United States"/>
    <x v="9"/>
    <x v="8"/>
    <x v="3"/>
    <s v="FUR-FU-10003849"/>
    <x v="0"/>
    <x v="3"/>
    <s v="DAX Metal Frame, Desktop, Stepped-Edge"/>
    <n v="24.288"/>
    <n v="3"/>
    <n v="-12.751200000000001"/>
    <x v="3"/>
    <x v="4"/>
  </r>
  <r>
    <s v="CA-2017-152583"/>
    <x v="242"/>
    <d v="2017-10-30T00:00:00"/>
    <x v="3"/>
    <s v="RA-19945"/>
    <s v="Ryan Akin"/>
    <x v="0"/>
    <s v="United States"/>
    <x v="144"/>
    <x v="5"/>
    <x v="3"/>
    <s v="FUR-FU-10003849"/>
    <x v="0"/>
    <x v="3"/>
    <s v="DAX Metal Frame, Desktop, Stepped-Edge"/>
    <n v="16.192"/>
    <n v="2"/>
    <n v="-8.5007999999999999"/>
    <x v="7"/>
    <x v="1"/>
  </r>
  <r>
    <s v="CA-2017-152583"/>
    <x v="242"/>
    <d v="2017-10-30T00:00:00"/>
    <x v="3"/>
    <s v="RA-19945"/>
    <s v="Ryan Akin"/>
    <x v="0"/>
    <s v="United States"/>
    <x v="144"/>
    <x v="5"/>
    <x v="3"/>
    <s v="FUR-TA-10002041"/>
    <x v="0"/>
    <x v="2"/>
    <s v="Bevis Round Conference Table Top, X-Base"/>
    <n v="251.006"/>
    <n v="2"/>
    <n v="-68.130200000000002"/>
    <x v="7"/>
    <x v="1"/>
  </r>
  <r>
    <s v="CA-2017-136448"/>
    <x v="467"/>
    <d v="2017-09-18T00:00:00"/>
    <x v="2"/>
    <s v="AS-10090"/>
    <s v="Adam Shillingsburg"/>
    <x v="0"/>
    <s v="United States"/>
    <x v="3"/>
    <x v="3"/>
    <x v="2"/>
    <s v="FUR-FU-10003832"/>
    <x v="0"/>
    <x v="3"/>
    <s v="Eldon Expressions Punched Metal &amp; Wood Desk Accessories, Black &amp; Cherry"/>
    <n v="22.512"/>
    <n v="3"/>
    <n v="2.2511999999999999"/>
    <x v="3"/>
    <x v="4"/>
  </r>
  <r>
    <s v="US-2015-147242"/>
    <x v="468"/>
    <d v="2015-09-14T00:00:00"/>
    <x v="1"/>
    <s v="EH-13765"/>
    <s v="Edward Hooks"/>
    <x v="1"/>
    <s v="United States"/>
    <x v="210"/>
    <x v="20"/>
    <x v="2"/>
    <s v="FUR-BO-10004695"/>
    <x v="0"/>
    <x v="0"/>
    <s v="O'Sullivan 2-Door Barrister Bookcase in Odessa Pine"/>
    <n v="361.96"/>
    <n v="2"/>
    <n v="83.250799999999998"/>
    <x v="4"/>
    <x v="4"/>
  </r>
  <r>
    <s v="CA-2016-146143"/>
    <x v="469"/>
    <d v="2016-12-19T00:00:00"/>
    <x v="1"/>
    <s v="MC-17845"/>
    <s v="Michael Chen"/>
    <x v="0"/>
    <s v="United States"/>
    <x v="38"/>
    <x v="21"/>
    <x v="0"/>
    <s v="FUR-FU-10002045"/>
    <x v="0"/>
    <x v="3"/>
    <s v="Executive Impressions 14&quot;"/>
    <n v="133.38"/>
    <n v="6"/>
    <n v="58.687199999999997"/>
    <x v="2"/>
    <x v="5"/>
  </r>
  <r>
    <s v="US-2016-150035"/>
    <x v="193"/>
    <d v="2016-12-05T00:00:00"/>
    <x v="1"/>
    <s v="CL-11890"/>
    <s v="Carl Ludwig"/>
    <x v="0"/>
    <s v="United States"/>
    <x v="28"/>
    <x v="2"/>
    <x v="1"/>
    <s v="FUR-FU-10003724"/>
    <x v="0"/>
    <x v="3"/>
    <s v="Westinghouse Clip-On Gooseneck Lamps"/>
    <n v="16.739999999999998"/>
    <n v="2"/>
    <n v="4.3524000000000003"/>
    <x v="4"/>
    <x v="5"/>
  </r>
  <r>
    <s v="CA-2017-111815"/>
    <x v="470"/>
    <d v="2017-03-10T00:00:00"/>
    <x v="1"/>
    <s v="EP-13915"/>
    <s v="Emily Phan"/>
    <x v="0"/>
    <s v="United States"/>
    <x v="211"/>
    <x v="17"/>
    <x v="3"/>
    <s v="FUR-CH-10000785"/>
    <x v="0"/>
    <x v="1"/>
    <s v="Global Ergonomic Managers Chair"/>
    <n v="180.98"/>
    <n v="1"/>
    <n v="47.0548"/>
    <x v="1"/>
    <x v="9"/>
  </r>
  <r>
    <s v="CA-2016-131289"/>
    <x v="6"/>
    <d v="2016-12-14T00:00:00"/>
    <x v="1"/>
    <s v="SP-20620"/>
    <s v="Stefania Perrino"/>
    <x v="1"/>
    <s v="United States"/>
    <x v="28"/>
    <x v="2"/>
    <x v="1"/>
    <s v="FUR-TA-10003954"/>
    <x v="0"/>
    <x v="2"/>
    <s v="Hon 94000 Series Round Tables"/>
    <n v="1421.664"/>
    <n v="6"/>
    <n v="-195.47880000000001"/>
    <x v="6"/>
    <x v="5"/>
  </r>
  <r>
    <s v="CA-2014-124023"/>
    <x v="471"/>
    <d v="2014-04-10T00:00:00"/>
    <x v="2"/>
    <s v="PJ-19015"/>
    <s v="Pauline Johnson"/>
    <x v="0"/>
    <s v="United States"/>
    <x v="212"/>
    <x v="33"/>
    <x v="0"/>
    <s v="FUR-FU-10004415"/>
    <x v="0"/>
    <x v="3"/>
    <s v="Stacking Tray, Side-Loading, Legal, Smoke"/>
    <n v="8.9600000000000009"/>
    <n v="2"/>
    <n v="2.7776000000000001"/>
    <x v="0"/>
    <x v="6"/>
  </r>
  <r>
    <s v="CA-2014-124688"/>
    <x v="472"/>
    <d v="2014-08-29T00:00:00"/>
    <x v="2"/>
    <s v="CC-12610"/>
    <s v="Corey Catlett"/>
    <x v="1"/>
    <s v="United States"/>
    <x v="76"/>
    <x v="25"/>
    <x v="0"/>
    <s v="FUR-FU-10002456"/>
    <x v="0"/>
    <x v="3"/>
    <s v="Master Caster Door Stop, Large Neon Orange"/>
    <n v="29.12"/>
    <n v="4"/>
    <n v="12.521599999999999"/>
    <x v="3"/>
    <x v="10"/>
  </r>
  <r>
    <s v="CA-2014-124688"/>
    <x v="472"/>
    <d v="2014-08-29T00:00:00"/>
    <x v="2"/>
    <s v="CC-12610"/>
    <s v="Corey Catlett"/>
    <x v="1"/>
    <s v="United States"/>
    <x v="76"/>
    <x v="25"/>
    <x v="0"/>
    <s v="FUR-TA-10003569"/>
    <x v="0"/>
    <x v="2"/>
    <s v="Bretford CR8500 Series Meeting Room Furniture"/>
    <n v="1202.94"/>
    <n v="3"/>
    <n v="300.73500000000001"/>
    <x v="3"/>
    <x v="10"/>
  </r>
  <r>
    <s v="CA-2015-157322"/>
    <x v="473"/>
    <d v="2015-07-06T00:00:00"/>
    <x v="1"/>
    <s v="RH-19600"/>
    <s v="Rob Haberlin"/>
    <x v="0"/>
    <s v="United States"/>
    <x v="213"/>
    <x v="8"/>
    <x v="3"/>
    <s v="FUR-CH-10004086"/>
    <x v="0"/>
    <x v="1"/>
    <s v="Hon 4070 Series Pagoda Armless Upholstered Stacking Chairs"/>
    <n v="408.42200000000003"/>
    <n v="2"/>
    <n v="-5.8346"/>
    <x v="4"/>
    <x v="3"/>
  </r>
  <r>
    <s v="CA-2015-157322"/>
    <x v="473"/>
    <d v="2015-07-06T00:00:00"/>
    <x v="1"/>
    <s v="RH-19600"/>
    <s v="Rob Haberlin"/>
    <x v="0"/>
    <s v="United States"/>
    <x v="213"/>
    <x v="8"/>
    <x v="3"/>
    <s v="FUR-CH-10003774"/>
    <x v="0"/>
    <x v="1"/>
    <s v="Global Wood Trimmed Manager's Task Chair, Khaki"/>
    <n v="382.11599999999999"/>
    <n v="6"/>
    <n v="-92.799599999999998"/>
    <x v="4"/>
    <x v="3"/>
  </r>
  <r>
    <s v="CA-2017-142034"/>
    <x v="118"/>
    <d v="2017-09-28T00:00:00"/>
    <x v="1"/>
    <s v="KB-16240"/>
    <s v="Karen Bern"/>
    <x v="1"/>
    <s v="United States"/>
    <x v="214"/>
    <x v="11"/>
    <x v="3"/>
    <s v="FUR-CH-10000665"/>
    <x v="0"/>
    <x v="1"/>
    <s v="Global Airflow Leather Mesh Back Chair, Black"/>
    <n v="603.91999999999996"/>
    <n v="4"/>
    <n v="181.17599999999999"/>
    <x v="4"/>
    <x v="4"/>
  </r>
  <r>
    <s v="CA-2016-107328"/>
    <x v="474"/>
    <d v="2016-08-15T00:00:00"/>
    <x v="1"/>
    <s v="CA-12055"/>
    <s v="Cathy Armstrong"/>
    <x v="2"/>
    <s v="United States"/>
    <x v="2"/>
    <x v="2"/>
    <x v="1"/>
    <s v="FUR-TA-10001932"/>
    <x v="0"/>
    <x v="2"/>
    <s v="Chromcraft 48&quot; x 96&quot; Racetrack Double Pedestal Table"/>
    <n v="513.024"/>
    <n v="2"/>
    <n v="12.8256"/>
    <x v="1"/>
    <x v="10"/>
  </r>
  <r>
    <s v="CA-2014-166863"/>
    <x v="475"/>
    <d v="2014-06-24T00:00:00"/>
    <x v="1"/>
    <s v="SC-20020"/>
    <s v="Sam Craven"/>
    <x v="0"/>
    <s v="United States"/>
    <x v="215"/>
    <x v="5"/>
    <x v="3"/>
    <s v="FUR-BO-10001608"/>
    <x v="0"/>
    <x v="0"/>
    <s v="Hon Metal Bookcases, Black"/>
    <n v="193.06559999999999"/>
    <n v="4"/>
    <n v="-19.874400000000001"/>
    <x v="4"/>
    <x v="2"/>
  </r>
  <r>
    <s v="CA-2017-140326"/>
    <x v="362"/>
    <d v="2017-09-06T00:00:00"/>
    <x v="2"/>
    <s v="HW-14935"/>
    <s v="Helen Wasserman"/>
    <x v="1"/>
    <s v="United States"/>
    <x v="9"/>
    <x v="8"/>
    <x v="3"/>
    <s v="FUR-BO-10000112"/>
    <x v="0"/>
    <x v="0"/>
    <s v="Bush Birmingham Collection Bookcase, Dark Cherry"/>
    <n v="825.17399999999998"/>
    <n v="9"/>
    <n v="-117.88200000000001"/>
    <x v="3"/>
    <x v="4"/>
  </r>
  <r>
    <s v="CA-2015-124975"/>
    <x v="476"/>
    <d v="2015-06-25T00:00:00"/>
    <x v="2"/>
    <s v="MG-17875"/>
    <s v="Michael Grace"/>
    <x v="2"/>
    <s v="United States"/>
    <x v="14"/>
    <x v="8"/>
    <x v="3"/>
    <s v="FUR-TA-10002645"/>
    <x v="0"/>
    <x v="2"/>
    <s v="Hon Rectangular Conference Tables"/>
    <n v="796.42499999999995"/>
    <n v="7"/>
    <n v="-525.64049999999997"/>
    <x v="0"/>
    <x v="2"/>
  </r>
  <r>
    <s v="CA-2016-157511"/>
    <x v="126"/>
    <d v="2016-09-20T00:00:00"/>
    <x v="2"/>
    <s v="SV-20365"/>
    <s v="Seth Vernon"/>
    <x v="0"/>
    <s v="United States"/>
    <x v="29"/>
    <x v="15"/>
    <x v="2"/>
    <s v="FUR-FU-10002107"/>
    <x v="0"/>
    <x v="3"/>
    <s v="Eldon Pizzaz Desk Accessories"/>
    <n v="5.3520000000000003"/>
    <n v="3"/>
    <n v="1.6055999999999999"/>
    <x v="3"/>
    <x v="4"/>
  </r>
  <r>
    <s v="CA-2016-157511"/>
    <x v="126"/>
    <d v="2016-09-20T00:00:00"/>
    <x v="2"/>
    <s v="SV-20365"/>
    <s v="Seth Vernon"/>
    <x v="0"/>
    <s v="United States"/>
    <x v="29"/>
    <x v="15"/>
    <x v="2"/>
    <s v="FUR-CH-10002647"/>
    <x v="0"/>
    <x v="1"/>
    <s v="Situations Contoured Folding Chairs, 4/Set"/>
    <n v="99.372"/>
    <n v="2"/>
    <n v="-7.0979999999999999"/>
    <x v="3"/>
    <x v="4"/>
  </r>
  <r>
    <s v="CA-2017-155292"/>
    <x v="242"/>
    <d v="2017-11-01T00:00:00"/>
    <x v="2"/>
    <s v="RD-19810"/>
    <s v="Ross DeVincentis"/>
    <x v="2"/>
    <s v="United States"/>
    <x v="52"/>
    <x v="0"/>
    <x v="0"/>
    <s v="FUR-CH-10000553"/>
    <x v="0"/>
    <x v="1"/>
    <s v="Metal Folding Chairs, Beige, 4/Carton"/>
    <n v="33.94"/>
    <n v="1"/>
    <n v="9.1638000000000002"/>
    <x v="3"/>
    <x v="1"/>
  </r>
  <r>
    <s v="CA-2016-152555"/>
    <x v="477"/>
    <d v="2016-04-02T00:00:00"/>
    <x v="0"/>
    <s v="ME-17320"/>
    <s v="Maria Etezadi"/>
    <x v="2"/>
    <s v="United States"/>
    <x v="9"/>
    <x v="8"/>
    <x v="3"/>
    <s v="FUR-CH-10002965"/>
    <x v="0"/>
    <x v="1"/>
    <s v="Global Leather Highback Executive Chair with Pneumatic Height Adjustment, Black"/>
    <n v="844.11599999999999"/>
    <n v="6"/>
    <n v="-36.176400000000001"/>
    <x v="4"/>
    <x v="9"/>
  </r>
  <r>
    <s v="CA-2016-137176"/>
    <x v="478"/>
    <d v="2016-09-14T00:00:00"/>
    <x v="0"/>
    <s v="DB-12910"/>
    <s v="Daniel Byrd"/>
    <x v="2"/>
    <s v="United States"/>
    <x v="144"/>
    <x v="5"/>
    <x v="3"/>
    <s v="FUR-FU-10003832"/>
    <x v="0"/>
    <x v="3"/>
    <s v="Eldon Expressions Punched Metal &amp; Wood Desk Accessories, Black &amp; Cherry"/>
    <n v="15.007999999999999"/>
    <n v="4"/>
    <n v="-12.006399999999999"/>
    <x v="2"/>
    <x v="4"/>
  </r>
  <r>
    <s v="CA-2016-104157"/>
    <x v="81"/>
    <d v="2016-07-29T00:00:00"/>
    <x v="1"/>
    <s v="MT-17815"/>
    <s v="Meg Tillman"/>
    <x v="0"/>
    <s v="United States"/>
    <x v="38"/>
    <x v="21"/>
    <x v="0"/>
    <s v="FUR-TA-10004915"/>
    <x v="0"/>
    <x v="2"/>
    <s v="Office Impressions End Table, 20-1/2&quot;H x 24&quot;W x 20&quot;D"/>
    <n v="2430.08"/>
    <n v="8"/>
    <n v="388.81279999999998"/>
    <x v="4"/>
    <x v="3"/>
  </r>
  <r>
    <s v="CA-2015-121650"/>
    <x v="479"/>
    <d v="2015-12-16T00:00:00"/>
    <x v="1"/>
    <s v="KD-16495"/>
    <s v="Keith Dawkins"/>
    <x v="1"/>
    <s v="United States"/>
    <x v="38"/>
    <x v="17"/>
    <x v="3"/>
    <s v="FUR-TA-10003569"/>
    <x v="0"/>
    <x v="2"/>
    <s v="Bretford CR8500 Series Meeting Room Furniture"/>
    <n v="801.96"/>
    <n v="2"/>
    <n v="200.49"/>
    <x v="6"/>
    <x v="5"/>
  </r>
  <r>
    <s v="CA-2015-121650"/>
    <x v="479"/>
    <d v="2015-12-16T00:00:00"/>
    <x v="1"/>
    <s v="KD-16495"/>
    <s v="Keith Dawkins"/>
    <x v="1"/>
    <s v="United States"/>
    <x v="38"/>
    <x v="17"/>
    <x v="3"/>
    <s v="FUR-CH-10004289"/>
    <x v="0"/>
    <x v="1"/>
    <s v="Global Super Steno Chair"/>
    <n v="191.96"/>
    <n v="2"/>
    <n v="32.633200000000002"/>
    <x v="6"/>
    <x v="5"/>
  </r>
  <r>
    <s v="CA-2014-102869"/>
    <x v="383"/>
    <d v="2014-09-14T00:00:00"/>
    <x v="0"/>
    <s v="LC-17140"/>
    <s v="Logan Currie"/>
    <x v="0"/>
    <s v="United States"/>
    <x v="3"/>
    <x v="3"/>
    <x v="2"/>
    <s v="FUR-FU-10002456"/>
    <x v="0"/>
    <x v="3"/>
    <s v="Master Caster Door Stop, Large Neon Orange"/>
    <n v="17.472000000000001"/>
    <n v="3"/>
    <n v="5.0232000000000001"/>
    <x v="2"/>
    <x v="4"/>
  </r>
  <r>
    <s v="CA-2014-159835"/>
    <x v="317"/>
    <d v="2014-11-24T00:00:00"/>
    <x v="1"/>
    <s v="RB-19330"/>
    <s v="Randy Bradley"/>
    <x v="0"/>
    <s v="United States"/>
    <x v="3"/>
    <x v="3"/>
    <x v="2"/>
    <s v="FUR-CH-10004997"/>
    <x v="0"/>
    <x v="1"/>
    <s v="Hon Every-Day Series Multi-Task Chairs"/>
    <n v="657.93"/>
    <n v="5"/>
    <n v="-93.99"/>
    <x v="1"/>
    <x v="0"/>
  </r>
  <r>
    <s v="CA-2017-112956"/>
    <x v="67"/>
    <d v="2017-08-27T00:00:00"/>
    <x v="1"/>
    <s v="TH-21550"/>
    <s v="Tracy Hopkins"/>
    <x v="2"/>
    <s v="United States"/>
    <x v="11"/>
    <x v="32"/>
    <x v="2"/>
    <s v="FUR-FU-10003976"/>
    <x v="0"/>
    <x v="3"/>
    <s v="DAX Executive Solid Wood Document Frame, Desktop or Hang, Mahogany, 5 x 7"/>
    <n v="25.16"/>
    <n v="2"/>
    <n v="8.5543999999999993"/>
    <x v="6"/>
    <x v="10"/>
  </r>
  <r>
    <s v="CA-2017-112956"/>
    <x v="67"/>
    <d v="2017-08-27T00:00:00"/>
    <x v="1"/>
    <s v="TH-21550"/>
    <s v="Tracy Hopkins"/>
    <x v="2"/>
    <s v="United States"/>
    <x v="11"/>
    <x v="32"/>
    <x v="2"/>
    <s v="FUR-FU-10004960"/>
    <x v="0"/>
    <x v="3"/>
    <s v="Seth Thomas 12&quot; Clock w/ Goldtone Case"/>
    <n v="91.92"/>
    <n v="4"/>
    <n v="31.252800000000001"/>
    <x v="6"/>
    <x v="10"/>
  </r>
  <r>
    <s v="CA-2017-112529"/>
    <x v="49"/>
    <d v="2017-11-21T00:00:00"/>
    <x v="2"/>
    <s v="SC-20770"/>
    <s v="Stewart Carmichael"/>
    <x v="1"/>
    <s v="United States"/>
    <x v="21"/>
    <x v="5"/>
    <x v="3"/>
    <s v="FUR-TA-10002622"/>
    <x v="0"/>
    <x v="2"/>
    <s v="Bush Andora Conference Table, Maple/Graphite Gray Finish"/>
    <n v="718.11599999999999"/>
    <n v="6"/>
    <n v="-71.811599999999999"/>
    <x v="3"/>
    <x v="0"/>
  </r>
  <r>
    <s v="CA-2014-159184"/>
    <x v="94"/>
    <d v="2014-09-19T00:00:00"/>
    <x v="1"/>
    <s v="JC-15775"/>
    <s v="John Castell"/>
    <x v="0"/>
    <s v="United States"/>
    <x v="216"/>
    <x v="24"/>
    <x v="0"/>
    <s v="FUR-FU-10002878"/>
    <x v="0"/>
    <x v="3"/>
    <s v="Seth Thomas 14&quot; Day/Date Wall Clock"/>
    <n v="142.4"/>
    <n v="5"/>
    <n v="52.688000000000002"/>
    <x v="2"/>
    <x v="4"/>
  </r>
  <r>
    <s v="CA-2017-113530"/>
    <x v="405"/>
    <d v="2017-05-21T00:00:00"/>
    <x v="0"/>
    <s v="BC-11125"/>
    <s v="Becky Castell"/>
    <x v="2"/>
    <s v="United States"/>
    <x v="28"/>
    <x v="2"/>
    <x v="1"/>
    <s v="FUR-CH-10002647"/>
    <x v="0"/>
    <x v="1"/>
    <s v="Situations Contoured Folding Chairs, 4/Set"/>
    <n v="681.40800000000002"/>
    <n v="12"/>
    <n v="42.588000000000001"/>
    <x v="3"/>
    <x v="7"/>
  </r>
  <r>
    <s v="CA-2016-145177"/>
    <x v="480"/>
    <d v="2016-11-14T00:00:00"/>
    <x v="1"/>
    <s v="PP-18955"/>
    <s v="Paul Prost"/>
    <x v="2"/>
    <s v="United States"/>
    <x v="76"/>
    <x v="15"/>
    <x v="2"/>
    <s v="FUR-FU-10000758"/>
    <x v="0"/>
    <x v="3"/>
    <s v="DAX Natural Wood-Tone Poster Frame"/>
    <n v="148.28800000000001"/>
    <n v="7"/>
    <n v="29.657599999999999"/>
    <x v="4"/>
    <x v="0"/>
  </r>
  <r>
    <s v="CA-2015-128083"/>
    <x v="481"/>
    <d v="2015-03-17T00:00:00"/>
    <x v="1"/>
    <s v="EB-13750"/>
    <s v="Edward Becker"/>
    <x v="1"/>
    <s v="United States"/>
    <x v="217"/>
    <x v="1"/>
    <x v="0"/>
    <s v="FUR-FU-10003194"/>
    <x v="0"/>
    <x v="3"/>
    <s v="Eldon Expressions Desk Accessory, Wood Pencil Holder, Oak"/>
    <n v="30.88"/>
    <n v="4"/>
    <n v="3.86"/>
    <x v="2"/>
    <x v="9"/>
  </r>
  <r>
    <s v="CA-2015-128083"/>
    <x v="481"/>
    <d v="2015-03-17T00:00:00"/>
    <x v="1"/>
    <s v="EB-13750"/>
    <s v="Edward Becker"/>
    <x v="1"/>
    <s v="United States"/>
    <x v="217"/>
    <x v="1"/>
    <x v="0"/>
    <s v="FUR-FU-10001731"/>
    <x v="0"/>
    <x v="3"/>
    <s v="Acrylic Self-Standing Desk Frames"/>
    <n v="6.4080000000000004"/>
    <n v="3"/>
    <n v="1.4418"/>
    <x v="2"/>
    <x v="9"/>
  </r>
  <r>
    <s v="CA-2017-154109"/>
    <x v="200"/>
    <d v="2017-11-11T00:00:00"/>
    <x v="1"/>
    <s v="ML-17410"/>
    <s v="Maris LaWare"/>
    <x v="0"/>
    <s v="United States"/>
    <x v="3"/>
    <x v="3"/>
    <x v="2"/>
    <s v="FUR-CH-10003774"/>
    <x v="0"/>
    <x v="1"/>
    <s v="Global Wood Trimmed Manager's Task Chair, Khaki"/>
    <n v="127.372"/>
    <n v="2"/>
    <n v="-30.933199999999999"/>
    <x v="2"/>
    <x v="0"/>
  </r>
  <r>
    <s v="CA-2015-156440"/>
    <x v="482"/>
    <d v="2015-12-09T00:00:00"/>
    <x v="1"/>
    <s v="MH-17620"/>
    <s v="Matt Hagelstein"/>
    <x v="1"/>
    <s v="United States"/>
    <x v="53"/>
    <x v="2"/>
    <x v="1"/>
    <s v="FUR-FU-10004090"/>
    <x v="0"/>
    <x v="3"/>
    <s v="Executive Impressions 14&quot; Contract Wall Clock"/>
    <n v="44.46"/>
    <n v="2"/>
    <n v="14.671799999999999"/>
    <x v="4"/>
    <x v="5"/>
  </r>
  <r>
    <s v="CA-2015-132626"/>
    <x v="483"/>
    <d v="2015-07-14T00:00:00"/>
    <x v="1"/>
    <s v="BT-11680"/>
    <s v="Brian Thompson"/>
    <x v="0"/>
    <s v="United States"/>
    <x v="218"/>
    <x v="32"/>
    <x v="2"/>
    <s v="FUR-FU-10002918"/>
    <x v="0"/>
    <x v="3"/>
    <s v="Eldon ClusterMat Chair Mat with Cordless Antistatic Protection"/>
    <n v="181.96"/>
    <n v="2"/>
    <n v="20.015599999999999"/>
    <x v="2"/>
    <x v="3"/>
  </r>
  <r>
    <s v="US-2015-131359"/>
    <x v="484"/>
    <d v="2015-11-02T00:00:00"/>
    <x v="0"/>
    <s v="FA-14230"/>
    <s v="Frank Atkinson"/>
    <x v="1"/>
    <s v="United States"/>
    <x v="22"/>
    <x v="12"/>
    <x v="1"/>
    <s v="FUR-FU-10003026"/>
    <x v="0"/>
    <x v="3"/>
    <s v="Eldon Regeneration Recycled Desk Accessories, Black"/>
    <n v="15.488"/>
    <n v="4"/>
    <n v="3.6783999999999999"/>
    <x v="0"/>
    <x v="1"/>
  </r>
  <r>
    <s v="CA-2015-151680"/>
    <x v="485"/>
    <d v="2015-11-21T00:00:00"/>
    <x v="0"/>
    <s v="TC-21475"/>
    <s v="Tony Chapman"/>
    <x v="2"/>
    <s v="United States"/>
    <x v="15"/>
    <x v="13"/>
    <x v="1"/>
    <s v="FUR-FU-10000305"/>
    <x v="0"/>
    <x v="3"/>
    <s v="Tenex V2T-RE Standard Weight Series Chair Mat, 45&quot; x 53&quot;, Lip 25&quot; x 12&quot;"/>
    <n v="141.96"/>
    <n v="2"/>
    <n v="22.7136"/>
    <x v="3"/>
    <x v="0"/>
  </r>
  <r>
    <s v="CA-2017-169411"/>
    <x v="455"/>
    <d v="2017-12-29T00:00:00"/>
    <x v="1"/>
    <s v="AC-10615"/>
    <s v="Ann Chong"/>
    <x v="1"/>
    <s v="United States"/>
    <x v="77"/>
    <x v="7"/>
    <x v="2"/>
    <s v="FUR-FU-10001602"/>
    <x v="0"/>
    <x v="3"/>
    <s v="Eldon Delta Triangular Chair Mat, 52&quot; x 58&quot;, Clear"/>
    <n v="37.93"/>
    <n v="1"/>
    <n v="6.8273999999999999"/>
    <x v="2"/>
    <x v="5"/>
  </r>
  <r>
    <s v="CA-2016-126543"/>
    <x v="486"/>
    <d v="2016-01-13T00:00:00"/>
    <x v="0"/>
    <s v="MF-17665"/>
    <s v="Maureen Fritzler"/>
    <x v="1"/>
    <s v="United States"/>
    <x v="219"/>
    <x v="15"/>
    <x v="2"/>
    <s v="FUR-FU-10002445"/>
    <x v="0"/>
    <x v="3"/>
    <s v="DAX Two-Tone Rosewood/Black Document Frame, Desktop, 5 x 7"/>
    <n v="15.167999999999999"/>
    <n v="2"/>
    <n v="3.7919999999999998"/>
    <x v="4"/>
    <x v="8"/>
  </r>
  <r>
    <s v="CA-2014-120544"/>
    <x v="255"/>
    <d v="2014-11-27T00:00:00"/>
    <x v="1"/>
    <s v="SS-20140"/>
    <s v="Saphhira Shifley"/>
    <x v="1"/>
    <s v="United States"/>
    <x v="220"/>
    <x v="5"/>
    <x v="3"/>
    <s v="FUR-FU-10001940"/>
    <x v="0"/>
    <x v="3"/>
    <s v="Staple-based wall hangings"/>
    <n v="6.3680000000000003"/>
    <n v="2"/>
    <n v="-2.5472000000000001"/>
    <x v="4"/>
    <x v="0"/>
  </r>
  <r>
    <s v="CA-2017-113670"/>
    <x v="487"/>
    <d v="2017-10-17T00:00:00"/>
    <x v="2"/>
    <s v="RS-19765"/>
    <s v="Roland Schwarz"/>
    <x v="1"/>
    <s v="United States"/>
    <x v="2"/>
    <x v="2"/>
    <x v="1"/>
    <s v="FUR-TA-10001705"/>
    <x v="0"/>
    <x v="2"/>
    <s v="Bush Advantage Collection Round Conference Table"/>
    <n v="510.24"/>
    <n v="3"/>
    <n v="6.3780000000000001"/>
    <x v="3"/>
    <x v="1"/>
  </r>
  <r>
    <s v="CA-2017-166198"/>
    <x v="488"/>
    <d v="2017-04-24T00:00:00"/>
    <x v="2"/>
    <s v="JW-15955"/>
    <s v="Joni Wasserman"/>
    <x v="0"/>
    <s v="United States"/>
    <x v="15"/>
    <x v="13"/>
    <x v="1"/>
    <s v="FUR-FU-10004622"/>
    <x v="0"/>
    <x v="3"/>
    <s v="Eldon Advantage Foldable Chair Mats for Low Pile Carpets"/>
    <n v="162.6"/>
    <n v="3"/>
    <n v="34.146000000000001"/>
    <x v="0"/>
    <x v="6"/>
  </r>
  <r>
    <s v="CA-2014-135608"/>
    <x v="489"/>
    <d v="2014-12-10T00:00:00"/>
    <x v="0"/>
    <s v="JK-15625"/>
    <s v="Jim Karlsson"/>
    <x v="0"/>
    <s v="United States"/>
    <x v="84"/>
    <x v="13"/>
    <x v="1"/>
    <s v="FUR-CH-10002602"/>
    <x v="0"/>
    <x v="1"/>
    <s v="DMI Arturo Collection Mission-style Design Wood Chair"/>
    <n v="603.91999999999996"/>
    <n v="5"/>
    <n v="45.293999999999997"/>
    <x v="3"/>
    <x v="5"/>
  </r>
  <r>
    <s v="CA-2016-151155"/>
    <x v="490"/>
    <d v="2016-12-24T00:00:00"/>
    <x v="1"/>
    <s v="AB-10255"/>
    <s v="Alejandro Ballentine"/>
    <x v="2"/>
    <s v="United States"/>
    <x v="38"/>
    <x v="21"/>
    <x v="0"/>
    <s v="FUR-FU-10001918"/>
    <x v="0"/>
    <x v="3"/>
    <s v="C-Line Cubicle Keepers Polyproplyene Holder With Velcro Backings"/>
    <n v="18.920000000000002"/>
    <n v="4"/>
    <n v="7.3788"/>
    <x v="4"/>
    <x v="5"/>
  </r>
  <r>
    <s v="CA-2017-168193"/>
    <x v="491"/>
    <d v="2017-03-11T00:00:00"/>
    <x v="0"/>
    <s v="RM-19750"/>
    <s v="Roland Murray"/>
    <x v="0"/>
    <s v="United States"/>
    <x v="13"/>
    <x v="7"/>
    <x v="2"/>
    <s v="FUR-FU-10002554"/>
    <x v="0"/>
    <x v="3"/>
    <s v="Westinghouse Floor Lamp with Metal Mesh Shade, Black"/>
    <n v="71.97"/>
    <n v="3"/>
    <n v="16.553100000000001"/>
    <x v="2"/>
    <x v="9"/>
  </r>
  <r>
    <s v="CA-2016-149979"/>
    <x v="348"/>
    <d v="2016-09-28T00:00:00"/>
    <x v="0"/>
    <s v="RA-19915"/>
    <s v="Russell Applegate"/>
    <x v="0"/>
    <s v="United States"/>
    <x v="29"/>
    <x v="24"/>
    <x v="0"/>
    <s v="FUR-CH-10002084"/>
    <x v="0"/>
    <x v="1"/>
    <s v="Hon Mobius Operator's Chair"/>
    <n v="368.97"/>
    <n v="3"/>
    <n v="81.173400000000001"/>
    <x v="2"/>
    <x v="4"/>
  </r>
  <r>
    <s v="CA-2017-161956"/>
    <x v="60"/>
    <d v="2017-08-29T00:00:00"/>
    <x v="0"/>
    <s v="DR-12880"/>
    <s v="Dan Reichenbach"/>
    <x v="1"/>
    <s v="United States"/>
    <x v="209"/>
    <x v="2"/>
    <x v="1"/>
    <s v="FUR-FU-10002937"/>
    <x v="0"/>
    <x v="3"/>
    <s v="GE 48&quot; Fluorescent Tube, Cool White Energy Saver, 34 Watts, 30/Box"/>
    <n v="198.46"/>
    <n v="2"/>
    <n v="99.23"/>
    <x v="3"/>
    <x v="10"/>
  </r>
  <r>
    <s v="CA-2017-161956"/>
    <x v="60"/>
    <d v="2017-08-29T00:00:00"/>
    <x v="0"/>
    <s v="DR-12880"/>
    <s v="Dan Reichenbach"/>
    <x v="1"/>
    <s v="United States"/>
    <x v="209"/>
    <x v="2"/>
    <x v="1"/>
    <s v="FUR-CH-10004886"/>
    <x v="0"/>
    <x v="1"/>
    <s v="Bevis Steel Folding Chairs"/>
    <n v="230.28"/>
    <n v="3"/>
    <n v="23.027999999999999"/>
    <x v="3"/>
    <x v="10"/>
  </r>
  <r>
    <s v="CA-2016-116799"/>
    <x v="492"/>
    <d v="2016-03-06T00:00:00"/>
    <x v="2"/>
    <s v="JG-15310"/>
    <s v="Jason Gross"/>
    <x v="1"/>
    <s v="United States"/>
    <x v="221"/>
    <x v="5"/>
    <x v="3"/>
    <s v="FUR-CH-10004983"/>
    <x v="0"/>
    <x v="1"/>
    <s v="Office Star - Mid Back Dual function Ergonomic High Back Chair with 2-Way Adjustable Arms"/>
    <n v="563.42999999999995"/>
    <n v="5"/>
    <n v="-56.343000000000004"/>
    <x v="0"/>
    <x v="9"/>
  </r>
  <r>
    <s v="CA-2015-167745"/>
    <x v="493"/>
    <d v="2015-09-23T00:00:00"/>
    <x v="1"/>
    <s v="GB-14530"/>
    <s v="George Bell"/>
    <x v="1"/>
    <s v="United States"/>
    <x v="2"/>
    <x v="2"/>
    <x v="1"/>
    <s v="FUR-FU-10001591"/>
    <x v="0"/>
    <x v="3"/>
    <s v="Advantus Panel Wall Certificate Holder - 8.5x11"/>
    <n v="24.4"/>
    <n v="2"/>
    <n v="10.247999999999999"/>
    <x v="2"/>
    <x v="4"/>
  </r>
  <r>
    <s v="CA-2016-156251"/>
    <x v="494"/>
    <d v="2016-08-18T00:00:00"/>
    <x v="0"/>
    <s v="TS-21160"/>
    <s v="Theresa Swint"/>
    <x v="1"/>
    <s v="United States"/>
    <x v="222"/>
    <x v="16"/>
    <x v="3"/>
    <s v="FUR-BO-10001337"/>
    <x v="0"/>
    <x v="0"/>
    <s v="O'Sullivan Living Dimensions 2-Shelf Bookcases"/>
    <n v="241.96"/>
    <n v="2"/>
    <n v="24.196000000000002"/>
    <x v="2"/>
    <x v="10"/>
  </r>
  <r>
    <s v="CA-2016-163153"/>
    <x v="445"/>
    <d v="2016-03-25T00:00:00"/>
    <x v="1"/>
    <s v="DM-12955"/>
    <s v="Dario Medina"/>
    <x v="1"/>
    <s v="United States"/>
    <x v="6"/>
    <x v="5"/>
    <x v="3"/>
    <s v="FUR-TA-10004767"/>
    <x v="0"/>
    <x v="2"/>
    <s v="Safco Drafting Table"/>
    <n v="99.372"/>
    <n v="2"/>
    <n v="-1.4196"/>
    <x v="4"/>
    <x v="9"/>
  </r>
  <r>
    <s v="CA-2014-153913"/>
    <x v="439"/>
    <d v="2014-12-20T00:00:00"/>
    <x v="0"/>
    <s v="KB-16585"/>
    <s v="Ken Black"/>
    <x v="1"/>
    <s v="United States"/>
    <x v="173"/>
    <x v="1"/>
    <x v="0"/>
    <s v="FUR-CH-10000988"/>
    <x v="0"/>
    <x v="1"/>
    <s v="Hon Olson Stacker Stools"/>
    <n v="1013.832"/>
    <n v="9"/>
    <n v="101.3832"/>
    <x v="4"/>
    <x v="5"/>
  </r>
  <r>
    <s v="CA-2016-155530"/>
    <x v="495"/>
    <d v="2016-12-21T00:00:00"/>
    <x v="1"/>
    <s v="CM-12160"/>
    <s v="Charles McCrossin"/>
    <x v="0"/>
    <s v="United States"/>
    <x v="28"/>
    <x v="2"/>
    <x v="1"/>
    <s v="FUR-TA-10004256"/>
    <x v="0"/>
    <x v="2"/>
    <s v="Bretford ÒJust In TimeÓ Height-Adjustable Multi-Task Work Tables"/>
    <n v="2003.52"/>
    <n v="6"/>
    <n v="-325.572"/>
    <x v="4"/>
    <x v="5"/>
  </r>
  <r>
    <s v="CA-2015-107937"/>
    <x v="496"/>
    <d v="2015-05-08T00:00:00"/>
    <x v="1"/>
    <s v="JB-16045"/>
    <s v="Julia Barnett"/>
    <x v="2"/>
    <s v="United States"/>
    <x v="223"/>
    <x v="2"/>
    <x v="1"/>
    <s v="FUR-FU-10002298"/>
    <x v="0"/>
    <x v="3"/>
    <s v="Rubbermaid ClusterMat Chairmats, Mat Size- 66&quot; x 60&quot;, Lip 20&quot; x 11&quot; -90 Degree Angle"/>
    <n v="665.88"/>
    <n v="6"/>
    <n v="106.5408"/>
    <x v="2"/>
    <x v="7"/>
  </r>
  <r>
    <s v="US-2014-117163"/>
    <x v="497"/>
    <d v="2014-02-02T00:00:00"/>
    <x v="1"/>
    <s v="EJ-13720"/>
    <s v="Ed Jacobs"/>
    <x v="0"/>
    <s v="United States"/>
    <x v="53"/>
    <x v="2"/>
    <x v="1"/>
    <s v="FUR-TA-10003469"/>
    <x v="0"/>
    <x v="2"/>
    <s v="Balt Split Level Computer Training Table"/>
    <n v="333"/>
    <n v="3"/>
    <n v="-16.649999999999999"/>
    <x v="6"/>
    <x v="8"/>
  </r>
  <r>
    <s v="CA-2017-147760"/>
    <x v="498"/>
    <d v="2017-11-05T00:00:00"/>
    <x v="2"/>
    <s v="KL-16555"/>
    <s v="Kelly Lampkin"/>
    <x v="1"/>
    <s v="United States"/>
    <x v="224"/>
    <x v="30"/>
    <x v="0"/>
    <s v="FUR-TA-10004575"/>
    <x v="0"/>
    <x v="2"/>
    <s v="Hon 5100 Series Wood Tables"/>
    <n v="523.76400000000001"/>
    <n v="3"/>
    <n v="-192.04679999999999"/>
    <x v="5"/>
    <x v="0"/>
  </r>
  <r>
    <s v="CA-2016-156503"/>
    <x v="499"/>
    <d v="2016-10-20T00:00:00"/>
    <x v="1"/>
    <s v="NC-18415"/>
    <s v="Nathan Cano"/>
    <x v="0"/>
    <s v="United States"/>
    <x v="51"/>
    <x v="30"/>
    <x v="0"/>
    <s v="FUR-CH-10003606"/>
    <x v="0"/>
    <x v="1"/>
    <s v="SAFCO Folding Chair Trolley"/>
    <n v="102.592"/>
    <n v="1"/>
    <n v="10.2592"/>
    <x v="6"/>
    <x v="1"/>
  </r>
  <r>
    <s v="CA-2015-113628"/>
    <x v="500"/>
    <d v="2015-11-19T00:00:00"/>
    <x v="1"/>
    <s v="AH-10690"/>
    <s v="Anna HŠberlin"/>
    <x v="1"/>
    <s v="United States"/>
    <x v="217"/>
    <x v="1"/>
    <x v="0"/>
    <s v="FUR-CH-10003298"/>
    <x v="0"/>
    <x v="1"/>
    <s v="Office Star - Contemporary Task Swivel chair with Loop Arms, Charcoal"/>
    <n v="523.91999999999996"/>
    <n v="5"/>
    <n v="-72.039000000000001"/>
    <x v="1"/>
    <x v="0"/>
  </r>
  <r>
    <s v="CA-2015-113628"/>
    <x v="500"/>
    <d v="2015-11-19T00:00:00"/>
    <x v="1"/>
    <s v="AH-10690"/>
    <s v="Anna HŠberlin"/>
    <x v="1"/>
    <s v="United States"/>
    <x v="217"/>
    <x v="1"/>
    <x v="0"/>
    <s v="FUR-CH-10004477"/>
    <x v="0"/>
    <x v="1"/>
    <s v="Global Push Button Manager's Chair, Indigo"/>
    <n v="146.136"/>
    <n v="3"/>
    <n v="16.440300000000001"/>
    <x v="1"/>
    <x v="0"/>
  </r>
  <r>
    <s v="CA-2015-102582"/>
    <x v="195"/>
    <d v="2015-09-19T00:00:00"/>
    <x v="1"/>
    <s v="NW-18400"/>
    <s v="Natalie Webber"/>
    <x v="0"/>
    <s v="United States"/>
    <x v="212"/>
    <x v="33"/>
    <x v="0"/>
    <s v="FUR-TA-10003569"/>
    <x v="0"/>
    <x v="2"/>
    <s v="Bretford CR8500 Series Meeting Room Furniture"/>
    <n v="801.96"/>
    <n v="2"/>
    <n v="200.49"/>
    <x v="4"/>
    <x v="4"/>
  </r>
  <r>
    <s v="CA-2015-102582"/>
    <x v="195"/>
    <d v="2015-09-19T00:00:00"/>
    <x v="1"/>
    <s v="NW-18400"/>
    <s v="Natalie Webber"/>
    <x v="0"/>
    <s v="United States"/>
    <x v="212"/>
    <x v="33"/>
    <x v="0"/>
    <s v="FUR-CH-10004853"/>
    <x v="0"/>
    <x v="1"/>
    <s v="Global Manager's Adjustable Task Chair, Storm"/>
    <n v="1056.8599999999999"/>
    <n v="7"/>
    <n v="306.48939999999999"/>
    <x v="4"/>
    <x v="4"/>
  </r>
  <r>
    <s v="CA-2017-141873"/>
    <x v="224"/>
    <d v="2017-10-14T00:00:00"/>
    <x v="1"/>
    <s v="HG-14845"/>
    <s v="Harry Greene"/>
    <x v="0"/>
    <s v="United States"/>
    <x v="13"/>
    <x v="7"/>
    <x v="2"/>
    <s v="FUR-BO-10003034"/>
    <x v="0"/>
    <x v="0"/>
    <s v="O'Sullivan Elevations Bookcase, Cherry Finish"/>
    <n v="314.35199999999998"/>
    <n v="3"/>
    <n v="-15.717599999999999"/>
    <x v="2"/>
    <x v="1"/>
  </r>
  <r>
    <s v="CA-2017-141733"/>
    <x v="501"/>
    <d v="2017-05-11T00:00:00"/>
    <x v="1"/>
    <s v="RW-19540"/>
    <s v="Rick Wilson"/>
    <x v="1"/>
    <s v="United States"/>
    <x v="25"/>
    <x v="17"/>
    <x v="3"/>
    <s v="FUR-CH-10004086"/>
    <x v="0"/>
    <x v="1"/>
    <s v="Hon 4070 Series Pagoda Armless Upholstered Stacking Chairs"/>
    <n v="1458.65"/>
    <n v="5"/>
    <n v="423.00850000000003"/>
    <x v="4"/>
    <x v="7"/>
  </r>
  <r>
    <s v="CA-2017-141733"/>
    <x v="501"/>
    <d v="2017-05-11T00:00:00"/>
    <x v="1"/>
    <s v="RW-19540"/>
    <s v="Rick Wilson"/>
    <x v="1"/>
    <s v="United States"/>
    <x v="25"/>
    <x v="17"/>
    <x v="3"/>
    <s v="FUR-CH-10002017"/>
    <x v="0"/>
    <x v="1"/>
    <s v="SAFCO Optional Arm Kit for Workspace Cribbage Stacking Chair"/>
    <n v="26.64"/>
    <n v="1"/>
    <n v="7.4592000000000001"/>
    <x v="4"/>
    <x v="7"/>
  </r>
  <r>
    <s v="CA-2017-141733"/>
    <x v="501"/>
    <d v="2017-05-11T00:00:00"/>
    <x v="1"/>
    <s v="RW-19540"/>
    <s v="Rick Wilson"/>
    <x v="1"/>
    <s v="United States"/>
    <x v="25"/>
    <x v="17"/>
    <x v="3"/>
    <s v="FUR-CH-10000595"/>
    <x v="0"/>
    <x v="1"/>
    <s v="Safco Contoured Stacking Chairs"/>
    <n v="476.8"/>
    <n v="2"/>
    <n v="119.2"/>
    <x v="4"/>
    <x v="7"/>
  </r>
  <r>
    <s v="US-2015-111927"/>
    <x v="502"/>
    <d v="2015-11-19T00:00:00"/>
    <x v="1"/>
    <s v="LS-17230"/>
    <s v="Lycoris Saunders"/>
    <x v="0"/>
    <s v="United States"/>
    <x v="63"/>
    <x v="14"/>
    <x v="2"/>
    <s v="FUR-FU-10004017"/>
    <x v="0"/>
    <x v="3"/>
    <s v="Executive Impressions 13&quot; Chairman Wall Clock"/>
    <n v="76.14"/>
    <n v="3"/>
    <n v="26.649000000000001"/>
    <x v="2"/>
    <x v="0"/>
  </r>
  <r>
    <s v="CA-2014-105984"/>
    <x v="168"/>
    <d v="2014-11-24T00:00:00"/>
    <x v="3"/>
    <s v="MY-18295"/>
    <s v="Muhammed Yedwab"/>
    <x v="1"/>
    <s v="United States"/>
    <x v="29"/>
    <x v="15"/>
    <x v="2"/>
    <s v="FUR-CH-10000847"/>
    <x v="0"/>
    <x v="1"/>
    <s v="Global Executive Mid-Back Manager's Chair"/>
    <n v="611.05799999999999"/>
    <n v="3"/>
    <n v="-34.9176"/>
    <x v="7"/>
    <x v="0"/>
  </r>
  <r>
    <s v="CA-2014-126760"/>
    <x v="503"/>
    <d v="2014-08-02T00:00:00"/>
    <x v="1"/>
    <s v="KM-16720"/>
    <s v="Kunst Miller"/>
    <x v="0"/>
    <s v="United States"/>
    <x v="111"/>
    <x v="34"/>
    <x v="1"/>
    <s v="FUR-CH-10003312"/>
    <x v="0"/>
    <x v="1"/>
    <s v="Hon 2090 ÒPillow SoftÓ Series Mid Back Swivel/Tilt Chairs"/>
    <n v="674.35199999999998"/>
    <n v="3"/>
    <n v="-109.5822"/>
    <x v="1"/>
    <x v="3"/>
  </r>
  <r>
    <s v="CA-2014-126760"/>
    <x v="503"/>
    <d v="2014-08-02T00:00:00"/>
    <x v="1"/>
    <s v="KM-16720"/>
    <s v="Kunst Miller"/>
    <x v="0"/>
    <s v="United States"/>
    <x v="111"/>
    <x v="34"/>
    <x v="1"/>
    <s v="FUR-FU-10004018"/>
    <x v="0"/>
    <x v="3"/>
    <s v="Tensor Computer Mounted Lamp"/>
    <n v="134.01"/>
    <n v="9"/>
    <n v="36.182699999999997"/>
    <x v="1"/>
    <x v="3"/>
  </r>
  <r>
    <s v="US-2014-109162"/>
    <x v="391"/>
    <d v="2014-06-12T00:00:00"/>
    <x v="1"/>
    <s v="KE-16420"/>
    <s v="Katrina Edelman"/>
    <x v="1"/>
    <s v="United States"/>
    <x v="203"/>
    <x v="9"/>
    <x v="0"/>
    <s v="FUR-CH-10002647"/>
    <x v="0"/>
    <x v="1"/>
    <s v="Situations Contoured Folding Chairs, 4/Set"/>
    <n v="170.352"/>
    <n v="3"/>
    <n v="10.647"/>
    <x v="4"/>
    <x v="2"/>
  </r>
  <r>
    <s v="CA-2014-101931"/>
    <x v="504"/>
    <d v="2014-10-31T00:00:00"/>
    <x v="2"/>
    <s v="TS-21370"/>
    <s v="Todd Sumrall"/>
    <x v="1"/>
    <s v="United States"/>
    <x v="2"/>
    <x v="2"/>
    <x v="1"/>
    <s v="FUR-BO-10001337"/>
    <x v="0"/>
    <x v="0"/>
    <s v="O'Sullivan Living Dimensions 2-Shelf Bookcases"/>
    <n v="616.99800000000005"/>
    <n v="6"/>
    <n v="-36.293999999999997"/>
    <x v="0"/>
    <x v="1"/>
  </r>
  <r>
    <s v="CA-2015-127593"/>
    <x v="231"/>
    <d v="2015-09-21T00:00:00"/>
    <x v="3"/>
    <s v="DH-13675"/>
    <s v="Duane Huffman"/>
    <x v="2"/>
    <s v="United States"/>
    <x v="202"/>
    <x v="20"/>
    <x v="2"/>
    <s v="FUR-FU-10004006"/>
    <x v="0"/>
    <x v="3"/>
    <s v="Deflect-o DuraMat Lighweight, Studded, Beveled Mat for Low Pile Carpeting"/>
    <n v="85.3"/>
    <n v="2"/>
    <n v="14.500999999999999"/>
    <x v="7"/>
    <x v="4"/>
  </r>
  <r>
    <s v="US-2017-131849"/>
    <x v="505"/>
    <d v="2017-06-10T00:00:00"/>
    <x v="1"/>
    <s v="GH-14410"/>
    <s v="Gary Hansen"/>
    <x v="2"/>
    <s v="United States"/>
    <x v="28"/>
    <x v="2"/>
    <x v="1"/>
    <s v="FUR-FU-10004164"/>
    <x v="0"/>
    <x v="3"/>
    <s v="Eldon 300 Class Desk Accessories, Black"/>
    <n v="4.95"/>
    <n v="1"/>
    <n v="2.1779999999999999"/>
    <x v="4"/>
    <x v="2"/>
  </r>
  <r>
    <s v="CA-2017-154039"/>
    <x v="506"/>
    <d v="2017-02-22T00:00:00"/>
    <x v="1"/>
    <s v="JK-16120"/>
    <s v="Julie Kriz"/>
    <x v="2"/>
    <s v="United States"/>
    <x v="9"/>
    <x v="8"/>
    <x v="3"/>
    <s v="FUR-TA-10001932"/>
    <x v="0"/>
    <x v="2"/>
    <s v="Chromcraft 48&quot; x 96&quot; Racetrack Double Pedestal Table"/>
    <n v="480.96"/>
    <n v="3"/>
    <n v="-269.33760000000001"/>
    <x v="2"/>
    <x v="11"/>
  </r>
  <r>
    <s v="CA-2015-157133"/>
    <x v="44"/>
    <d v="2015-12-03T00:00:00"/>
    <x v="1"/>
    <s v="LC-16885"/>
    <s v="Lena Creighton"/>
    <x v="0"/>
    <s v="United States"/>
    <x v="225"/>
    <x v="8"/>
    <x v="3"/>
    <s v="FUR-FU-10004904"/>
    <x v="0"/>
    <x v="3"/>
    <s v="Eldon &quot;L&quot; Workstation Diamond Chairmat"/>
    <n v="151.96"/>
    <n v="5"/>
    <n v="-182.352"/>
    <x v="2"/>
    <x v="0"/>
  </r>
  <r>
    <s v="CA-2015-132486"/>
    <x v="507"/>
    <d v="2015-10-27T00:00:00"/>
    <x v="0"/>
    <s v="JF-15355"/>
    <s v="Jay Fein"/>
    <x v="0"/>
    <s v="United States"/>
    <x v="53"/>
    <x v="2"/>
    <x v="1"/>
    <s v="FUR-CH-10004495"/>
    <x v="0"/>
    <x v="1"/>
    <s v="Global Leather and Oak Executive Chair, Black"/>
    <n v="240.78399999999999"/>
    <n v="1"/>
    <n v="27.088200000000001"/>
    <x v="4"/>
    <x v="1"/>
  </r>
  <r>
    <s v="CA-2015-132486"/>
    <x v="507"/>
    <d v="2015-10-27T00:00:00"/>
    <x v="0"/>
    <s v="JF-15355"/>
    <s v="Jay Fein"/>
    <x v="0"/>
    <s v="United States"/>
    <x v="53"/>
    <x v="2"/>
    <x v="1"/>
    <s v="FUR-CH-10004540"/>
    <x v="0"/>
    <x v="1"/>
    <s v="Global Chrome Stack Chair"/>
    <n v="191.96799999999999"/>
    <n v="7"/>
    <n v="16.7972"/>
    <x v="4"/>
    <x v="1"/>
  </r>
  <r>
    <s v="CA-2015-132486"/>
    <x v="507"/>
    <d v="2015-10-27T00:00:00"/>
    <x v="0"/>
    <s v="JF-15355"/>
    <s v="Jay Fein"/>
    <x v="0"/>
    <s v="United States"/>
    <x v="53"/>
    <x v="2"/>
    <x v="1"/>
    <s v="FUR-CH-10001854"/>
    <x v="0"/>
    <x v="1"/>
    <s v="Office Star - Professional Matrix Back Chair with 2-to-1 Synchro Tilt and Mesh Fabric Seat"/>
    <n v="842.35199999999998"/>
    <n v="3"/>
    <n v="42.117600000000003"/>
    <x v="4"/>
    <x v="1"/>
  </r>
  <r>
    <s v="CA-2015-129896"/>
    <x v="508"/>
    <d v="2015-06-20T00:00:00"/>
    <x v="1"/>
    <s v="PF-19120"/>
    <s v="Peter Fuller"/>
    <x v="0"/>
    <s v="United States"/>
    <x v="171"/>
    <x v="22"/>
    <x v="1"/>
    <s v="FUR-FU-10004904"/>
    <x v="0"/>
    <x v="3"/>
    <s v="Eldon &quot;L&quot; Workstation Diamond Chairmat"/>
    <n v="364.70400000000001"/>
    <n v="6"/>
    <n v="-36.470399999999998"/>
    <x v="2"/>
    <x v="2"/>
  </r>
  <r>
    <s v="CA-2015-129896"/>
    <x v="508"/>
    <d v="2015-06-20T00:00:00"/>
    <x v="1"/>
    <s v="PF-19120"/>
    <s v="Peter Fuller"/>
    <x v="0"/>
    <s v="United States"/>
    <x v="171"/>
    <x v="22"/>
    <x v="1"/>
    <s v="FUR-FU-10002396"/>
    <x v="0"/>
    <x v="3"/>
    <s v="DAX Copper Panel Document Frame, 5 x 7 Size"/>
    <n v="40.256"/>
    <n v="4"/>
    <n v="11.070399999999999"/>
    <x v="2"/>
    <x v="2"/>
  </r>
  <r>
    <s v="US-2016-163881"/>
    <x v="243"/>
    <d v="2016-11-30T00:00:00"/>
    <x v="1"/>
    <s v="SP-20860"/>
    <s v="Sung Pak"/>
    <x v="1"/>
    <s v="United States"/>
    <x v="2"/>
    <x v="2"/>
    <x v="1"/>
    <s v="FUR-CH-10001394"/>
    <x v="0"/>
    <x v="1"/>
    <s v="Global Leather Executive Chair"/>
    <n v="1684.752"/>
    <n v="6"/>
    <n v="210.59399999999999"/>
    <x v="6"/>
    <x v="0"/>
  </r>
  <r>
    <s v="CA-2015-167010"/>
    <x v="509"/>
    <d v="2015-04-10T00:00:00"/>
    <x v="1"/>
    <s v="VT-21700"/>
    <s v="Valerie Takahito"/>
    <x v="2"/>
    <s v="United States"/>
    <x v="3"/>
    <x v="3"/>
    <x v="2"/>
    <s v="FUR-FU-10001468"/>
    <x v="0"/>
    <x v="3"/>
    <s v="Tenex Antistatic Computer Chair Mats"/>
    <n v="547.13599999999997"/>
    <n v="4"/>
    <n v="-68.391999999999996"/>
    <x v="2"/>
    <x v="6"/>
  </r>
  <r>
    <s v="CA-2015-167010"/>
    <x v="509"/>
    <d v="2015-04-10T00:00:00"/>
    <x v="1"/>
    <s v="VT-21700"/>
    <s v="Valerie Takahito"/>
    <x v="2"/>
    <s v="United States"/>
    <x v="3"/>
    <x v="3"/>
    <x v="2"/>
    <s v="FUR-FU-10001037"/>
    <x v="0"/>
    <x v="3"/>
    <s v="DAX Charcoal/Nickel-Tone Document Frame, 5 x 7"/>
    <n v="7.5839999999999996"/>
    <n v="1"/>
    <n v="2.37"/>
    <x v="2"/>
    <x v="6"/>
  </r>
  <r>
    <s v="CA-2015-167010"/>
    <x v="509"/>
    <d v="2015-04-10T00:00:00"/>
    <x v="1"/>
    <s v="VT-21700"/>
    <s v="Valerie Takahito"/>
    <x v="2"/>
    <s v="United States"/>
    <x v="3"/>
    <x v="3"/>
    <x v="2"/>
    <s v="FUR-BO-10004218"/>
    <x v="0"/>
    <x v="0"/>
    <s v="Bush Heritage Pine Collection 5-Shelf Bookcase, Albany Pine Finish, *Special Order"/>
    <n v="352.45"/>
    <n v="5"/>
    <n v="-211.47"/>
    <x v="2"/>
    <x v="6"/>
  </r>
  <r>
    <s v="CA-2017-148068"/>
    <x v="510"/>
    <d v="2017-09-25T00:00:00"/>
    <x v="1"/>
    <s v="MM-18280"/>
    <s v="Muhammed MacIntyre"/>
    <x v="1"/>
    <s v="United States"/>
    <x v="13"/>
    <x v="7"/>
    <x v="2"/>
    <s v="FUR-FU-10002268"/>
    <x v="0"/>
    <x v="3"/>
    <s v="Ultra Door Push Plate"/>
    <n v="9.82"/>
    <n v="2"/>
    <n v="3.2406000000000001"/>
    <x v="1"/>
    <x v="4"/>
  </r>
  <r>
    <s v="US-2017-142573"/>
    <x v="511"/>
    <d v="2017-07-23T00:00:00"/>
    <x v="1"/>
    <s v="ML-17410"/>
    <s v="Maris LaWare"/>
    <x v="0"/>
    <s v="United States"/>
    <x v="43"/>
    <x v="22"/>
    <x v="1"/>
    <s v="FUR-TA-10001932"/>
    <x v="0"/>
    <x v="2"/>
    <s v="Chromcraft 48&quot; x 96&quot; Racetrack Double Pedestal Table"/>
    <n v="801.6"/>
    <n v="5"/>
    <n v="-448.89600000000002"/>
    <x v="2"/>
    <x v="3"/>
  </r>
  <r>
    <s v="US-2017-142573"/>
    <x v="511"/>
    <d v="2017-07-23T00:00:00"/>
    <x v="1"/>
    <s v="ML-17410"/>
    <s v="Maris LaWare"/>
    <x v="0"/>
    <s v="United States"/>
    <x v="43"/>
    <x v="22"/>
    <x v="1"/>
    <s v="FUR-CH-10004218"/>
    <x v="0"/>
    <x v="1"/>
    <s v="Global Fabric Manager's Chair, Dark Gray"/>
    <n v="161.56800000000001"/>
    <n v="2"/>
    <n v="10.098000000000001"/>
    <x v="2"/>
    <x v="3"/>
  </r>
  <r>
    <s v="US-2017-142573"/>
    <x v="511"/>
    <d v="2017-07-23T00:00:00"/>
    <x v="1"/>
    <s v="ML-17410"/>
    <s v="Maris LaWare"/>
    <x v="0"/>
    <s v="United States"/>
    <x v="43"/>
    <x v="22"/>
    <x v="1"/>
    <s v="FUR-CH-10000513"/>
    <x v="0"/>
    <x v="1"/>
    <s v="High-Back Leather Manager's Chair"/>
    <n v="311.976"/>
    <n v="3"/>
    <n v="-42.896700000000003"/>
    <x v="2"/>
    <x v="3"/>
  </r>
  <r>
    <s v="CA-2014-103940"/>
    <x v="512"/>
    <d v="2014-09-21T00:00:00"/>
    <x v="1"/>
    <s v="BN-11515"/>
    <s v="Bradley Nguyen"/>
    <x v="0"/>
    <s v="United States"/>
    <x v="15"/>
    <x v="13"/>
    <x v="1"/>
    <s v="FUR-FU-10004671"/>
    <x v="0"/>
    <x v="3"/>
    <s v="Executive Impressions 12&quot; Wall Clock"/>
    <n v="35.340000000000003"/>
    <n v="2"/>
    <n v="13.4292"/>
    <x v="4"/>
    <x v="4"/>
  </r>
  <r>
    <s v="CA-2016-162082"/>
    <x v="269"/>
    <d v="2016-03-17T00:00:00"/>
    <x v="2"/>
    <s v="JS-15880"/>
    <s v="John Stevenson"/>
    <x v="0"/>
    <s v="United States"/>
    <x v="226"/>
    <x v="5"/>
    <x v="3"/>
    <s v="FUR-BO-10004409"/>
    <x v="0"/>
    <x v="0"/>
    <s v="Safco Value Mate Series Steel Bookcases, Baked Enamel Finish on Steel, Gray"/>
    <n v="241.33199999999999"/>
    <n v="5"/>
    <n v="-14.196"/>
    <x v="0"/>
    <x v="9"/>
  </r>
  <r>
    <s v="CA-2015-118955"/>
    <x v="513"/>
    <d v="2015-06-20T00:00:00"/>
    <x v="1"/>
    <s v="LS-17230"/>
    <s v="Lycoris Saunders"/>
    <x v="0"/>
    <s v="United States"/>
    <x v="141"/>
    <x v="5"/>
    <x v="3"/>
    <s v="FUR-CH-10001708"/>
    <x v="0"/>
    <x v="1"/>
    <s v="Office Star - Contemporary Swivel Chair with Padded Adjustable Arms and Flex Back"/>
    <n v="197.37200000000001"/>
    <n v="2"/>
    <n v="-25.3764"/>
    <x v="4"/>
    <x v="2"/>
  </r>
  <r>
    <s v="US-2016-143448"/>
    <x v="43"/>
    <d v="2016-12-10T00:00:00"/>
    <x v="3"/>
    <s v="MH-17455"/>
    <s v="Mark Hamilton"/>
    <x v="0"/>
    <s v="United States"/>
    <x v="227"/>
    <x v="6"/>
    <x v="3"/>
    <s v="FUR-CH-10003379"/>
    <x v="0"/>
    <x v="1"/>
    <s v="Global Commerce Series High-Back Swivel/Tilt Chairs"/>
    <n v="1424.9"/>
    <n v="5"/>
    <n v="356.22500000000002"/>
    <x v="7"/>
    <x v="5"/>
  </r>
  <r>
    <s v="CA-2017-117863"/>
    <x v="514"/>
    <d v="2017-05-23T00:00:00"/>
    <x v="1"/>
    <s v="TS-21340"/>
    <s v="Toby Swindell"/>
    <x v="0"/>
    <s v="United States"/>
    <x v="13"/>
    <x v="7"/>
    <x v="2"/>
    <s v="FUR-FU-10002456"/>
    <x v="0"/>
    <x v="3"/>
    <s v="Master Caster Door Stop, Large Neon Orange"/>
    <n v="14.56"/>
    <n v="2"/>
    <n v="6.2607999999999997"/>
    <x v="2"/>
    <x v="7"/>
  </r>
  <r>
    <s v="CA-2016-119963"/>
    <x v="515"/>
    <d v="2016-11-22T00:00:00"/>
    <x v="1"/>
    <s v="SN-20710"/>
    <s v="Steve Nguyen"/>
    <x v="2"/>
    <s v="United States"/>
    <x v="102"/>
    <x v="5"/>
    <x v="3"/>
    <s v="FUR-CH-10003817"/>
    <x v="0"/>
    <x v="1"/>
    <s v="Global Value Steno Chair, Gray"/>
    <n v="255.108"/>
    <n v="6"/>
    <n v="-18.222000000000001"/>
    <x v="4"/>
    <x v="0"/>
  </r>
  <r>
    <s v="CA-2014-133228"/>
    <x v="516"/>
    <d v="2014-04-09T00:00:00"/>
    <x v="1"/>
    <s v="MS-17710"/>
    <s v="Maurice Satty"/>
    <x v="0"/>
    <s v="United States"/>
    <x v="25"/>
    <x v="17"/>
    <x v="3"/>
    <s v="FUR-FU-10004020"/>
    <x v="0"/>
    <x v="3"/>
    <s v="Advantus Panel Wall Acrylic Frame"/>
    <n v="5.47"/>
    <n v="1"/>
    <n v="2.3521000000000001"/>
    <x v="2"/>
    <x v="6"/>
  </r>
  <r>
    <s v="CA-2016-114951"/>
    <x v="517"/>
    <d v="2016-07-03T00:00:00"/>
    <x v="1"/>
    <s v="DN-13690"/>
    <s v="Duane Noonan"/>
    <x v="0"/>
    <s v="United States"/>
    <x v="28"/>
    <x v="2"/>
    <x v="1"/>
    <s v="FUR-FU-10002364"/>
    <x v="0"/>
    <x v="3"/>
    <s v="Eldon Expressions Wood Desk Accessories, Oak"/>
    <n v="22.14"/>
    <n v="3"/>
    <n v="6.4206000000000003"/>
    <x v="1"/>
    <x v="2"/>
  </r>
  <r>
    <s v="CA-2016-156573"/>
    <x v="518"/>
    <d v="2016-06-02T00:00:00"/>
    <x v="1"/>
    <s v="RB-19360"/>
    <s v="Raymond Buch"/>
    <x v="0"/>
    <s v="United States"/>
    <x v="228"/>
    <x v="9"/>
    <x v="0"/>
    <s v="FUR-FU-10001085"/>
    <x v="0"/>
    <x v="3"/>
    <s v="3M Polarizing Light Filter Sleeves"/>
    <n v="44.76"/>
    <n v="3"/>
    <n v="14.547000000000001"/>
    <x v="4"/>
    <x v="7"/>
  </r>
  <r>
    <s v="CA-2017-134838"/>
    <x v="519"/>
    <d v="2017-02-20T00:00:00"/>
    <x v="2"/>
    <s v="ED-13885"/>
    <s v="Emily Ducich"/>
    <x v="2"/>
    <s v="United States"/>
    <x v="2"/>
    <x v="2"/>
    <x v="1"/>
    <s v="FUR-FU-10004018"/>
    <x v="0"/>
    <x v="3"/>
    <s v="Tensor Computer Mounted Lamp"/>
    <n v="44.67"/>
    <n v="3"/>
    <n v="12.0609"/>
    <x v="5"/>
    <x v="11"/>
  </r>
  <r>
    <s v="CA-2016-167556"/>
    <x v="477"/>
    <d v="2016-04-02T00:00:00"/>
    <x v="1"/>
    <s v="JM-15250"/>
    <s v="Janet Martin"/>
    <x v="0"/>
    <s v="United States"/>
    <x v="13"/>
    <x v="7"/>
    <x v="2"/>
    <s v="FUR-FU-10004848"/>
    <x v="0"/>
    <x v="3"/>
    <s v="Howard Miller 13-3/4&quot; Diameter Brushed Chrome Round Wall Clock"/>
    <n v="414"/>
    <n v="8"/>
    <n v="124.2"/>
    <x v="4"/>
    <x v="9"/>
  </r>
  <r>
    <s v="US-2016-116400"/>
    <x v="148"/>
    <d v="2016-10-24T00:00:00"/>
    <x v="2"/>
    <s v="EB-13930"/>
    <s v="Eric Barreto"/>
    <x v="0"/>
    <s v="United States"/>
    <x v="52"/>
    <x v="25"/>
    <x v="0"/>
    <s v="FUR-FU-10003731"/>
    <x v="0"/>
    <x v="3"/>
    <s v="Eldon Expressions Wood and Plastic Desk Accessories, Oak"/>
    <n v="39.92"/>
    <n v="4"/>
    <n v="11.1776"/>
    <x v="3"/>
    <x v="1"/>
  </r>
  <r>
    <s v="CA-2014-114517"/>
    <x v="520"/>
    <d v="2014-12-27T00:00:00"/>
    <x v="1"/>
    <s v="TH-21235"/>
    <s v="Tiffany House"/>
    <x v="1"/>
    <s v="United States"/>
    <x v="13"/>
    <x v="7"/>
    <x v="2"/>
    <s v="FUR-TA-10001676"/>
    <x v="0"/>
    <x v="2"/>
    <s v="Hon 61000 Series Interactive Training Tables"/>
    <n v="53.316000000000003"/>
    <n v="2"/>
    <n v="-19.549199999999999"/>
    <x v="4"/>
    <x v="5"/>
  </r>
  <r>
    <s v="CA-2017-119564"/>
    <x v="521"/>
    <d v="2017-12-20T00:00:00"/>
    <x v="1"/>
    <s v="PL-18925"/>
    <s v="Paul Lucas"/>
    <x v="2"/>
    <s v="United States"/>
    <x v="15"/>
    <x v="13"/>
    <x v="1"/>
    <s v="FUR-FU-10003096"/>
    <x v="0"/>
    <x v="3"/>
    <s v="Master Giant Foot Doorstop, Safety Yellow"/>
    <n v="22.77"/>
    <n v="3"/>
    <n v="9.7911000000000001"/>
    <x v="2"/>
    <x v="5"/>
  </r>
  <r>
    <s v="CA-2016-135265"/>
    <x v="281"/>
    <d v="2016-07-09T00:00:00"/>
    <x v="0"/>
    <s v="CC-12370"/>
    <s v="Christopher Conant"/>
    <x v="0"/>
    <s v="United States"/>
    <x v="2"/>
    <x v="2"/>
    <x v="1"/>
    <s v="FUR-CH-10003061"/>
    <x v="0"/>
    <x v="1"/>
    <s v="Global Leather Task Chair, Black"/>
    <n v="287.96800000000002"/>
    <n v="4"/>
    <n v="-3.5996000000000001"/>
    <x v="3"/>
    <x v="3"/>
  </r>
  <r>
    <s v="CA-2016-108735"/>
    <x v="380"/>
    <d v="2016-04-21T00:00:00"/>
    <x v="1"/>
    <s v="JM-15535"/>
    <s v="Jessica Myrick"/>
    <x v="0"/>
    <s v="United States"/>
    <x v="174"/>
    <x v="2"/>
    <x v="1"/>
    <s v="FUR-BO-10003441"/>
    <x v="0"/>
    <x v="0"/>
    <s v="Bush Westfield Collection Bookcases, Fully Assembled"/>
    <n v="257.49900000000002"/>
    <n v="3"/>
    <n v="24.235199999999999"/>
    <x v="4"/>
    <x v="6"/>
  </r>
  <r>
    <s v="US-2016-159415"/>
    <x v="380"/>
    <d v="2016-04-22T00:00:00"/>
    <x v="1"/>
    <s v="CS-12175"/>
    <s v="Charles Sheldon"/>
    <x v="1"/>
    <s v="United States"/>
    <x v="11"/>
    <x v="9"/>
    <x v="0"/>
    <s v="FUR-FU-10003798"/>
    <x v="0"/>
    <x v="3"/>
    <s v="Ultra Door Kickplate, 8&quot;H x 34&quot;W"/>
    <n v="79.12"/>
    <n v="5"/>
    <n v="13.846"/>
    <x v="2"/>
    <x v="6"/>
  </r>
  <r>
    <s v="CA-2014-122588"/>
    <x v="306"/>
    <d v="2014-11-27T00:00:00"/>
    <x v="0"/>
    <s v="AR-10540"/>
    <s v="Andy Reiter"/>
    <x v="0"/>
    <s v="United States"/>
    <x v="229"/>
    <x v="38"/>
    <x v="2"/>
    <s v="FUR-FU-10001095"/>
    <x v="0"/>
    <x v="3"/>
    <s v="DAX Black Cherry Wood-Tone Poster Frame"/>
    <n v="52.96"/>
    <n v="2"/>
    <n v="20.1248"/>
    <x v="3"/>
    <x v="0"/>
  </r>
  <r>
    <s v="CA-2015-161998"/>
    <x v="522"/>
    <d v="2015-05-05T00:00:00"/>
    <x v="1"/>
    <s v="DB-13120"/>
    <s v="David Bremer"/>
    <x v="1"/>
    <s v="United States"/>
    <x v="26"/>
    <x v="1"/>
    <x v="0"/>
    <s v="FUR-FU-10001095"/>
    <x v="0"/>
    <x v="3"/>
    <s v="DAX Black Cherry Wood-Tone Poster Frame"/>
    <n v="63.552"/>
    <n v="3"/>
    <n v="14.299200000000001"/>
    <x v="4"/>
    <x v="7"/>
  </r>
  <r>
    <s v="CA-2015-105627"/>
    <x v="523"/>
    <d v="2015-03-12T00:00:00"/>
    <x v="1"/>
    <s v="DK-12895"/>
    <s v="Dana Kaydos"/>
    <x v="0"/>
    <s v="United States"/>
    <x v="230"/>
    <x v="16"/>
    <x v="3"/>
    <s v="FUR-BO-10002916"/>
    <x v="0"/>
    <x v="0"/>
    <s v="Rush Hierlooms Collection 1&quot; Thick Stackable Bookcases"/>
    <n v="512.94000000000005"/>
    <n v="3"/>
    <n v="97.458600000000004"/>
    <x v="4"/>
    <x v="9"/>
  </r>
  <r>
    <s v="CA-2015-105627"/>
    <x v="523"/>
    <d v="2015-03-12T00:00:00"/>
    <x v="1"/>
    <s v="DK-12895"/>
    <s v="Dana Kaydos"/>
    <x v="0"/>
    <s v="United States"/>
    <x v="230"/>
    <x v="16"/>
    <x v="3"/>
    <s v="FUR-CH-10002084"/>
    <x v="0"/>
    <x v="1"/>
    <s v="Hon Mobius Operator's Chair"/>
    <n v="860.93"/>
    <n v="7"/>
    <n v="189.40459999999999"/>
    <x v="4"/>
    <x v="9"/>
  </r>
  <r>
    <s v="CA-2015-105627"/>
    <x v="523"/>
    <d v="2015-03-12T00:00:00"/>
    <x v="1"/>
    <s v="DK-12895"/>
    <s v="Dana Kaydos"/>
    <x v="0"/>
    <s v="United States"/>
    <x v="230"/>
    <x v="16"/>
    <x v="3"/>
    <s v="FUR-FU-10000308"/>
    <x v="0"/>
    <x v="3"/>
    <s v="Deflect-o Glass Clear Studded Chair Mats"/>
    <n v="373.08"/>
    <n v="6"/>
    <n v="82.077600000000004"/>
    <x v="4"/>
    <x v="9"/>
  </r>
  <r>
    <s v="US-2015-149629"/>
    <x v="392"/>
    <d v="2015-07-20T00:00:00"/>
    <x v="0"/>
    <s v="MP-17965"/>
    <s v="Michael Paige"/>
    <x v="1"/>
    <s v="United States"/>
    <x v="231"/>
    <x v="1"/>
    <x v="0"/>
    <s v="FUR-BO-10004709"/>
    <x v="0"/>
    <x v="0"/>
    <s v="Bush Westfield Collection Bookcases, Medium Cherry Finish"/>
    <n v="231.92"/>
    <n v="5"/>
    <n v="5.798"/>
    <x v="0"/>
    <x v="3"/>
  </r>
  <r>
    <s v="CA-2014-116834"/>
    <x v="524"/>
    <d v="2014-10-16T00:00:00"/>
    <x v="1"/>
    <s v="Dp-13240"/>
    <s v="Dean percer"/>
    <x v="2"/>
    <s v="United States"/>
    <x v="15"/>
    <x v="13"/>
    <x v="1"/>
    <s v="FUR-FU-10001196"/>
    <x v="0"/>
    <x v="3"/>
    <s v="DAX Cubicle Frames - 8x10"/>
    <n v="63.47"/>
    <n v="11"/>
    <n v="19.041"/>
    <x v="2"/>
    <x v="1"/>
  </r>
  <r>
    <s v="CA-2016-145730"/>
    <x v="492"/>
    <d v="2016-03-08T00:00:00"/>
    <x v="1"/>
    <s v="CC-12220"/>
    <s v="Chris Cortes"/>
    <x v="0"/>
    <s v="United States"/>
    <x v="21"/>
    <x v="5"/>
    <x v="3"/>
    <s v="FUR-TA-10004915"/>
    <x v="0"/>
    <x v="2"/>
    <s v="Office Impressions End Table, 20-1/2&quot;H x 24&quot;W x 20&quot;D"/>
    <n v="637.89599999999996"/>
    <n v="3"/>
    <n v="-127.5792"/>
    <x v="2"/>
    <x v="9"/>
  </r>
  <r>
    <s v="CA-2017-144463"/>
    <x v="143"/>
    <d v="2017-01-05T00:00:00"/>
    <x v="1"/>
    <s v="SC-20725"/>
    <s v="Steven Cartwright"/>
    <x v="0"/>
    <s v="United States"/>
    <x v="2"/>
    <x v="2"/>
    <x v="1"/>
    <s v="FUR-FU-10001215"/>
    <x v="0"/>
    <x v="3"/>
    <s v="Howard Miller 11-1/2&quot; Diameter Brentwood Wall Clock"/>
    <n v="474.43"/>
    <n v="11"/>
    <n v="199.26060000000001"/>
    <x v="4"/>
    <x v="8"/>
  </r>
  <r>
    <s v="CA-2014-154963"/>
    <x v="525"/>
    <d v="2014-06-27T00:00:00"/>
    <x v="1"/>
    <s v="AA-10645"/>
    <s v="Anna Andreadi"/>
    <x v="0"/>
    <s v="United States"/>
    <x v="100"/>
    <x v="3"/>
    <x v="2"/>
    <s v="FUR-CH-10004698"/>
    <x v="0"/>
    <x v="1"/>
    <s v="Padded Folding Chairs, Black, 4/Carton"/>
    <n v="170.05799999999999"/>
    <n v="3"/>
    <n v="-4.8587999999999996"/>
    <x v="2"/>
    <x v="2"/>
  </r>
  <r>
    <s v="CA-2014-154963"/>
    <x v="525"/>
    <d v="2014-06-27T00:00:00"/>
    <x v="1"/>
    <s v="AA-10645"/>
    <s v="Anna Andreadi"/>
    <x v="0"/>
    <s v="United States"/>
    <x v="100"/>
    <x v="3"/>
    <x v="2"/>
    <s v="FUR-CH-10000454"/>
    <x v="0"/>
    <x v="1"/>
    <s v="Hon Deluxe Fabric Upholstered Stacking Chairs, Rounded Back"/>
    <n v="853.93"/>
    <n v="5"/>
    <n v="0"/>
    <x v="2"/>
    <x v="2"/>
  </r>
  <r>
    <s v="CA-2017-130764"/>
    <x v="526"/>
    <d v="2017-10-28T00:00:00"/>
    <x v="2"/>
    <s v="JO-15145"/>
    <s v="Jack O'Briant"/>
    <x v="1"/>
    <s v="United States"/>
    <x v="28"/>
    <x v="2"/>
    <x v="1"/>
    <s v="FUR-BO-10003034"/>
    <x v="0"/>
    <x v="0"/>
    <s v="O'Sullivan Elevations Bookcase, Cherry Finish"/>
    <n v="556.66499999999996"/>
    <n v="5"/>
    <n v="6.5490000000000004"/>
    <x v="5"/>
    <x v="1"/>
  </r>
  <r>
    <s v="CA-2017-124296"/>
    <x v="455"/>
    <d v="2017-12-28T00:00:00"/>
    <x v="1"/>
    <s v="CS-12355"/>
    <s v="Christine Sundaresam"/>
    <x v="0"/>
    <s v="United States"/>
    <x v="120"/>
    <x v="35"/>
    <x v="0"/>
    <s v="FUR-CH-10002439"/>
    <x v="0"/>
    <x v="1"/>
    <s v="Iceberg Nesting Folding Chair, 19w x 6d x 43h"/>
    <n v="232.88"/>
    <n v="4"/>
    <n v="60.5488"/>
    <x v="4"/>
    <x v="5"/>
  </r>
  <r>
    <s v="CA-2014-110786"/>
    <x v="527"/>
    <d v="2015-01-02T00:00:00"/>
    <x v="1"/>
    <s v="AJ-10795"/>
    <s v="Anthony Johnson"/>
    <x v="1"/>
    <s v="United States"/>
    <x v="28"/>
    <x v="2"/>
    <x v="1"/>
    <s v="FUR-FU-10000550"/>
    <x v="0"/>
    <x v="3"/>
    <s v="Stacking Trays by OIC"/>
    <n v="24.9"/>
    <n v="5"/>
    <n v="8.2170000000000005"/>
    <x v="4"/>
    <x v="5"/>
  </r>
  <r>
    <s v="CA-2014-110786"/>
    <x v="527"/>
    <d v="2015-01-02T00:00:00"/>
    <x v="1"/>
    <s v="AJ-10795"/>
    <s v="Anthony Johnson"/>
    <x v="1"/>
    <s v="United States"/>
    <x v="28"/>
    <x v="2"/>
    <x v="1"/>
    <s v="FUR-FU-10000672"/>
    <x v="0"/>
    <x v="3"/>
    <s v="Executive Impressions 10&quot; Spectator Wall Clock"/>
    <n v="70.56"/>
    <n v="6"/>
    <n v="23.990400000000001"/>
    <x v="4"/>
    <x v="5"/>
  </r>
  <r>
    <s v="CA-2015-137750"/>
    <x v="528"/>
    <d v="2015-06-30T00:00:00"/>
    <x v="1"/>
    <s v="JF-15565"/>
    <s v="Jill Fjeld"/>
    <x v="0"/>
    <s v="United States"/>
    <x v="28"/>
    <x v="2"/>
    <x v="1"/>
    <s v="FUR-FU-10001979"/>
    <x v="0"/>
    <x v="3"/>
    <s v="Dana Halogen Swing-Arm Architect Lamp"/>
    <n v="204.85"/>
    <n v="5"/>
    <n v="57.357999999999997"/>
    <x v="2"/>
    <x v="2"/>
  </r>
  <r>
    <s v="CA-2017-136350"/>
    <x v="529"/>
    <d v="2017-06-26T00:00:00"/>
    <x v="0"/>
    <s v="GA-14515"/>
    <s v="George Ashbrook"/>
    <x v="0"/>
    <s v="United States"/>
    <x v="13"/>
    <x v="7"/>
    <x v="2"/>
    <s v="FUR-FU-10003601"/>
    <x v="0"/>
    <x v="3"/>
    <s v="Deflect-o RollaMat Studded, Beveled Mat for Medium Pile Carpeting"/>
    <n v="276.69"/>
    <n v="3"/>
    <n v="49.804200000000002"/>
    <x v="3"/>
    <x v="2"/>
  </r>
  <r>
    <s v="CA-2017-136350"/>
    <x v="529"/>
    <d v="2017-06-26T00:00:00"/>
    <x v="0"/>
    <s v="GA-14515"/>
    <s v="George Ashbrook"/>
    <x v="0"/>
    <s v="United States"/>
    <x v="13"/>
    <x v="7"/>
    <x v="2"/>
    <s v="FUR-CH-10001891"/>
    <x v="0"/>
    <x v="1"/>
    <s v="Global Deluxe Office Fabric Chairs"/>
    <n v="172.76400000000001"/>
    <n v="2"/>
    <n v="32.633200000000002"/>
    <x v="3"/>
    <x v="2"/>
  </r>
  <r>
    <s v="CA-2014-122931"/>
    <x v="189"/>
    <d v="2014-10-03T00:00:00"/>
    <x v="1"/>
    <s v="SM-20950"/>
    <s v="Suzanne McNair"/>
    <x v="1"/>
    <s v="United States"/>
    <x v="3"/>
    <x v="3"/>
    <x v="2"/>
    <s v="FUR-TA-10004175"/>
    <x v="0"/>
    <x v="2"/>
    <s v="Hon 30&quot; x 60&quot; Table with Locking Drawer"/>
    <n v="409.27199999999999"/>
    <n v="2"/>
    <n v="-81.854399999999998"/>
    <x v="4"/>
    <x v="4"/>
  </r>
  <r>
    <s v="CA-2014-122931"/>
    <x v="189"/>
    <d v="2014-10-03T00:00:00"/>
    <x v="1"/>
    <s v="SM-20950"/>
    <s v="Suzanne McNair"/>
    <x v="1"/>
    <s v="United States"/>
    <x v="3"/>
    <x v="3"/>
    <x v="2"/>
    <s v="FUR-TA-10004147"/>
    <x v="0"/>
    <x v="2"/>
    <s v="Hon 4060 Series Tables"/>
    <n v="67.176000000000002"/>
    <n v="1"/>
    <n v="-20.152799999999999"/>
    <x v="4"/>
    <x v="4"/>
  </r>
  <r>
    <s v="CA-2015-124058"/>
    <x v="141"/>
    <d v="2015-11-24T00:00:00"/>
    <x v="1"/>
    <s v="LC-16885"/>
    <s v="Lena Creighton"/>
    <x v="0"/>
    <s v="United States"/>
    <x v="121"/>
    <x v="2"/>
    <x v="1"/>
    <s v="FUR-CH-10000595"/>
    <x v="0"/>
    <x v="1"/>
    <s v="Safco Contoured Stacking Chairs"/>
    <n v="572.16"/>
    <n v="3"/>
    <n v="35.76"/>
    <x v="4"/>
    <x v="0"/>
  </r>
  <r>
    <s v="CA-2016-145303"/>
    <x v="530"/>
    <d v="2016-08-31T00:00:00"/>
    <x v="2"/>
    <s v="TP-21415"/>
    <s v="Tom Prescott"/>
    <x v="0"/>
    <s v="United States"/>
    <x v="144"/>
    <x v="5"/>
    <x v="3"/>
    <s v="FUR-BO-10003159"/>
    <x v="0"/>
    <x v="0"/>
    <s v="Sauder Camden County Collection Libraries, Planked Cherry Finish"/>
    <n v="156.37280000000001"/>
    <n v="2"/>
    <n v="-52.890799999999999"/>
    <x v="0"/>
    <x v="10"/>
  </r>
  <r>
    <s v="CA-2017-108112"/>
    <x v="531"/>
    <d v="2017-11-20T00:00:00"/>
    <x v="1"/>
    <s v="DK-12895"/>
    <s v="Dana Kaydos"/>
    <x v="0"/>
    <s v="United States"/>
    <x v="232"/>
    <x v="1"/>
    <x v="0"/>
    <s v="FUR-FU-10003553"/>
    <x v="0"/>
    <x v="3"/>
    <s v="Howard Miller 13-1/2&quot; Diameter Rosebrook Wall Clock"/>
    <n v="220.06399999999999"/>
    <n v="4"/>
    <n v="55.015999999999998"/>
    <x v="2"/>
    <x v="0"/>
  </r>
  <r>
    <s v="CA-2017-108112"/>
    <x v="531"/>
    <d v="2017-11-20T00:00:00"/>
    <x v="1"/>
    <s v="DK-12895"/>
    <s v="Dana Kaydos"/>
    <x v="0"/>
    <s v="United States"/>
    <x v="232"/>
    <x v="1"/>
    <x v="0"/>
    <s v="FUR-FU-10001488"/>
    <x v="0"/>
    <x v="3"/>
    <s v="Tenex 46&quot; x 60&quot; Computer Anti-Static Chairmat, Rectangular Shaped"/>
    <n v="339.13600000000002"/>
    <n v="4"/>
    <n v="0"/>
    <x v="2"/>
    <x v="0"/>
  </r>
  <r>
    <s v="US-2014-156559"/>
    <x v="532"/>
    <d v="2014-08-26T00:00:00"/>
    <x v="1"/>
    <s v="LH-16900"/>
    <s v="Lena Hernandez"/>
    <x v="0"/>
    <s v="United States"/>
    <x v="93"/>
    <x v="31"/>
    <x v="0"/>
    <s v="FUR-BO-10000711"/>
    <x v="0"/>
    <x v="0"/>
    <s v="Hon Metal Bookcases, Gray"/>
    <n v="638.82000000000005"/>
    <n v="9"/>
    <n v="172.48140000000001"/>
    <x v="1"/>
    <x v="10"/>
  </r>
  <r>
    <s v="CA-2017-137456"/>
    <x v="533"/>
    <d v="2017-12-21T00:00:00"/>
    <x v="3"/>
    <s v="RB-19465"/>
    <s v="Rick Bensley"/>
    <x v="2"/>
    <s v="United States"/>
    <x v="233"/>
    <x v="27"/>
    <x v="3"/>
    <s v="FUR-FU-10001940"/>
    <x v="0"/>
    <x v="3"/>
    <s v="Staple-based wall hangings"/>
    <n v="15.92"/>
    <n v="2"/>
    <n v="7.0048000000000004"/>
    <x v="7"/>
    <x v="5"/>
  </r>
  <r>
    <s v="CA-2015-105599"/>
    <x v="395"/>
    <d v="2015-09-07T00:00:00"/>
    <x v="3"/>
    <s v="MC-17275"/>
    <s v="Marc Crier"/>
    <x v="0"/>
    <s v="United States"/>
    <x v="13"/>
    <x v="7"/>
    <x v="2"/>
    <s v="FUR-TA-10003837"/>
    <x v="0"/>
    <x v="2"/>
    <s v="Anderson Hickey Conga Table Tops &amp; Accessories"/>
    <n v="27.414000000000001"/>
    <n v="3"/>
    <n v="-14.1639"/>
    <x v="7"/>
    <x v="4"/>
  </r>
  <r>
    <s v="CA-2015-153717"/>
    <x v="344"/>
    <d v="2016-01-01T00:00:00"/>
    <x v="1"/>
    <s v="DL-13495"/>
    <s v="Dionis Lloyd"/>
    <x v="1"/>
    <s v="United States"/>
    <x v="25"/>
    <x v="17"/>
    <x v="3"/>
    <s v="FUR-BO-10004360"/>
    <x v="0"/>
    <x v="0"/>
    <s v="Rush Hierlooms Collection Rich Wood Bookcases"/>
    <n v="160.97999999999999"/>
    <n v="1"/>
    <n v="20.927399999999999"/>
    <x v="1"/>
    <x v="5"/>
  </r>
  <r>
    <s v="CA-2017-123239"/>
    <x v="534"/>
    <d v="2017-07-31T00:00:00"/>
    <x v="0"/>
    <s v="MG-18145"/>
    <s v="Mike Gockenbach"/>
    <x v="0"/>
    <s v="United States"/>
    <x v="51"/>
    <x v="1"/>
    <x v="0"/>
    <s v="FUR-FU-10001602"/>
    <x v="0"/>
    <x v="3"/>
    <s v="Eldon Delta Triangular Chair Mat, 52&quot; x 58&quot;, Clear"/>
    <n v="91.031999999999996"/>
    <n v="3"/>
    <n v="-2.2757999999999998"/>
    <x v="4"/>
    <x v="3"/>
  </r>
  <r>
    <s v="CA-2017-127313"/>
    <x v="451"/>
    <d v="2017-12-04T00:00:00"/>
    <x v="2"/>
    <s v="RA-19285"/>
    <s v="Ralph Arnett"/>
    <x v="0"/>
    <s v="United States"/>
    <x v="3"/>
    <x v="3"/>
    <x v="2"/>
    <s v="FUR-FU-10003798"/>
    <x v="0"/>
    <x v="3"/>
    <s v="Ultra Door Kickplate, 8&quot;H x 34&quot;W"/>
    <n v="79.12"/>
    <n v="5"/>
    <n v="13.846"/>
    <x v="0"/>
    <x v="5"/>
  </r>
  <r>
    <s v="CA-2017-112725"/>
    <x v="129"/>
    <d v="2017-02-06T00:00:00"/>
    <x v="1"/>
    <s v="EH-14125"/>
    <s v="Eugene Hildebrand"/>
    <x v="2"/>
    <s v="United States"/>
    <x v="28"/>
    <x v="2"/>
    <x v="1"/>
    <s v="FUR-CH-10000863"/>
    <x v="0"/>
    <x v="1"/>
    <s v="Novimex Swivel Fabric Task Chair"/>
    <n v="120.78400000000001"/>
    <n v="1"/>
    <n v="-13.588200000000001"/>
    <x v="1"/>
    <x v="8"/>
  </r>
  <r>
    <s v="CA-2015-136196"/>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s v="CA-2014-157924"/>
    <x v="524"/>
    <d v="2014-10-13T00:00:00"/>
    <x v="2"/>
    <s v="HA-14920"/>
    <s v="Helen Andreada"/>
    <x v="0"/>
    <s v="United States"/>
    <x v="102"/>
    <x v="2"/>
    <x v="1"/>
    <s v="FUR-CH-10000229"/>
    <x v="0"/>
    <x v="1"/>
    <s v="Global Enterprise Series Seating High-Back Swivel/Tilt Chairs"/>
    <n v="433.56799999999998"/>
    <n v="2"/>
    <n v="-65.035200000000003"/>
    <x v="3"/>
    <x v="1"/>
  </r>
  <r>
    <s v="CA-2016-143749"/>
    <x v="28"/>
    <d v="2016-12-07T00:00:00"/>
    <x v="2"/>
    <s v="AG-10300"/>
    <s v="Aleksandra Gannaway"/>
    <x v="1"/>
    <s v="United States"/>
    <x v="20"/>
    <x v="20"/>
    <x v="2"/>
    <s v="FUR-BO-10002853"/>
    <x v="0"/>
    <x v="0"/>
    <s v="O'Sullivan 5-Shelf Heavy-Duty Bookcases"/>
    <n v="81.94"/>
    <n v="1"/>
    <n v="20.484999999999999"/>
    <x v="3"/>
    <x v="5"/>
  </r>
  <r>
    <s v="CA-2015-150875"/>
    <x v="397"/>
    <d v="2015-11-20T00:00:00"/>
    <x v="1"/>
    <s v="HK-14890"/>
    <s v="Heather Kirkland"/>
    <x v="1"/>
    <s v="United States"/>
    <x v="235"/>
    <x v="42"/>
    <x v="1"/>
    <s v="FUR-TA-10000577"/>
    <x v="0"/>
    <x v="2"/>
    <s v="Bretford CR4500 Series Slim Rectangular Table"/>
    <n v="696.42"/>
    <n v="2"/>
    <n v="160.17660000000001"/>
    <x v="4"/>
    <x v="0"/>
  </r>
  <r>
    <s v="CA-2016-124233"/>
    <x v="57"/>
    <d v="2016-04-14T00:00:00"/>
    <x v="1"/>
    <s v="CK-12595"/>
    <s v="Clytie Kelty"/>
    <x v="0"/>
    <s v="United States"/>
    <x v="2"/>
    <x v="2"/>
    <x v="1"/>
    <s v="FUR-FU-10002597"/>
    <x v="0"/>
    <x v="3"/>
    <s v="C-Line Magnetic Cubicle Keepers, Clear Polypropylene"/>
    <n v="24.7"/>
    <n v="5"/>
    <n v="10.374000000000001"/>
    <x v="6"/>
    <x v="6"/>
  </r>
  <r>
    <s v="CA-2014-145387"/>
    <x v="314"/>
    <d v="2014-11-02T00:00:00"/>
    <x v="0"/>
    <s v="AM-10705"/>
    <s v="Anne McFarland"/>
    <x v="0"/>
    <s v="United States"/>
    <x v="236"/>
    <x v="38"/>
    <x v="2"/>
    <s v="FUR-FU-10002364"/>
    <x v="0"/>
    <x v="3"/>
    <s v="Eldon Expressions Wood Desk Accessories, Oak"/>
    <n v="14.76"/>
    <n v="2"/>
    <n v="4.2804000000000002"/>
    <x v="3"/>
    <x v="1"/>
  </r>
  <r>
    <s v="CA-2014-145387"/>
    <x v="314"/>
    <d v="2014-11-02T00:00:00"/>
    <x v="0"/>
    <s v="AM-10705"/>
    <s v="Anne McFarland"/>
    <x v="0"/>
    <s v="United States"/>
    <x v="236"/>
    <x v="38"/>
    <x v="2"/>
    <s v="FUR-FU-10000023"/>
    <x v="0"/>
    <x v="3"/>
    <s v="Eldon Wave Desk Accessories"/>
    <n v="17.670000000000002"/>
    <n v="3"/>
    <n v="7.7747999999999999"/>
    <x v="3"/>
    <x v="1"/>
  </r>
  <r>
    <s v="CA-2014-145387"/>
    <x v="314"/>
    <d v="2014-11-02T00:00:00"/>
    <x v="0"/>
    <s v="AM-10705"/>
    <s v="Anne McFarland"/>
    <x v="0"/>
    <s v="United States"/>
    <x v="236"/>
    <x v="38"/>
    <x v="2"/>
    <s v="FUR-CH-10002320"/>
    <x v="0"/>
    <x v="1"/>
    <s v="Hon Pagoda Stacking Chairs"/>
    <n v="1604.9"/>
    <n v="5"/>
    <n v="481.47"/>
    <x v="3"/>
    <x v="1"/>
  </r>
  <r>
    <s v="CA-2014-145387"/>
    <x v="314"/>
    <d v="2014-11-02T00:00:00"/>
    <x v="0"/>
    <s v="AM-10705"/>
    <s v="Anne McFarland"/>
    <x v="0"/>
    <s v="United States"/>
    <x v="236"/>
    <x v="38"/>
    <x v="2"/>
    <s v="FUR-TA-10003238"/>
    <x v="0"/>
    <x v="2"/>
    <s v="Chromcraft Bull-Nose Wood 48&quot; x 96&quot; Rectangular Conference Tables"/>
    <n v="385.68599999999998"/>
    <n v="1"/>
    <n v="-60.607799999999997"/>
    <x v="3"/>
    <x v="1"/>
  </r>
  <r>
    <s v="CA-2017-149881"/>
    <x v="535"/>
    <d v="2017-04-03T00:00:00"/>
    <x v="2"/>
    <s v="NC-18535"/>
    <s v="Nick Crebassa"/>
    <x v="1"/>
    <s v="United States"/>
    <x v="28"/>
    <x v="2"/>
    <x v="1"/>
    <s v="FUR-BO-10003894"/>
    <x v="0"/>
    <x v="0"/>
    <s v="Safco Value Mate Steel Bookcase, Baked Enamel Finish on Steel, Black"/>
    <n v="482.66399999999999"/>
    <n v="8"/>
    <n v="85.176000000000002"/>
    <x v="3"/>
    <x v="6"/>
  </r>
  <r>
    <s v="CA-2017-134565"/>
    <x v="343"/>
    <d v="2017-06-13T00:00:00"/>
    <x v="0"/>
    <s v="TB-21400"/>
    <s v="Tom Boeckenhauer"/>
    <x v="0"/>
    <s v="United States"/>
    <x v="15"/>
    <x v="13"/>
    <x v="1"/>
    <s v="FUR-BO-10001519"/>
    <x v="0"/>
    <x v="0"/>
    <s v="O'Sullivan 3-Shelf Heavy-Duty Bookcases"/>
    <n v="174.42"/>
    <n v="3"/>
    <n v="41.860799999999998"/>
    <x v="3"/>
    <x v="2"/>
  </r>
  <r>
    <s v="US-2014-102631"/>
    <x v="536"/>
    <d v="2014-12-17T00:00:00"/>
    <x v="1"/>
    <s v="EB-13840"/>
    <s v="Ellis Ballard"/>
    <x v="1"/>
    <s v="United States"/>
    <x v="9"/>
    <x v="8"/>
    <x v="3"/>
    <s v="FUR-FU-10003930"/>
    <x v="0"/>
    <x v="3"/>
    <s v="Howard Miller 12-3/4 Diameter Accuwave DS  Wall Clock"/>
    <n v="94.427999999999997"/>
    <n v="3"/>
    <n v="-42.492600000000003"/>
    <x v="4"/>
    <x v="5"/>
  </r>
  <r>
    <s v="CA-2015-154970"/>
    <x v="537"/>
    <d v="2015-01-10T00:00:00"/>
    <x v="1"/>
    <s v="SR-20740"/>
    <s v="Steven Roelle"/>
    <x v="2"/>
    <s v="United States"/>
    <x v="15"/>
    <x v="13"/>
    <x v="1"/>
    <s v="FUR-CH-10003396"/>
    <x v="0"/>
    <x v="1"/>
    <s v="Global Deluxe Steno Chair"/>
    <n v="61.584000000000003"/>
    <n v="1"/>
    <n v="-6.9282000000000004"/>
    <x v="2"/>
    <x v="8"/>
  </r>
  <r>
    <s v="CA-2017-100223"/>
    <x v="538"/>
    <d v="2017-07-10T00:00:00"/>
    <x v="1"/>
    <s v="LS-16945"/>
    <s v="Linda Southworth"/>
    <x v="1"/>
    <s v="United States"/>
    <x v="144"/>
    <x v="5"/>
    <x v="3"/>
    <s v="FUR-FU-10003601"/>
    <x v="0"/>
    <x v="3"/>
    <s v="Deflect-o RollaMat Studded, Beveled Mat for Medium Pile Carpeting"/>
    <n v="332.02800000000002"/>
    <n v="9"/>
    <n v="-348.62939999999998"/>
    <x v="2"/>
    <x v="3"/>
  </r>
  <r>
    <s v="CA-2017-117702"/>
    <x v="156"/>
    <d v="2017-12-04T00:00:00"/>
    <x v="1"/>
    <s v="LS-16975"/>
    <s v="Lindsay Shagiari"/>
    <x v="2"/>
    <s v="United States"/>
    <x v="237"/>
    <x v="32"/>
    <x v="2"/>
    <s v="FUR-FU-10000576"/>
    <x v="0"/>
    <x v="3"/>
    <s v="Luxo Professional Fluorescent Magnifier Lamp with Clamp-Mount Base"/>
    <n v="1049.2"/>
    <n v="5"/>
    <n v="272.79199999999997"/>
    <x v="6"/>
    <x v="0"/>
  </r>
  <r>
    <s v="CA-2017-117702"/>
    <x v="156"/>
    <d v="2017-12-04T00:00:00"/>
    <x v="1"/>
    <s v="LS-16975"/>
    <s v="Lindsay Shagiari"/>
    <x v="2"/>
    <s v="United States"/>
    <x v="237"/>
    <x v="32"/>
    <x v="2"/>
    <s v="FUR-FU-10004270"/>
    <x v="0"/>
    <x v="3"/>
    <s v="Eldon Image Series Desk Accessories, Burgundy"/>
    <n v="20.9"/>
    <n v="5"/>
    <n v="7.524"/>
    <x v="6"/>
    <x v="0"/>
  </r>
  <r>
    <s v="CA-2016-157336"/>
    <x v="193"/>
    <d v="2016-12-05T00:00:00"/>
    <x v="0"/>
    <s v="SJ-20500"/>
    <s v="Shirley Jackson"/>
    <x v="0"/>
    <s v="United States"/>
    <x v="130"/>
    <x v="19"/>
    <x v="2"/>
    <s v="FUR-CH-10004997"/>
    <x v="0"/>
    <x v="1"/>
    <s v="Hon Every-Day Series Multi-Task Chairs"/>
    <n v="751.92"/>
    <n v="4"/>
    <n v="150.38399999999999"/>
    <x v="4"/>
    <x v="5"/>
  </r>
  <r>
    <s v="CA-2014-168130"/>
    <x v="539"/>
    <d v="2014-09-19T00:00:00"/>
    <x v="3"/>
    <s v="BS-11365"/>
    <s v="Bill Shonely"/>
    <x v="1"/>
    <s v="United States"/>
    <x v="13"/>
    <x v="7"/>
    <x v="2"/>
    <s v="FUR-CH-10000988"/>
    <x v="0"/>
    <x v="1"/>
    <s v="Hon Olson Stacker Stools"/>
    <n v="887.10299999999995"/>
    <n v="7"/>
    <n v="177.42060000000001"/>
    <x v="7"/>
    <x v="4"/>
  </r>
  <r>
    <s v="CA-2017-163160"/>
    <x v="540"/>
    <d v="2017-10-16T00:00:00"/>
    <x v="2"/>
    <s v="TS-21610"/>
    <s v="Troy Staebel"/>
    <x v="0"/>
    <s v="United States"/>
    <x v="234"/>
    <x v="8"/>
    <x v="3"/>
    <s v="FUR-FU-10001424"/>
    <x v="0"/>
    <x v="3"/>
    <s v="Dax Clear Box Frame"/>
    <n v="10.476000000000001"/>
    <n v="3"/>
    <n v="-6.8094000000000001"/>
    <x v="0"/>
    <x v="1"/>
  </r>
  <r>
    <s v="CA-2016-124793"/>
    <x v="269"/>
    <d v="2016-03-16T00:00:00"/>
    <x v="2"/>
    <s v="MM-18280"/>
    <s v="Muhammed MacIntyre"/>
    <x v="1"/>
    <s v="United States"/>
    <x v="15"/>
    <x v="13"/>
    <x v="1"/>
    <s v="FUR-CH-10002880"/>
    <x v="0"/>
    <x v="1"/>
    <s v="Global High-Back Leather Tilter, Burgundy"/>
    <n v="196.78399999999999"/>
    <n v="2"/>
    <n v="-22.138200000000001"/>
    <x v="3"/>
    <x v="9"/>
  </r>
  <r>
    <s v="US-2016-131611"/>
    <x v="541"/>
    <d v="2016-11-09T00:00:00"/>
    <x v="1"/>
    <s v="EP-13915"/>
    <s v="Emily Phan"/>
    <x v="0"/>
    <s v="United States"/>
    <x v="6"/>
    <x v="5"/>
    <x v="3"/>
    <s v="FUR-TA-10002774"/>
    <x v="0"/>
    <x v="2"/>
    <s v="Laminate Occasional Tables"/>
    <n v="863.12800000000004"/>
    <n v="8"/>
    <n v="-160.29519999999999"/>
    <x v="4"/>
    <x v="0"/>
  </r>
  <r>
    <s v="US-2016-131611"/>
    <x v="541"/>
    <d v="2016-11-09T00:00:00"/>
    <x v="1"/>
    <s v="EP-13915"/>
    <s v="Emily Phan"/>
    <x v="0"/>
    <s v="United States"/>
    <x v="6"/>
    <x v="5"/>
    <x v="3"/>
    <s v="FUR-BO-10000780"/>
    <x v="0"/>
    <x v="0"/>
    <s v="O'Sullivan Plantations 2-Door Library in Landvery Oak"/>
    <n v="956.66480000000001"/>
    <n v="7"/>
    <n v="-225.0976"/>
    <x v="4"/>
    <x v="0"/>
  </r>
  <r>
    <s v="US-2017-124821"/>
    <x v="542"/>
    <d v="2017-06-29T00:00:00"/>
    <x v="0"/>
    <s v="AM-10705"/>
    <s v="Anne McFarland"/>
    <x v="0"/>
    <s v="United States"/>
    <x v="15"/>
    <x v="13"/>
    <x v="1"/>
    <s v="FUR-TA-10000688"/>
    <x v="0"/>
    <x v="2"/>
    <s v="Chromcraft Bull-Nose Wood Round Conference Table Top, Wood Base"/>
    <n v="871.4"/>
    <n v="4"/>
    <n v="148.13800000000001"/>
    <x v="4"/>
    <x v="2"/>
  </r>
  <r>
    <s v="CA-2015-166975"/>
    <x v="543"/>
    <d v="2015-11-30T00:00:00"/>
    <x v="1"/>
    <s v="SH-20635"/>
    <s v="Stefanie Holloman"/>
    <x v="1"/>
    <s v="United States"/>
    <x v="38"/>
    <x v="9"/>
    <x v="0"/>
    <s v="FUR-FU-10003930"/>
    <x v="0"/>
    <x v="3"/>
    <s v="Howard Miller 12-3/4 Diameter Accuwave DS  Wall Clock"/>
    <n v="692.47199999999998"/>
    <n v="11"/>
    <n v="190.4298"/>
    <x v="4"/>
    <x v="0"/>
  </r>
  <r>
    <s v="CA-2016-123806"/>
    <x v="243"/>
    <d v="2016-11-27T00:00:00"/>
    <x v="0"/>
    <s v="LA-16780"/>
    <s v="Laura Armstrong"/>
    <x v="1"/>
    <s v="United States"/>
    <x v="237"/>
    <x v="32"/>
    <x v="2"/>
    <s v="FUR-FU-10000965"/>
    <x v="0"/>
    <x v="3"/>
    <s v="Howard Miller 11-1/2&quot; Diameter Ridgewood Wall Clock"/>
    <n v="207.76"/>
    <n v="4"/>
    <n v="85.181600000000003"/>
    <x v="0"/>
    <x v="0"/>
  </r>
  <r>
    <s v="US-2016-107440"/>
    <x v="544"/>
    <d v="2016-04-20T00:00:00"/>
    <x v="1"/>
    <s v="BS-11365"/>
    <s v="Bill Shonely"/>
    <x v="1"/>
    <s v="United States"/>
    <x v="174"/>
    <x v="18"/>
    <x v="2"/>
    <s v="FUR-FU-10000550"/>
    <x v="0"/>
    <x v="3"/>
    <s v="Stacking Trays by OIC"/>
    <n v="9.9600000000000009"/>
    <n v="2"/>
    <n v="3.2867999999999999"/>
    <x v="4"/>
    <x v="6"/>
  </r>
  <r>
    <s v="CA-2014-166989"/>
    <x v="545"/>
    <d v="2014-11-18T00:00:00"/>
    <x v="1"/>
    <s v="RM-19675"/>
    <s v="Robert Marley"/>
    <x v="2"/>
    <s v="United States"/>
    <x v="13"/>
    <x v="7"/>
    <x v="2"/>
    <s v="FUR-CH-10001797"/>
    <x v="0"/>
    <x v="1"/>
    <s v="Safco Chair Connectors, 6/Carton"/>
    <n v="69.263999999999996"/>
    <n v="2"/>
    <n v="14.622400000000001"/>
    <x v="4"/>
    <x v="0"/>
  </r>
  <r>
    <s v="CA-2015-105690"/>
    <x v="32"/>
    <d v="2015-11-26T00:00:00"/>
    <x v="0"/>
    <s v="CA-11965"/>
    <s v="Carol Adams"/>
    <x v="1"/>
    <s v="United States"/>
    <x v="238"/>
    <x v="5"/>
    <x v="3"/>
    <s v="FUR-BO-10003965"/>
    <x v="0"/>
    <x v="0"/>
    <s v="O'Sullivan Manor Hill 2-Door Library in Brianna Oak"/>
    <n v="246.1328"/>
    <n v="2"/>
    <n v="-76.011600000000001"/>
    <x v="2"/>
    <x v="0"/>
  </r>
  <r>
    <s v="CA-2017-102407"/>
    <x v="13"/>
    <d v="2017-12-13T00:00:00"/>
    <x v="0"/>
    <s v="AT-10435"/>
    <s v="Alyssa Tate"/>
    <x v="2"/>
    <s v="United States"/>
    <x v="2"/>
    <x v="2"/>
    <x v="1"/>
    <s v="FUR-TA-10003748"/>
    <x v="0"/>
    <x v="2"/>
    <s v="Bevis 36 x 72 Conference Tables"/>
    <n v="896.32799999999997"/>
    <n v="9"/>
    <n v="22.408200000000001"/>
    <x v="4"/>
    <x v="5"/>
  </r>
  <r>
    <s v="CA-2017-101581"/>
    <x v="546"/>
    <d v="2017-10-27T00:00:00"/>
    <x v="1"/>
    <s v="DW-13195"/>
    <s v="David Wiener"/>
    <x v="1"/>
    <s v="United States"/>
    <x v="125"/>
    <x v="36"/>
    <x v="1"/>
    <s v="FUR-TA-10002607"/>
    <x v="0"/>
    <x v="2"/>
    <s v="KI Conference Tables"/>
    <n v="177.22499999999999"/>
    <n v="5"/>
    <n v="-120.51300000000001"/>
    <x v="2"/>
    <x v="1"/>
  </r>
  <r>
    <s v="CA-2017-169124"/>
    <x v="209"/>
    <d v="2017-07-10T00:00:00"/>
    <x v="1"/>
    <s v="MB-17305"/>
    <s v="Maria Bertelson"/>
    <x v="0"/>
    <s v="United States"/>
    <x v="239"/>
    <x v="2"/>
    <x v="1"/>
    <s v="FUR-FU-10001215"/>
    <x v="0"/>
    <x v="3"/>
    <s v="Howard Miller 11-1/2&quot; Diameter Brentwood Wall Clock"/>
    <n v="129.38999999999999"/>
    <n v="3"/>
    <n v="54.343800000000002"/>
    <x v="1"/>
    <x v="3"/>
  </r>
  <r>
    <s v="CA-2017-129021"/>
    <x v="547"/>
    <d v="2017-08-26T00:00:00"/>
    <x v="0"/>
    <s v="PO-18850"/>
    <s v="Patrick O'Brill"/>
    <x v="0"/>
    <s v="United States"/>
    <x v="199"/>
    <x v="1"/>
    <x v="0"/>
    <s v="FUR-FU-10001852"/>
    <x v="0"/>
    <x v="3"/>
    <s v="Eldon Regeneration Recycled Desk Accessories, Smoke"/>
    <n v="2.7839999999999998"/>
    <n v="2"/>
    <n v="0.41760000000000003"/>
    <x v="0"/>
    <x v="10"/>
  </r>
  <r>
    <s v="CA-2014-162278"/>
    <x v="548"/>
    <d v="2014-10-30T00:00:00"/>
    <x v="0"/>
    <s v="AH-10585"/>
    <s v="Angele Hood"/>
    <x v="0"/>
    <s v="United States"/>
    <x v="15"/>
    <x v="13"/>
    <x v="1"/>
    <s v="FUR-FU-10000448"/>
    <x v="0"/>
    <x v="3"/>
    <s v="Tenex Chairmats For Use With Carpeted Floors"/>
    <n v="63.92"/>
    <n v="4"/>
    <n v="3.1960000000000002"/>
    <x v="4"/>
    <x v="1"/>
  </r>
  <r>
    <s v="CA-2014-125829"/>
    <x v="53"/>
    <d v="2014-11-11T00:00:00"/>
    <x v="1"/>
    <s v="WB-21850"/>
    <s v="William Brown"/>
    <x v="0"/>
    <s v="United States"/>
    <x v="2"/>
    <x v="2"/>
    <x v="1"/>
    <s v="FUR-TA-10002041"/>
    <x v="0"/>
    <x v="2"/>
    <s v="Bevis Round Conference Table Top, X-Base"/>
    <n v="573.72799999999995"/>
    <n v="4"/>
    <n v="-64.544399999999996"/>
    <x v="1"/>
    <x v="0"/>
  </r>
  <r>
    <s v="US-2017-136189"/>
    <x v="549"/>
    <d v="2017-12-11T00:00:00"/>
    <x v="1"/>
    <s v="DC-13285"/>
    <s v="Debra Catini"/>
    <x v="0"/>
    <s v="United States"/>
    <x v="52"/>
    <x v="25"/>
    <x v="0"/>
    <s v="FUR-FU-10000175"/>
    <x v="0"/>
    <x v="3"/>
    <s v="DAX Wood Document Frame."/>
    <n v="82.38"/>
    <n v="6"/>
    <n v="25.537800000000001"/>
    <x v="4"/>
    <x v="5"/>
  </r>
  <r>
    <s v="CA-2015-154795"/>
    <x v="274"/>
    <d v="2015-12-24T00:00:00"/>
    <x v="1"/>
    <s v="GZ-14470"/>
    <s v="Gary Zandusky"/>
    <x v="0"/>
    <s v="United States"/>
    <x v="240"/>
    <x v="22"/>
    <x v="1"/>
    <s v="FUR-FU-10002088"/>
    <x v="0"/>
    <x v="3"/>
    <s v="Nu-Dell Float Frame 11 x 14 1/2"/>
    <n v="14.368"/>
    <n v="2"/>
    <n v="3.9512"/>
    <x v="4"/>
    <x v="5"/>
  </r>
  <r>
    <s v="CA-2016-120355"/>
    <x v="126"/>
    <d v="2016-09-25T00:00:00"/>
    <x v="1"/>
    <s v="MM-17260"/>
    <s v="Magdelene Morse"/>
    <x v="0"/>
    <s v="United States"/>
    <x v="241"/>
    <x v="7"/>
    <x v="2"/>
    <s v="FUR-CH-10001394"/>
    <x v="0"/>
    <x v="1"/>
    <s v="Global Leather Executive Chair"/>
    <n v="631.78200000000004"/>
    <n v="2"/>
    <n v="140.39599999999999"/>
    <x v="1"/>
    <x v="4"/>
  </r>
  <r>
    <s v="CA-2016-120355"/>
    <x v="126"/>
    <d v="2016-09-25T00:00:00"/>
    <x v="1"/>
    <s v="MM-17260"/>
    <s v="Magdelene Morse"/>
    <x v="0"/>
    <s v="United States"/>
    <x v="241"/>
    <x v="7"/>
    <x v="2"/>
    <s v="FUR-FU-10004053"/>
    <x v="0"/>
    <x v="3"/>
    <s v="DAX Two-Tone Silver Metal Document Frame"/>
    <n v="60.72"/>
    <n v="3"/>
    <n v="26.1096"/>
    <x v="1"/>
    <x v="4"/>
  </r>
  <r>
    <s v="CA-2017-162565"/>
    <x v="246"/>
    <d v="2017-12-11T00:00:00"/>
    <x v="3"/>
    <s v="RR-19315"/>
    <s v="Ralph Ritter"/>
    <x v="0"/>
    <s v="United States"/>
    <x v="14"/>
    <x v="8"/>
    <x v="3"/>
    <s v="FUR-FU-10004306"/>
    <x v="0"/>
    <x v="3"/>
    <s v="Electrix Halogen Magnifier Lamp"/>
    <n v="77.72"/>
    <n v="1"/>
    <n v="-66.061999999999998"/>
    <x v="7"/>
    <x v="5"/>
  </r>
  <r>
    <s v="CA-2017-162565"/>
    <x v="246"/>
    <d v="2017-12-11T00:00:00"/>
    <x v="3"/>
    <s v="RR-19315"/>
    <s v="Ralph Ritter"/>
    <x v="0"/>
    <s v="United States"/>
    <x v="14"/>
    <x v="8"/>
    <x v="3"/>
    <s v="FUR-CH-10003973"/>
    <x v="0"/>
    <x v="1"/>
    <s v="GuestStacker Chair with Chrome Finish Legs"/>
    <n v="520.46400000000006"/>
    <n v="2"/>
    <n v="-14.8704"/>
    <x v="7"/>
    <x v="5"/>
  </r>
  <r>
    <s v="CA-2014-166954"/>
    <x v="550"/>
    <d v="2014-04-30T00:00:00"/>
    <x v="1"/>
    <s v="BT-11305"/>
    <s v="Beth Thompson"/>
    <x v="2"/>
    <s v="United States"/>
    <x v="242"/>
    <x v="2"/>
    <x v="1"/>
    <s v="FUR-FU-10003708"/>
    <x v="0"/>
    <x v="3"/>
    <s v="Tenex Traditional Chairmats for Medium Pile Carpet, Standard Lip, 36&quot; x 48&quot;"/>
    <n v="303.25"/>
    <n v="5"/>
    <n v="63.682499999999997"/>
    <x v="2"/>
    <x v="6"/>
  </r>
  <r>
    <s v="CA-2014-166954"/>
    <x v="550"/>
    <d v="2014-04-30T00:00:00"/>
    <x v="1"/>
    <s v="BT-11305"/>
    <s v="Beth Thompson"/>
    <x v="2"/>
    <s v="United States"/>
    <x v="242"/>
    <x v="2"/>
    <x v="1"/>
    <s v="FUR-CH-10003973"/>
    <x v="0"/>
    <x v="1"/>
    <s v="GuestStacker Chair with Chrome Finish Legs"/>
    <n v="1487.04"/>
    <n v="5"/>
    <n v="148.70400000000001"/>
    <x v="2"/>
    <x v="6"/>
  </r>
  <r>
    <s v="CA-2015-152891"/>
    <x v="551"/>
    <d v="2015-10-30T00:00:00"/>
    <x v="1"/>
    <s v="TB-21625"/>
    <s v="Trudy Brown"/>
    <x v="0"/>
    <s v="United States"/>
    <x v="28"/>
    <x v="2"/>
    <x v="1"/>
    <s v="FUR-TA-10001857"/>
    <x v="0"/>
    <x v="2"/>
    <s v="Balt Solid Wood Rectangular Table"/>
    <n v="253.17599999999999"/>
    <n v="3"/>
    <n v="-31.646999999999998"/>
    <x v="2"/>
    <x v="1"/>
  </r>
  <r>
    <s v="US-2015-122784"/>
    <x v="552"/>
    <d v="2015-07-27T00:00:00"/>
    <x v="1"/>
    <s v="RA-19915"/>
    <s v="Russell Applegate"/>
    <x v="0"/>
    <s v="United States"/>
    <x v="185"/>
    <x v="8"/>
    <x v="3"/>
    <s v="FUR-BO-10004690"/>
    <x v="0"/>
    <x v="0"/>
    <s v="O'Sullivan Cherrywood Estates Traditional Barrister Bookcase"/>
    <n v="384.94400000000002"/>
    <n v="4"/>
    <n v="-126.4816"/>
    <x v="1"/>
    <x v="3"/>
  </r>
  <r>
    <s v="US-2015-122784"/>
    <x v="552"/>
    <d v="2015-07-27T00:00:00"/>
    <x v="1"/>
    <s v="RA-19915"/>
    <s v="Russell Applegate"/>
    <x v="0"/>
    <s v="United States"/>
    <x v="185"/>
    <x v="8"/>
    <x v="3"/>
    <s v="FUR-BO-10002545"/>
    <x v="0"/>
    <x v="0"/>
    <s v="Atlantic Metals Mobile 3-Shelf Bookcases, Custom Colors"/>
    <n v="913.43"/>
    <n v="5"/>
    <n v="-52.195999999999998"/>
    <x v="1"/>
    <x v="3"/>
  </r>
  <r>
    <s v="CA-2017-111556"/>
    <x v="93"/>
    <d v="2017-11-22T00:00:00"/>
    <x v="2"/>
    <s v="CD-11920"/>
    <s v="Carlos Daly"/>
    <x v="0"/>
    <s v="United States"/>
    <x v="13"/>
    <x v="7"/>
    <x v="2"/>
    <s v="FUR-BO-10003159"/>
    <x v="0"/>
    <x v="0"/>
    <s v="Sauder Camden County Collection Libraries, Planked Cherry Finish"/>
    <n v="183.96799999999999"/>
    <n v="2"/>
    <n v="-25.2956"/>
    <x v="3"/>
    <x v="0"/>
  </r>
  <r>
    <s v="US-2014-138758"/>
    <x v="553"/>
    <d v="2014-07-11T00:00:00"/>
    <x v="1"/>
    <s v="JL-15835"/>
    <s v="John Lee"/>
    <x v="0"/>
    <s v="United States"/>
    <x v="3"/>
    <x v="3"/>
    <x v="2"/>
    <s v="FUR-CH-10002880"/>
    <x v="0"/>
    <x v="1"/>
    <s v="Global High-Back Leather Tilter, Burgundy"/>
    <n v="172.18600000000001"/>
    <n v="2"/>
    <n v="-46.736199999999997"/>
    <x v="4"/>
    <x v="3"/>
  </r>
  <r>
    <s v="US-2014-138758"/>
    <x v="553"/>
    <d v="2014-07-11T00:00:00"/>
    <x v="1"/>
    <s v="JL-15835"/>
    <s v="John Lee"/>
    <x v="0"/>
    <s v="United States"/>
    <x v="3"/>
    <x v="3"/>
    <x v="2"/>
    <s v="FUR-FU-10003039"/>
    <x v="0"/>
    <x v="3"/>
    <s v="Howard Miller 11-1/2&quot; Diameter Grantwood Wall Clock"/>
    <n v="69.007999999999996"/>
    <n v="2"/>
    <n v="12.0764"/>
    <x v="4"/>
    <x v="3"/>
  </r>
  <r>
    <s v="CA-2016-131737"/>
    <x v="554"/>
    <d v="2016-03-17T00:00:00"/>
    <x v="3"/>
    <s v="GZ-14470"/>
    <s v="Gary Zandusky"/>
    <x v="0"/>
    <s v="United States"/>
    <x v="11"/>
    <x v="32"/>
    <x v="2"/>
    <s v="FUR-FU-10004306"/>
    <x v="0"/>
    <x v="3"/>
    <s v="Electrix Halogen Magnifier Lamp"/>
    <n v="971.5"/>
    <n v="5"/>
    <n v="252.59"/>
    <x v="7"/>
    <x v="9"/>
  </r>
  <r>
    <s v="CA-2014-160157"/>
    <x v="191"/>
    <d v="2014-12-27T00:00:00"/>
    <x v="1"/>
    <s v="MH-17455"/>
    <s v="Mark Hamilton"/>
    <x v="0"/>
    <s v="United States"/>
    <x v="243"/>
    <x v="15"/>
    <x v="2"/>
    <s v="FUR-FU-10003773"/>
    <x v="0"/>
    <x v="3"/>
    <s v="Eldon Cleatmat Plus Chair Mats for High Pile Carpets"/>
    <n v="190.84800000000001"/>
    <n v="3"/>
    <n v="-21.470400000000001"/>
    <x v="1"/>
    <x v="5"/>
  </r>
  <r>
    <s v="CA-2017-159464"/>
    <x v="514"/>
    <d v="2017-05-19T00:00:00"/>
    <x v="2"/>
    <s v="TB-21355"/>
    <s v="Todd Boyes"/>
    <x v="1"/>
    <s v="United States"/>
    <x v="244"/>
    <x v="24"/>
    <x v="0"/>
    <s v="FUR-BO-10003546"/>
    <x v="0"/>
    <x v="0"/>
    <s v="Hon 4-Shelf Metal Bookcases"/>
    <n v="302.94"/>
    <n v="3"/>
    <n v="75.734999999999999"/>
    <x v="5"/>
    <x v="7"/>
  </r>
  <r>
    <s v="CA-2017-119452"/>
    <x v="555"/>
    <d v="2017-03-27T00:00:00"/>
    <x v="1"/>
    <s v="CL-12565"/>
    <s v="Clay Ludtke"/>
    <x v="0"/>
    <s v="United States"/>
    <x v="169"/>
    <x v="37"/>
    <x v="3"/>
    <s v="FUR-CH-10004495"/>
    <x v="0"/>
    <x v="1"/>
    <s v="Global Leather and Oak Executive Chair, Black"/>
    <n v="1805.88"/>
    <n v="6"/>
    <n v="523.70519999999999"/>
    <x v="6"/>
    <x v="9"/>
  </r>
  <r>
    <s v="CA-2016-168893"/>
    <x v="361"/>
    <d v="2016-11-08T00:00:00"/>
    <x v="0"/>
    <s v="AP-10915"/>
    <s v="Arthur Prichep"/>
    <x v="0"/>
    <s v="United States"/>
    <x v="0"/>
    <x v="0"/>
    <x v="0"/>
    <s v="FUR-FU-10002885"/>
    <x v="0"/>
    <x v="3"/>
    <s v="Magna Visual Magnetic Picture Hangers"/>
    <n v="24.1"/>
    <n v="5"/>
    <n v="9.1579999999999995"/>
    <x v="2"/>
    <x v="0"/>
  </r>
  <r>
    <s v="CA-2016-168893"/>
    <x v="361"/>
    <d v="2016-11-08T00:00:00"/>
    <x v="0"/>
    <s v="AP-10915"/>
    <s v="Arthur Prichep"/>
    <x v="0"/>
    <s v="United States"/>
    <x v="0"/>
    <x v="0"/>
    <x v="0"/>
    <s v="FUR-TA-10003392"/>
    <x v="0"/>
    <x v="2"/>
    <s v="Global Adaptabilities Conference Tables"/>
    <n v="842.94"/>
    <n v="3"/>
    <n v="160.15860000000001"/>
    <x v="2"/>
    <x v="0"/>
  </r>
  <r>
    <s v="CA-2015-121965"/>
    <x v="556"/>
    <d v="2015-06-23T00:00:00"/>
    <x v="1"/>
    <s v="LH-17155"/>
    <s v="Logan Haushalter"/>
    <x v="0"/>
    <s v="United States"/>
    <x v="2"/>
    <x v="2"/>
    <x v="1"/>
    <s v="FUR-FU-10000732"/>
    <x v="0"/>
    <x v="3"/>
    <s v="Eldon 200 Class Desk Accessories"/>
    <n v="12.56"/>
    <n v="2"/>
    <n v="4.0191999999999997"/>
    <x v="4"/>
    <x v="2"/>
  </r>
  <r>
    <s v="CA-2016-147137"/>
    <x v="557"/>
    <d v="2016-07-06T00:00:00"/>
    <x v="2"/>
    <s v="AA-10645"/>
    <s v="Anna Andreadi"/>
    <x v="0"/>
    <s v="United States"/>
    <x v="28"/>
    <x v="2"/>
    <x v="1"/>
    <s v="FUR-FU-10000221"/>
    <x v="0"/>
    <x v="3"/>
    <s v="Master Caster Door Stop, Brown"/>
    <n v="25.4"/>
    <n v="5"/>
    <n v="8.6359999999999992"/>
    <x v="3"/>
    <x v="3"/>
  </r>
  <r>
    <s v="CA-2016-147137"/>
    <x v="557"/>
    <d v="2016-07-06T00:00:00"/>
    <x v="2"/>
    <s v="AA-10645"/>
    <s v="Anna Andreadi"/>
    <x v="0"/>
    <s v="United States"/>
    <x v="28"/>
    <x v="2"/>
    <x v="1"/>
    <s v="FUR-BO-10001811"/>
    <x v="0"/>
    <x v="0"/>
    <s v="Atlantic Metals Mobile 5-Shelf Bookcases, Custom Colors"/>
    <n v="1279.165"/>
    <n v="5"/>
    <n v="225.73500000000001"/>
    <x v="3"/>
    <x v="3"/>
  </r>
  <r>
    <s v="US-2015-146745"/>
    <x v="558"/>
    <d v="2015-09-08T00:00:00"/>
    <x v="1"/>
    <s v="AS-10630"/>
    <s v="Ann Steele"/>
    <x v="2"/>
    <s v="United States"/>
    <x v="28"/>
    <x v="2"/>
    <x v="1"/>
    <s v="FUR-CH-10002372"/>
    <x v="0"/>
    <x v="1"/>
    <s v="Office Star - Ergonomically Designed Knee Chair"/>
    <n v="129.56800000000001"/>
    <n v="2"/>
    <n v="-12.956799999999999"/>
    <x v="2"/>
    <x v="4"/>
  </r>
  <r>
    <s v="US-2017-125717"/>
    <x v="559"/>
    <d v="2017-10-01T00:00:00"/>
    <x v="2"/>
    <s v="DS-13030"/>
    <s v="Darrin Sayre"/>
    <x v="2"/>
    <s v="United States"/>
    <x v="14"/>
    <x v="12"/>
    <x v="1"/>
    <s v="FUR-FU-10001979"/>
    <x v="0"/>
    <x v="3"/>
    <s v="Dana Halogen Swing-Arm Architect Lamp"/>
    <n v="32.776000000000003"/>
    <n v="1"/>
    <n v="3.2776000000000001"/>
    <x v="0"/>
    <x v="4"/>
  </r>
  <r>
    <s v="CA-2017-168641"/>
    <x v="241"/>
    <d v="2017-12-01T00:00:00"/>
    <x v="1"/>
    <s v="KA-16525"/>
    <s v="Kelly Andreada"/>
    <x v="0"/>
    <s v="United States"/>
    <x v="13"/>
    <x v="7"/>
    <x v="2"/>
    <s v="FUR-BO-10000780"/>
    <x v="0"/>
    <x v="0"/>
    <s v="O'Sullivan Plantations 2-Door Library in Landvery Oak"/>
    <n v="321.56799999999998"/>
    <n v="2"/>
    <n v="-16.078399999999998"/>
    <x v="1"/>
    <x v="0"/>
  </r>
  <r>
    <s v="CA-2017-156895"/>
    <x v="258"/>
    <d v="2017-05-12T00:00:00"/>
    <x v="1"/>
    <s v="DJ-13510"/>
    <s v="Don Jones"/>
    <x v="1"/>
    <s v="United States"/>
    <x v="3"/>
    <x v="3"/>
    <x v="2"/>
    <s v="FUR-CH-10003535"/>
    <x v="0"/>
    <x v="1"/>
    <s v="Global Armless Task Chair, Royal Blue"/>
    <n v="128.05799999999999"/>
    <n v="3"/>
    <n v="-23.7822"/>
    <x v="4"/>
    <x v="7"/>
  </r>
  <r>
    <s v="CA-2017-121300"/>
    <x v="560"/>
    <d v="2017-09-29T00:00:00"/>
    <x v="3"/>
    <s v="MG-17680"/>
    <s v="Maureen Gastineau"/>
    <x v="2"/>
    <s v="United States"/>
    <x v="245"/>
    <x v="15"/>
    <x v="2"/>
    <s v="FUR-CH-10003774"/>
    <x v="0"/>
    <x v="1"/>
    <s v="Global Wood Trimmed Manager's Task Chair, Khaki"/>
    <n v="63.686"/>
    <n v="1"/>
    <n v="-15.4666"/>
    <x v="7"/>
    <x v="4"/>
  </r>
  <r>
    <s v="CA-2017-121300"/>
    <x v="560"/>
    <d v="2017-09-29T00:00:00"/>
    <x v="3"/>
    <s v="MG-17680"/>
    <s v="Maureen Gastineau"/>
    <x v="2"/>
    <s v="United States"/>
    <x v="245"/>
    <x v="15"/>
    <x v="2"/>
    <s v="FUR-TA-10004442"/>
    <x v="0"/>
    <x v="2"/>
    <s v="Riverside Furniture Stanwyck Manor Table Series"/>
    <n v="344.22"/>
    <n v="2"/>
    <n v="-189.321"/>
    <x v="7"/>
    <x v="4"/>
  </r>
  <r>
    <s v="CA-2017-121300"/>
    <x v="560"/>
    <d v="2017-09-29T00:00:00"/>
    <x v="3"/>
    <s v="MG-17680"/>
    <s v="Maureen Gastineau"/>
    <x v="2"/>
    <s v="United States"/>
    <x v="245"/>
    <x v="15"/>
    <x v="2"/>
    <s v="FUR-FU-10004586"/>
    <x v="0"/>
    <x v="3"/>
    <s v="G.E. Longer-Life Indoor Recessed Floodlight Bulbs"/>
    <n v="21.248000000000001"/>
    <n v="4"/>
    <n v="7.4367999999999999"/>
    <x v="7"/>
    <x v="4"/>
  </r>
  <r>
    <s v="CA-2017-130211"/>
    <x v="546"/>
    <d v="2017-10-22T00:00:00"/>
    <x v="3"/>
    <s v="BD-11620"/>
    <s v="Brian DeCherney"/>
    <x v="0"/>
    <s v="United States"/>
    <x v="246"/>
    <x v="37"/>
    <x v="3"/>
    <s v="FUR-TA-10003748"/>
    <x v="0"/>
    <x v="2"/>
    <s v="Bevis 36 x 72 Conference Tables"/>
    <n v="248.98"/>
    <n v="2"/>
    <n v="54.775599999999997"/>
    <x v="7"/>
    <x v="1"/>
  </r>
  <r>
    <s v="CA-2017-105921"/>
    <x v="561"/>
    <d v="2017-08-21T00:00:00"/>
    <x v="1"/>
    <s v="JM-15250"/>
    <s v="Janet Martin"/>
    <x v="0"/>
    <s v="United States"/>
    <x v="2"/>
    <x v="2"/>
    <x v="1"/>
    <s v="FUR-TA-10001095"/>
    <x v="0"/>
    <x v="2"/>
    <s v="Chromcraft Round Conference Tables"/>
    <n v="418.29599999999999"/>
    <n v="3"/>
    <n v="5.2286999999999999"/>
    <x v="1"/>
    <x v="10"/>
  </r>
  <r>
    <s v="CA-2014-150798"/>
    <x v="280"/>
    <d v="2014-12-03T00:00:00"/>
    <x v="0"/>
    <s v="JK-15730"/>
    <s v="Joe Kamberova"/>
    <x v="0"/>
    <s v="United States"/>
    <x v="29"/>
    <x v="15"/>
    <x v="2"/>
    <s v="FUR-FU-10000221"/>
    <x v="0"/>
    <x v="3"/>
    <s v="Master Caster Door Stop, Brown"/>
    <n v="8.1280000000000001"/>
    <n v="2"/>
    <n v="1.4224000000000001"/>
    <x v="3"/>
    <x v="5"/>
  </r>
  <r>
    <s v="CA-2014-150798"/>
    <x v="280"/>
    <d v="2014-12-03T00:00:00"/>
    <x v="0"/>
    <s v="JK-15730"/>
    <s v="Joe Kamberova"/>
    <x v="0"/>
    <s v="United States"/>
    <x v="29"/>
    <x v="15"/>
    <x v="2"/>
    <s v="FUR-CH-10000015"/>
    <x v="0"/>
    <x v="1"/>
    <s v="Hon Multipurpose Stacking Arm Chairs"/>
    <n v="909.72"/>
    <n v="6"/>
    <n v="-51.984000000000002"/>
    <x v="3"/>
    <x v="5"/>
  </r>
  <r>
    <s v="CA-2017-112753"/>
    <x v="562"/>
    <d v="2017-06-23T00:00:00"/>
    <x v="1"/>
    <s v="CC-12670"/>
    <s v="Craig Carreira"/>
    <x v="0"/>
    <s v="United States"/>
    <x v="2"/>
    <x v="2"/>
    <x v="1"/>
    <s v="FUR-BO-10004015"/>
    <x v="0"/>
    <x v="0"/>
    <s v="Bush Andora Bookcase, Maple/Graphite Gray Finish"/>
    <n v="917.92349999999999"/>
    <n v="9"/>
    <n v="75.593699999999998"/>
    <x v="2"/>
    <x v="2"/>
  </r>
  <r>
    <s v="US-2014-138247"/>
    <x v="109"/>
    <d v="2014-12-29T00:00:00"/>
    <x v="1"/>
    <s v="BF-11170"/>
    <s v="Ben Ferrer"/>
    <x v="2"/>
    <s v="United States"/>
    <x v="2"/>
    <x v="2"/>
    <x v="1"/>
    <s v="FUR-FU-10002554"/>
    <x v="0"/>
    <x v="3"/>
    <s v="Westinghouse Floor Lamp with Metal Mesh Shade, Black"/>
    <n v="23.99"/>
    <n v="1"/>
    <n v="5.5176999999999996"/>
    <x v="2"/>
    <x v="5"/>
  </r>
  <r>
    <s v="CA-2017-167003"/>
    <x v="563"/>
    <d v="2017-05-29T00:00:00"/>
    <x v="1"/>
    <s v="VS-21820"/>
    <s v="Vivek Sundaresam"/>
    <x v="0"/>
    <s v="United States"/>
    <x v="2"/>
    <x v="2"/>
    <x v="1"/>
    <s v="FUR-TA-10001520"/>
    <x v="0"/>
    <x v="2"/>
    <s v="Lesro Sheffield Collection Coffee Table, End Table, Center Table, Corner Table"/>
    <n v="171.28800000000001"/>
    <n v="3"/>
    <n v="-6.4233000000000002"/>
    <x v="6"/>
    <x v="7"/>
  </r>
  <r>
    <s v="CA-2016-119935"/>
    <x v="480"/>
    <d v="2016-11-14T00:00:00"/>
    <x v="1"/>
    <s v="KM-16225"/>
    <s v="Kalyca Meade"/>
    <x v="1"/>
    <s v="United States"/>
    <x v="76"/>
    <x v="23"/>
    <x v="3"/>
    <s v="FUR-FU-10001085"/>
    <x v="0"/>
    <x v="3"/>
    <s v="3M Polarizing Light Filter Sleeves"/>
    <n v="37.299999999999997"/>
    <n v="2"/>
    <n v="17.158000000000001"/>
    <x v="4"/>
    <x v="0"/>
  </r>
  <r>
    <s v="CA-2016-120873"/>
    <x v="78"/>
    <d v="2016-11-01T00:00:00"/>
    <x v="0"/>
    <s v="BW-11200"/>
    <s v="Ben Wallace"/>
    <x v="0"/>
    <s v="United States"/>
    <x v="247"/>
    <x v="25"/>
    <x v="0"/>
    <s v="FUR-CH-10000847"/>
    <x v="0"/>
    <x v="1"/>
    <s v="Global Executive Mid-Back Manager's Chair"/>
    <n v="290.98"/>
    <n v="1"/>
    <n v="75.654799999999994"/>
    <x v="2"/>
    <x v="1"/>
  </r>
  <r>
    <s v="CA-2014-109491"/>
    <x v="564"/>
    <d v="2014-02-26T00:00:00"/>
    <x v="1"/>
    <s v="LC-16930"/>
    <s v="Linda Cazamias"/>
    <x v="1"/>
    <s v="United States"/>
    <x v="52"/>
    <x v="6"/>
    <x v="3"/>
    <s v="FUR-FU-10000221"/>
    <x v="0"/>
    <x v="3"/>
    <s v="Master Caster Door Stop, Brown"/>
    <n v="20.32"/>
    <n v="4"/>
    <n v="6.9088000000000003"/>
    <x v="6"/>
    <x v="11"/>
  </r>
  <r>
    <s v="CA-2014-107454"/>
    <x v="565"/>
    <d v="2014-11-06T00:00:00"/>
    <x v="1"/>
    <s v="RD-19720"/>
    <s v="Roger Demir"/>
    <x v="0"/>
    <s v="United States"/>
    <x v="13"/>
    <x v="7"/>
    <x v="2"/>
    <s v="FUR-FU-10004018"/>
    <x v="0"/>
    <x v="3"/>
    <s v="Tensor Computer Mounted Lamp"/>
    <n v="89.34"/>
    <n v="6"/>
    <n v="24.1218"/>
    <x v="4"/>
    <x v="0"/>
  </r>
  <r>
    <s v="US-2017-105046"/>
    <x v="357"/>
    <d v="2017-07-23T00:00:00"/>
    <x v="1"/>
    <s v="BE-11335"/>
    <s v="Bill Eplett"/>
    <x v="2"/>
    <s v="United States"/>
    <x v="248"/>
    <x v="7"/>
    <x v="2"/>
    <s v="FUR-FU-10004848"/>
    <x v="0"/>
    <x v="3"/>
    <s v="DAX Solid Wood Frames"/>
    <n v="39.08"/>
    <n v="4"/>
    <n v="14.4596"/>
    <x v="6"/>
    <x v="3"/>
  </r>
  <r>
    <s v="CA-2016-118759"/>
    <x v="566"/>
    <d v="2016-11-17T00:00:00"/>
    <x v="2"/>
    <s v="MB-17305"/>
    <s v="Maria Bertelson"/>
    <x v="0"/>
    <s v="United States"/>
    <x v="13"/>
    <x v="7"/>
    <x v="2"/>
    <s v="FUR-CH-10002335"/>
    <x v="0"/>
    <x v="1"/>
    <s v="Hon GuestStacker Chair"/>
    <n v="408.00599999999997"/>
    <n v="2"/>
    <n v="72.534400000000005"/>
    <x v="0"/>
    <x v="0"/>
  </r>
  <r>
    <s v="CA-2014-140403"/>
    <x v="567"/>
    <d v="2014-10-10T00:00:00"/>
    <x v="3"/>
    <s v="TN-21040"/>
    <s v="Tanja Norvell"/>
    <x v="2"/>
    <s v="United States"/>
    <x v="249"/>
    <x v="2"/>
    <x v="1"/>
    <s v="FUR-CH-10002774"/>
    <x v="0"/>
    <x v="1"/>
    <s v="Global Deluxe Stacking Chair, Gray"/>
    <n v="122.352"/>
    <n v="3"/>
    <n v="13.7646"/>
    <x v="7"/>
    <x v="1"/>
  </r>
  <r>
    <s v="CA-2017-138464"/>
    <x v="220"/>
    <d v="2017-07-12T00:00:00"/>
    <x v="1"/>
    <s v="VF-21715"/>
    <s v="Vicky Freymann"/>
    <x v="2"/>
    <s v="United States"/>
    <x v="15"/>
    <x v="13"/>
    <x v="1"/>
    <s v="FUR-FU-10003142"/>
    <x v="0"/>
    <x v="3"/>
    <s v="Master Big Foot Doorstop, Beige"/>
    <n v="15.84"/>
    <n v="3"/>
    <n v="4.9104000000000001"/>
    <x v="4"/>
    <x v="3"/>
  </r>
  <r>
    <s v="CA-2015-104129"/>
    <x v="568"/>
    <d v="2015-03-02T00:00:00"/>
    <x v="1"/>
    <s v="ES-14080"/>
    <s v="Erin Smith"/>
    <x v="1"/>
    <s v="United States"/>
    <x v="134"/>
    <x v="38"/>
    <x v="2"/>
    <s v="FUR-TA-10004152"/>
    <x v="0"/>
    <x v="2"/>
    <s v="Barricks 18&quot; x 48&quot; Non-Folding Utility Table with Bottom Storage Shelf"/>
    <n v="493.92"/>
    <n v="7"/>
    <n v="-28.224"/>
    <x v="0"/>
    <x v="11"/>
  </r>
  <r>
    <s v="CA-2015-126557"/>
    <x v="569"/>
    <d v="2015-07-17T00:00:00"/>
    <x v="0"/>
    <s v="RL-19615"/>
    <s v="Rob Lucas"/>
    <x v="0"/>
    <s v="United States"/>
    <x v="9"/>
    <x v="8"/>
    <x v="3"/>
    <s v="FUR-CH-10004477"/>
    <x v="0"/>
    <x v="1"/>
    <s v="Global Push Button Manager's Chair, Indigo"/>
    <n v="383.60700000000003"/>
    <n v="9"/>
    <n v="-5.4801000000000002"/>
    <x v="2"/>
    <x v="3"/>
  </r>
  <r>
    <s v="CA-2015-126557"/>
    <x v="569"/>
    <d v="2015-07-17T00:00:00"/>
    <x v="0"/>
    <s v="RL-19615"/>
    <s v="Rob Lucas"/>
    <x v="0"/>
    <s v="United States"/>
    <x v="9"/>
    <x v="8"/>
    <x v="3"/>
    <s v="FUR-FU-10001861"/>
    <x v="0"/>
    <x v="3"/>
    <s v="Floodlight Indoor Halogen Bulbs, 1 Bulb per Pack, 60 Watts"/>
    <n v="7.76"/>
    <n v="1"/>
    <n v="-2.1339999999999999"/>
    <x v="2"/>
    <x v="3"/>
  </r>
  <r>
    <s v="US-2014-165862"/>
    <x v="570"/>
    <d v="2014-07-17T00:00:00"/>
    <x v="1"/>
    <s v="GK-14620"/>
    <s v="Grace Kelly"/>
    <x v="1"/>
    <s v="United States"/>
    <x v="2"/>
    <x v="2"/>
    <x v="1"/>
    <s v="FUR-TA-10002855"/>
    <x v="0"/>
    <x v="2"/>
    <s v="Bevis Round Conference Table Top &amp; Single Column Base"/>
    <n v="351.21600000000001"/>
    <n v="3"/>
    <n v="4.3902000000000001"/>
    <x v="4"/>
    <x v="3"/>
  </r>
  <r>
    <s v="US-2014-106334"/>
    <x v="421"/>
    <d v="2015-01-02T00:00:00"/>
    <x v="1"/>
    <s v="JF-15490"/>
    <s v="Jeremy Farry"/>
    <x v="0"/>
    <s v="United States"/>
    <x v="28"/>
    <x v="2"/>
    <x v="1"/>
    <s v="FUR-CH-10004886"/>
    <x v="0"/>
    <x v="1"/>
    <s v="Bevis Steel Folding Chairs"/>
    <n v="230.28"/>
    <n v="3"/>
    <n v="23.027999999999999"/>
    <x v="6"/>
    <x v="5"/>
  </r>
  <r>
    <s v="CA-2014-110219"/>
    <x v="571"/>
    <d v="2014-05-08T00:00:00"/>
    <x v="2"/>
    <s v="EB-13870"/>
    <s v="Emily Burns"/>
    <x v="0"/>
    <s v="United States"/>
    <x v="21"/>
    <x v="5"/>
    <x v="3"/>
    <s v="FUR-CH-10001146"/>
    <x v="0"/>
    <x v="1"/>
    <s v="Global Value Mid-Back Manager's Chair, Gray"/>
    <n v="127.869"/>
    <n v="3"/>
    <n v="-9.1334999999999997"/>
    <x v="0"/>
    <x v="7"/>
  </r>
  <r>
    <s v="CA-2015-118871"/>
    <x v="463"/>
    <d v="2015-12-09T00:00:00"/>
    <x v="0"/>
    <s v="HM-14860"/>
    <s v="Harry Marie"/>
    <x v="1"/>
    <s v="United States"/>
    <x v="2"/>
    <x v="2"/>
    <x v="1"/>
    <s v="FUR-FU-10002111"/>
    <x v="0"/>
    <x v="3"/>
    <s v="Master Caster Door Stop, Large Brown"/>
    <n v="36.4"/>
    <n v="5"/>
    <n v="13.832000000000001"/>
    <x v="2"/>
    <x v="5"/>
  </r>
  <r>
    <s v="CA-2017-129490"/>
    <x v="572"/>
    <d v="2017-09-30T00:00:00"/>
    <x v="1"/>
    <s v="SJ-20125"/>
    <s v="Sanjit Jacobs"/>
    <x v="2"/>
    <s v="United States"/>
    <x v="232"/>
    <x v="1"/>
    <x v="0"/>
    <s v="FUR-CH-10003298"/>
    <x v="0"/>
    <x v="1"/>
    <s v="Office Star - Contemporary Task Swivel chair with Loop Arms, Charcoal"/>
    <n v="419.13600000000002"/>
    <n v="4"/>
    <n v="-57.6312"/>
    <x v="4"/>
    <x v="4"/>
  </r>
  <r>
    <s v="CA-2014-169460"/>
    <x v="573"/>
    <d v="2014-04-21T00:00:00"/>
    <x v="0"/>
    <s v="NF-18595"/>
    <s v="Nicole Fjeld"/>
    <x v="2"/>
    <s v="United States"/>
    <x v="124"/>
    <x v="2"/>
    <x v="1"/>
    <s v="FUR-FU-10004017"/>
    <x v="0"/>
    <x v="3"/>
    <s v="Executive Impressions 13&quot; Chairman Wall Clock"/>
    <n v="76.14"/>
    <n v="3"/>
    <n v="26.649000000000001"/>
    <x v="3"/>
    <x v="6"/>
  </r>
  <r>
    <s v="CA-2016-139395"/>
    <x v="574"/>
    <d v="2016-12-18T00:00:00"/>
    <x v="1"/>
    <s v="MG-17650"/>
    <s v="Matthew Grinstein"/>
    <x v="2"/>
    <s v="United States"/>
    <x v="38"/>
    <x v="17"/>
    <x v="3"/>
    <s v="FUR-FU-10003724"/>
    <x v="0"/>
    <x v="3"/>
    <s v="Westinghouse Clip-On Gooseneck Lamps"/>
    <n v="33.479999999999997"/>
    <n v="4"/>
    <n v="8.7048000000000005"/>
    <x v="6"/>
    <x v="5"/>
  </r>
  <r>
    <s v="CA-2016-120250"/>
    <x v="107"/>
    <d v="2016-09-22T00:00:00"/>
    <x v="2"/>
    <s v="AP-10720"/>
    <s v="Anne Pryor"/>
    <x v="2"/>
    <s v="United States"/>
    <x v="3"/>
    <x v="3"/>
    <x v="2"/>
    <s v="FUR-FU-10003424"/>
    <x v="0"/>
    <x v="3"/>
    <s v="Nu-Dell Oak Frame"/>
    <n v="25.632000000000001"/>
    <n v="3"/>
    <n v="3.8448000000000002"/>
    <x v="0"/>
    <x v="4"/>
  </r>
  <r>
    <s v="US-2017-163790"/>
    <x v="575"/>
    <d v="2017-11-04T00:00:00"/>
    <x v="0"/>
    <s v="NL-18310"/>
    <s v="Nancy Lomonaco"/>
    <x v="2"/>
    <s v="United States"/>
    <x v="250"/>
    <x v="2"/>
    <x v="1"/>
    <s v="FUR-FU-10002508"/>
    <x v="0"/>
    <x v="3"/>
    <s v="Document Clip Frames"/>
    <n v="25.02"/>
    <n v="3"/>
    <n v="10.5084"/>
    <x v="3"/>
    <x v="0"/>
  </r>
  <r>
    <s v="CA-2016-129868"/>
    <x v="576"/>
    <d v="2016-12-31T00:00:00"/>
    <x v="1"/>
    <s v="MC-18130"/>
    <s v="Mike Caudle"/>
    <x v="1"/>
    <s v="United States"/>
    <x v="2"/>
    <x v="2"/>
    <x v="1"/>
    <s v="FUR-CH-10003535"/>
    <x v="0"/>
    <x v="1"/>
    <s v="Global Armless Task Chair, Royal Blue"/>
    <n v="146.352"/>
    <n v="3"/>
    <n v="-5.4882"/>
    <x v="2"/>
    <x v="5"/>
  </r>
  <r>
    <s v="CA-2016-129868"/>
    <x v="576"/>
    <d v="2016-12-31T00:00:00"/>
    <x v="1"/>
    <s v="MC-18130"/>
    <s v="Mike Caudle"/>
    <x v="1"/>
    <s v="United States"/>
    <x v="2"/>
    <x v="2"/>
    <x v="1"/>
    <s v="FUR-TA-10003473"/>
    <x v="0"/>
    <x v="2"/>
    <s v="Bretford Rectangular Conference Table Tops"/>
    <n v="902.71199999999999"/>
    <n v="3"/>
    <n v="33.851700000000001"/>
    <x v="2"/>
    <x v="5"/>
  </r>
  <r>
    <s v="CA-2015-146948"/>
    <x v="370"/>
    <d v="2015-07-20T00:00:00"/>
    <x v="1"/>
    <s v="MG-17890"/>
    <s v="Michael Granlund"/>
    <x v="2"/>
    <s v="United States"/>
    <x v="237"/>
    <x v="32"/>
    <x v="2"/>
    <s v="FUR-CH-10004853"/>
    <x v="0"/>
    <x v="1"/>
    <s v="Global Manager's Adjustable Task Chair, Storm"/>
    <n v="150.97999999999999"/>
    <n v="1"/>
    <n v="43.784199999999998"/>
    <x v="4"/>
    <x v="3"/>
  </r>
  <r>
    <s v="US-2017-141852"/>
    <x v="17"/>
    <d v="2017-11-14T00:00:00"/>
    <x v="1"/>
    <s v="JE-15745"/>
    <s v="Joel Eaton"/>
    <x v="0"/>
    <s v="United States"/>
    <x v="64"/>
    <x v="2"/>
    <x v="1"/>
    <s v="FUR-FU-10000023"/>
    <x v="0"/>
    <x v="3"/>
    <s v="Eldon Wave Desk Accessories"/>
    <n v="47.12"/>
    <n v="8"/>
    <n v="20.732800000000001"/>
    <x v="2"/>
    <x v="0"/>
  </r>
  <r>
    <s v="CA-2015-117800"/>
    <x v="231"/>
    <d v="2015-09-26T00:00:00"/>
    <x v="1"/>
    <s v="TH-21550"/>
    <s v="Tracy Hopkins"/>
    <x v="2"/>
    <s v="United States"/>
    <x v="114"/>
    <x v="20"/>
    <x v="2"/>
    <s v="FUR-CH-10000785"/>
    <x v="0"/>
    <x v="1"/>
    <s v="Global Ergonomic Managers Chair"/>
    <n v="542.94000000000005"/>
    <n v="3"/>
    <n v="141.1644"/>
    <x v="2"/>
    <x v="4"/>
  </r>
  <r>
    <s v="CA-2017-147228"/>
    <x v="198"/>
    <d v="2017-09-14T00:00:00"/>
    <x v="1"/>
    <s v="SO-20335"/>
    <s v="Sean O'Donnell"/>
    <x v="0"/>
    <s v="United States"/>
    <x v="11"/>
    <x v="9"/>
    <x v="0"/>
    <s v="FUR-FU-10000023"/>
    <x v="0"/>
    <x v="3"/>
    <s v="Eldon Wave Desk Accessories"/>
    <n v="14.135999999999999"/>
    <n v="3"/>
    <n v="4.2408000000000001"/>
    <x v="2"/>
    <x v="4"/>
  </r>
  <r>
    <s v="US-2015-126235"/>
    <x v="233"/>
    <d v="2015-10-15T00:00:00"/>
    <x v="3"/>
    <s v="GA-14725"/>
    <s v="Guy Armstrong"/>
    <x v="0"/>
    <s v="United States"/>
    <x v="189"/>
    <x v="17"/>
    <x v="3"/>
    <s v="FUR-FU-10000719"/>
    <x v="0"/>
    <x v="3"/>
    <s v="DAX Cubicle Frames, 8-1/2 x 11"/>
    <n v="17.14"/>
    <n v="2"/>
    <n v="6.1703999999999999"/>
    <x v="7"/>
    <x v="1"/>
  </r>
  <r>
    <s v="CA-2017-168396"/>
    <x v="309"/>
    <d v="2017-08-08T00:00:00"/>
    <x v="0"/>
    <s v="BD-11725"/>
    <s v="Bruce Degenhardt"/>
    <x v="0"/>
    <s v="United States"/>
    <x v="28"/>
    <x v="2"/>
    <x v="1"/>
    <s v="FUR-FU-10000723"/>
    <x v="0"/>
    <x v="3"/>
    <s v="Deflect-o EconoMat Studded, No Bevel Mat for Low Pile Carpeting"/>
    <n v="123.96"/>
    <n v="3"/>
    <n v="11.1564"/>
    <x v="2"/>
    <x v="10"/>
  </r>
  <r>
    <s v="CA-2015-130456"/>
    <x v="130"/>
    <d v="2015-08-26T00:00:00"/>
    <x v="1"/>
    <s v="DS-13180"/>
    <s v="David Smith"/>
    <x v="1"/>
    <s v="United States"/>
    <x v="28"/>
    <x v="2"/>
    <x v="1"/>
    <s v="FUR-BO-10003893"/>
    <x v="0"/>
    <x v="0"/>
    <s v="Sauder Camden County Collection Library"/>
    <n v="586.39800000000002"/>
    <n v="6"/>
    <n v="34.494"/>
    <x v="2"/>
    <x v="10"/>
  </r>
  <r>
    <s v="CA-2017-130141"/>
    <x v="546"/>
    <d v="2017-10-24T00:00:00"/>
    <x v="0"/>
    <s v="HA-14905"/>
    <s v="Helen Abelman"/>
    <x v="0"/>
    <s v="United States"/>
    <x v="200"/>
    <x v="12"/>
    <x v="1"/>
    <s v="FUR-CH-10000749"/>
    <x v="0"/>
    <x v="1"/>
    <s v="Office Star - Ergonomic Mid Back Chair with 2-Way Adjustable Arms"/>
    <n v="579.13599999999997"/>
    <n v="4"/>
    <n v="-28.956800000000001"/>
    <x v="3"/>
    <x v="1"/>
  </r>
  <r>
    <s v="CA-2016-143910"/>
    <x v="577"/>
    <d v="2016-08-16T00:00:00"/>
    <x v="1"/>
    <s v="BC-11125"/>
    <s v="Becky Castell"/>
    <x v="2"/>
    <s v="United States"/>
    <x v="13"/>
    <x v="7"/>
    <x v="2"/>
    <s v="FUR-CH-10000225"/>
    <x v="0"/>
    <x v="1"/>
    <s v="Global Geo Office Task Chair, Gray"/>
    <n v="145.76400000000001"/>
    <n v="2"/>
    <n v="-8.0980000000000008"/>
    <x v="4"/>
    <x v="10"/>
  </r>
  <r>
    <s v="CA-2016-139556"/>
    <x v="578"/>
    <d v="2016-05-01T00:00:00"/>
    <x v="1"/>
    <s v="DB-13360"/>
    <s v="Dennis Bolton"/>
    <x v="2"/>
    <s v="United States"/>
    <x v="13"/>
    <x v="7"/>
    <x v="2"/>
    <s v="FUR-CH-10004983"/>
    <x v="0"/>
    <x v="1"/>
    <s v="Office Star - Mid Back Dual function Ergonomic High Back Chair with 2-Way Adjustable Arms"/>
    <n v="434.64600000000002"/>
    <n v="3"/>
    <n v="62.782200000000003"/>
    <x v="2"/>
    <x v="6"/>
  </r>
  <r>
    <s v="CA-2015-112130"/>
    <x v="496"/>
    <d v="2015-05-07T00:00:00"/>
    <x v="1"/>
    <s v="SV-20785"/>
    <s v="Stewart Visinsky"/>
    <x v="0"/>
    <s v="United States"/>
    <x v="3"/>
    <x v="3"/>
    <x v="2"/>
    <s v="FUR-CH-10002965"/>
    <x v="0"/>
    <x v="1"/>
    <s v="Global Leather Highback Executive Chair with Pneumatic Height Adjustment, Black"/>
    <n v="844.11599999999999"/>
    <n v="6"/>
    <n v="-36.176400000000001"/>
    <x v="4"/>
    <x v="7"/>
  </r>
  <r>
    <s v="CA-2016-116547"/>
    <x v="579"/>
    <d v="2016-01-17T00:00:00"/>
    <x v="1"/>
    <s v="KB-16585"/>
    <s v="Ken Black"/>
    <x v="1"/>
    <s v="United States"/>
    <x v="15"/>
    <x v="13"/>
    <x v="1"/>
    <s v="FUR-FU-10000076"/>
    <x v="0"/>
    <x v="3"/>
    <s v="24-Hour Round Wall Clock"/>
    <n v="79.92"/>
    <n v="4"/>
    <n v="34.365600000000001"/>
    <x v="1"/>
    <x v="8"/>
  </r>
  <r>
    <s v="US-2017-133200"/>
    <x v="580"/>
    <d v="2017-05-11T00:00:00"/>
    <x v="1"/>
    <s v="DB-13555"/>
    <s v="Dorothy Badders"/>
    <x v="1"/>
    <s v="United States"/>
    <x v="50"/>
    <x v="5"/>
    <x v="3"/>
    <s v="FUR-BO-10001601"/>
    <x v="0"/>
    <x v="0"/>
    <s v="Sauder Mission Library with Doors, Fruitwood Finish"/>
    <n v="623.46479999999997"/>
    <n v="7"/>
    <n v="-119.1918"/>
    <x v="2"/>
    <x v="7"/>
  </r>
  <r>
    <s v="CA-2016-133550"/>
    <x v="581"/>
    <d v="2016-08-06T00:00:00"/>
    <x v="1"/>
    <s v="KL-16645"/>
    <s v="Ken Lonsdale"/>
    <x v="0"/>
    <s v="United States"/>
    <x v="25"/>
    <x v="17"/>
    <x v="3"/>
    <s v="FUR-FU-10002918"/>
    <x v="0"/>
    <x v="3"/>
    <s v="Eldon ClusterMat Chair Mat with Cordless Antistatic Protection"/>
    <n v="272.94"/>
    <n v="3"/>
    <n v="30.023399999999999"/>
    <x v="6"/>
    <x v="3"/>
  </r>
  <r>
    <s v="CA-2017-139416"/>
    <x v="582"/>
    <d v="2017-03-29T00:00:00"/>
    <x v="0"/>
    <s v="AG-10270"/>
    <s v="Alejandro Grove"/>
    <x v="0"/>
    <s v="United States"/>
    <x v="3"/>
    <x v="3"/>
    <x v="2"/>
    <s v="FUR-FU-10003832"/>
    <x v="0"/>
    <x v="3"/>
    <s v="Eldon Expressions Punched Metal &amp; Wood Desk Accessories, Black &amp; Cherry"/>
    <n v="15.007999999999999"/>
    <n v="2"/>
    <n v="1.5007999999999999"/>
    <x v="3"/>
    <x v="9"/>
  </r>
  <r>
    <s v="CA-2016-159912"/>
    <x v="583"/>
    <d v="2016-09-03T00:00:00"/>
    <x v="1"/>
    <s v="GB-14530"/>
    <s v="George Bell"/>
    <x v="1"/>
    <s v="United States"/>
    <x v="3"/>
    <x v="3"/>
    <x v="2"/>
    <s v="FUR-TA-10004152"/>
    <x v="0"/>
    <x v="2"/>
    <s v="Barricks 18&quot; x 48&quot; Non-Folding Utility Table with Bottom Storage Shelf"/>
    <n v="241.92"/>
    <n v="4"/>
    <n v="-56.448"/>
    <x v="2"/>
    <x v="10"/>
  </r>
  <r>
    <s v="CA-2016-159912"/>
    <x v="583"/>
    <d v="2016-09-03T00:00:00"/>
    <x v="1"/>
    <s v="GB-14530"/>
    <s v="George Bell"/>
    <x v="1"/>
    <s v="United States"/>
    <x v="3"/>
    <x v="3"/>
    <x v="2"/>
    <s v="FUR-BO-10002853"/>
    <x v="0"/>
    <x v="0"/>
    <s v="O'Sullivan 5-Shelf Heavy-Duty Bookcases"/>
    <n v="163.88"/>
    <n v="4"/>
    <n v="-81.94"/>
    <x v="2"/>
    <x v="10"/>
  </r>
  <r>
    <s v="CA-2014-138681"/>
    <x v="191"/>
    <d v="2014-12-22T00:00:00"/>
    <x v="2"/>
    <s v="CT-11995"/>
    <s v="Carol Triggs"/>
    <x v="0"/>
    <s v="United States"/>
    <x v="104"/>
    <x v="22"/>
    <x v="1"/>
    <s v="FUR-FU-10001876"/>
    <x v="0"/>
    <x v="3"/>
    <s v="Computer Room Manger, 14&quot;"/>
    <n v="51.968000000000004"/>
    <n v="2"/>
    <n v="10.393599999999999"/>
    <x v="3"/>
    <x v="5"/>
  </r>
  <r>
    <s v="CA-2014-138681"/>
    <x v="191"/>
    <d v="2014-12-22T00:00:00"/>
    <x v="2"/>
    <s v="CT-11995"/>
    <s v="Carol Triggs"/>
    <x v="0"/>
    <s v="United States"/>
    <x v="104"/>
    <x v="22"/>
    <x v="1"/>
    <s v="FUR-CH-10004860"/>
    <x v="0"/>
    <x v="1"/>
    <s v="Global Low Back Tilter Chair"/>
    <n v="242.352"/>
    <n v="3"/>
    <n v="-42.4116"/>
    <x v="3"/>
    <x v="5"/>
  </r>
  <r>
    <s v="US-2015-138121"/>
    <x v="584"/>
    <d v="2015-12-17T00:00:00"/>
    <x v="3"/>
    <s v="JL-15835"/>
    <s v="John Lee"/>
    <x v="0"/>
    <s v="United States"/>
    <x v="25"/>
    <x v="17"/>
    <x v="3"/>
    <s v="FUR-CH-10003846"/>
    <x v="0"/>
    <x v="1"/>
    <s v="Hon Valutask Swivel Chairs"/>
    <n v="302.94"/>
    <n v="3"/>
    <n v="48.470399999999998"/>
    <x v="7"/>
    <x v="5"/>
  </r>
  <r>
    <s v="US-2015-138121"/>
    <x v="584"/>
    <d v="2015-12-17T00:00:00"/>
    <x v="3"/>
    <s v="JL-15835"/>
    <s v="John Lee"/>
    <x v="0"/>
    <s v="United States"/>
    <x v="25"/>
    <x v="17"/>
    <x v="3"/>
    <s v="FUR-CH-10004875"/>
    <x v="0"/>
    <x v="1"/>
    <s v="Harbour Creations 67200 Series Stacking Chairs"/>
    <n v="142.36000000000001"/>
    <n v="2"/>
    <n v="38.437199999999997"/>
    <x v="7"/>
    <x v="5"/>
  </r>
  <r>
    <s v="US-2015-138121"/>
    <x v="584"/>
    <d v="2015-12-17T00:00:00"/>
    <x v="3"/>
    <s v="JL-15835"/>
    <s v="John Lee"/>
    <x v="0"/>
    <s v="United States"/>
    <x v="25"/>
    <x v="17"/>
    <x v="3"/>
    <s v="FUR-CH-10003817"/>
    <x v="0"/>
    <x v="1"/>
    <s v="Global Value Steno Chair, Gray"/>
    <n v="546.66"/>
    <n v="9"/>
    <n v="136.66499999999999"/>
    <x v="7"/>
    <x v="5"/>
  </r>
  <r>
    <s v="US-2015-138121"/>
    <x v="584"/>
    <d v="2015-12-17T00:00:00"/>
    <x v="3"/>
    <s v="JL-15835"/>
    <s v="John Lee"/>
    <x v="0"/>
    <s v="United States"/>
    <x v="25"/>
    <x v="17"/>
    <x v="3"/>
    <s v="FUR-FU-10002116"/>
    <x v="0"/>
    <x v="3"/>
    <s v="Tenex Carpeted, Granite-Look or Clear Contemporary Contour Shape Chair Mats"/>
    <n v="212.13"/>
    <n v="3"/>
    <n v="14.8491"/>
    <x v="7"/>
    <x v="5"/>
  </r>
  <r>
    <s v="CA-2017-140298"/>
    <x v="585"/>
    <d v="2017-05-17T00:00:00"/>
    <x v="1"/>
    <s v="JK-16120"/>
    <s v="Julie Kriz"/>
    <x v="2"/>
    <s v="United States"/>
    <x v="198"/>
    <x v="5"/>
    <x v="3"/>
    <s v="FUR-FU-10001967"/>
    <x v="0"/>
    <x v="3"/>
    <s v="Telescoping Adjustable Floor Lamp"/>
    <n v="7.9960000000000004"/>
    <n v="1"/>
    <n v="-6.9965000000000002"/>
    <x v="6"/>
    <x v="7"/>
  </r>
  <r>
    <s v="CA-2016-158435"/>
    <x v="586"/>
    <d v="2016-05-18T00:00:00"/>
    <x v="2"/>
    <s v="AG-10900"/>
    <s v="Arthur Gainer"/>
    <x v="0"/>
    <s v="United States"/>
    <x v="251"/>
    <x v="19"/>
    <x v="2"/>
    <s v="FUR-FU-10003975"/>
    <x v="0"/>
    <x v="3"/>
    <s v="Eldon Advantage Chair Mats for Low to Medium Pile Carpets"/>
    <n v="173.24"/>
    <n v="4"/>
    <n v="17.324000000000002"/>
    <x v="5"/>
    <x v="7"/>
  </r>
  <r>
    <s v="CA-2014-108273"/>
    <x v="439"/>
    <d v="2014-12-21T00:00:00"/>
    <x v="1"/>
    <s v="EJ-13720"/>
    <s v="Ed Jacobs"/>
    <x v="0"/>
    <s v="United States"/>
    <x v="156"/>
    <x v="5"/>
    <x v="3"/>
    <s v="FUR-FU-10002116"/>
    <x v="0"/>
    <x v="3"/>
    <s v="Tenex Carpeted, Granite-Look or Clear Contemporary Contour Shape Chair Mats"/>
    <n v="56.567999999999998"/>
    <n v="2"/>
    <n v="-74.952600000000004"/>
    <x v="2"/>
    <x v="5"/>
  </r>
  <r>
    <s v="CA-2017-143126"/>
    <x v="587"/>
    <d v="2017-12-07T00:00:00"/>
    <x v="0"/>
    <s v="CM-12655"/>
    <s v="Corinna Mitchell"/>
    <x v="2"/>
    <s v="United States"/>
    <x v="15"/>
    <x v="13"/>
    <x v="1"/>
    <s v="FUR-TA-10002958"/>
    <x v="0"/>
    <x v="2"/>
    <s v="Bevis Oval Conference Table, Walnut"/>
    <n v="521.96"/>
    <n v="2"/>
    <n v="88.733199999999997"/>
    <x v="4"/>
    <x v="5"/>
  </r>
  <r>
    <s v="CA-2014-106229"/>
    <x v="588"/>
    <d v="2014-06-11T00:00:00"/>
    <x v="0"/>
    <s v="NR-18550"/>
    <s v="Nick Radford"/>
    <x v="0"/>
    <s v="United States"/>
    <x v="14"/>
    <x v="8"/>
    <x v="3"/>
    <s v="FUR-TA-10002041"/>
    <x v="0"/>
    <x v="2"/>
    <s v="Bevis Round Conference Table Top, X-Base"/>
    <n v="268.935"/>
    <n v="3"/>
    <n v="-209.76929999999999"/>
    <x v="4"/>
    <x v="2"/>
  </r>
  <r>
    <s v="CA-2014-119151"/>
    <x v="306"/>
    <d v="2014-11-29T00:00:00"/>
    <x v="0"/>
    <s v="MP-18175"/>
    <s v="Mike Pelletier"/>
    <x v="2"/>
    <s v="United States"/>
    <x v="13"/>
    <x v="7"/>
    <x v="2"/>
    <s v="FUR-BO-10003159"/>
    <x v="0"/>
    <x v="0"/>
    <s v="Sauder Camden County Collection Libraries, Planked Cherry Finish"/>
    <n v="275.952"/>
    <n v="3"/>
    <n v="-37.943399999999997"/>
    <x v="4"/>
    <x v="0"/>
  </r>
  <r>
    <s v="US-2015-103996"/>
    <x v="165"/>
    <d v="2015-03-31T00:00:00"/>
    <x v="0"/>
    <s v="RB-19435"/>
    <s v="Richard Bierner"/>
    <x v="0"/>
    <s v="United States"/>
    <x v="53"/>
    <x v="2"/>
    <x v="1"/>
    <s v="FUR-FU-10004586"/>
    <x v="0"/>
    <x v="3"/>
    <s v="G.E. Longer-Life Indoor Recessed Floodlight Bulbs"/>
    <n v="19.920000000000002"/>
    <n v="3"/>
    <n v="9.5616000000000003"/>
    <x v="3"/>
    <x v="9"/>
  </r>
  <r>
    <s v="CA-2016-120530"/>
    <x v="589"/>
    <d v="2016-04-12T00:00:00"/>
    <x v="1"/>
    <s v="Dl-13600"/>
    <s v="Dorris liebe"/>
    <x v="1"/>
    <s v="United States"/>
    <x v="13"/>
    <x v="7"/>
    <x v="2"/>
    <s v="FUR-CH-10000454"/>
    <x v="0"/>
    <x v="1"/>
    <s v="Hon Deluxe Fabric Upholstered Stacking Chairs, Rounded Back"/>
    <n v="658.74599999999998"/>
    <n v="3"/>
    <n v="146.38800000000001"/>
    <x v="2"/>
    <x v="6"/>
  </r>
  <r>
    <s v="CA-2015-105725"/>
    <x v="590"/>
    <d v="2015-02-24T00:00:00"/>
    <x v="1"/>
    <s v="GT-14755"/>
    <s v="Guy Thornton"/>
    <x v="0"/>
    <s v="United States"/>
    <x v="62"/>
    <x v="2"/>
    <x v="1"/>
    <s v="FUR-TA-10001676"/>
    <x v="0"/>
    <x v="2"/>
    <s v="Hon 61000 Series Interactive Training Tables"/>
    <n v="35.543999999999997"/>
    <n v="1"/>
    <n v="-0.88859999999999995"/>
    <x v="6"/>
    <x v="11"/>
  </r>
  <r>
    <s v="CA-2016-120005"/>
    <x v="492"/>
    <d v="2016-03-03T00:00:00"/>
    <x v="3"/>
    <s v="TS-21160"/>
    <s v="Theresa Swint"/>
    <x v="1"/>
    <s v="United States"/>
    <x v="28"/>
    <x v="2"/>
    <x v="1"/>
    <s v="FUR-FU-10000672"/>
    <x v="0"/>
    <x v="3"/>
    <s v="Executive Impressions 10&quot; Spectator Wall Clock"/>
    <n v="35.28"/>
    <n v="3"/>
    <n v="11.995200000000001"/>
    <x v="7"/>
    <x v="9"/>
  </r>
  <r>
    <s v="CA-2017-103499"/>
    <x v="93"/>
    <d v="2017-11-24T00:00:00"/>
    <x v="1"/>
    <s v="ES-14020"/>
    <s v="Erica Smith"/>
    <x v="0"/>
    <s v="United States"/>
    <x v="38"/>
    <x v="9"/>
    <x v="0"/>
    <s v="FUR-CH-10001482"/>
    <x v="0"/>
    <x v="1"/>
    <s v="Office Star - Mesh Screen back chair with Vinyl seat"/>
    <n v="209.56800000000001"/>
    <n v="2"/>
    <n v="-23.5764"/>
    <x v="4"/>
    <x v="0"/>
  </r>
  <r>
    <s v="CA-2017-119746"/>
    <x v="68"/>
    <d v="2017-11-27T00:00:00"/>
    <x v="1"/>
    <s v="CM-12385"/>
    <s v="Christopher Martinez"/>
    <x v="0"/>
    <s v="United States"/>
    <x v="9"/>
    <x v="8"/>
    <x v="3"/>
    <s v="FUR-FU-10004909"/>
    <x v="0"/>
    <x v="3"/>
    <s v="Contemporary Wood/Metal Frame"/>
    <n v="6.4640000000000004"/>
    <n v="1"/>
    <n v="-4.04"/>
    <x v="4"/>
    <x v="0"/>
  </r>
  <r>
    <s v="CA-2014-150301"/>
    <x v="591"/>
    <d v="2014-07-10T00:00:00"/>
    <x v="2"/>
    <s v="MH-18025"/>
    <s v="Michelle Huthwaite"/>
    <x v="0"/>
    <s v="United States"/>
    <x v="252"/>
    <x v="7"/>
    <x v="2"/>
    <s v="FUR-CH-10002647"/>
    <x v="0"/>
    <x v="1"/>
    <s v="Situations Contoured Folding Chairs, 4/Set"/>
    <n v="63.881999999999998"/>
    <n v="1"/>
    <n v="10.647"/>
    <x v="3"/>
    <x v="3"/>
  </r>
  <r>
    <s v="CA-2014-159310"/>
    <x v="592"/>
    <d v="2014-11-12T00:00:00"/>
    <x v="1"/>
    <s v="SC-20725"/>
    <s v="Steven Cartwright"/>
    <x v="0"/>
    <s v="United States"/>
    <x v="6"/>
    <x v="5"/>
    <x v="3"/>
    <s v="FUR-CH-10002758"/>
    <x v="0"/>
    <x v="1"/>
    <s v="Hon Deluxe Fabric Upholstered Stacking Chairs, Squared Back"/>
    <n v="683.14400000000001"/>
    <n v="4"/>
    <n v="0"/>
    <x v="2"/>
    <x v="0"/>
  </r>
  <r>
    <s v="CA-2015-104346"/>
    <x v="593"/>
    <d v="2015-12-16T00:00:00"/>
    <x v="1"/>
    <s v="IM-15070"/>
    <s v="Irene Maddox"/>
    <x v="0"/>
    <s v="United States"/>
    <x v="30"/>
    <x v="12"/>
    <x v="1"/>
    <s v="FUR-BO-10003450"/>
    <x v="0"/>
    <x v="0"/>
    <s v="Bush Westfield Collection Bookcases, Dark Cherry Finish"/>
    <n v="69.575999999999993"/>
    <n v="4"/>
    <n v="-143.79040000000001"/>
    <x v="2"/>
    <x v="5"/>
  </r>
  <r>
    <s v="CA-2015-104346"/>
    <x v="593"/>
    <d v="2015-12-16T00:00:00"/>
    <x v="1"/>
    <s v="IM-15070"/>
    <s v="Irene Maddox"/>
    <x v="0"/>
    <s v="United States"/>
    <x v="30"/>
    <x v="12"/>
    <x v="1"/>
    <s v="FUR-FU-10002456"/>
    <x v="0"/>
    <x v="3"/>
    <s v="Master Caster Door Stop, Large Neon Orange"/>
    <n v="52.415999999999997"/>
    <n v="9"/>
    <n v="15.069599999999999"/>
    <x v="2"/>
    <x v="5"/>
  </r>
  <r>
    <s v="CA-2015-104346"/>
    <x v="593"/>
    <d v="2015-12-16T00:00:00"/>
    <x v="1"/>
    <s v="IM-15070"/>
    <s v="Irene Maddox"/>
    <x v="0"/>
    <s v="United States"/>
    <x v="30"/>
    <x v="12"/>
    <x v="1"/>
    <s v="FUR-FU-10001473"/>
    <x v="0"/>
    <x v="3"/>
    <s v="DAX Wood Document Frame"/>
    <n v="54.92"/>
    <n v="5"/>
    <n v="10.984"/>
    <x v="2"/>
    <x v="5"/>
  </r>
  <r>
    <s v="CA-2015-104346"/>
    <x v="593"/>
    <d v="2015-12-16T00:00:00"/>
    <x v="1"/>
    <s v="IM-15070"/>
    <s v="Irene Maddox"/>
    <x v="0"/>
    <s v="United States"/>
    <x v="30"/>
    <x v="12"/>
    <x v="1"/>
    <s v="FUR-TA-10000849"/>
    <x v="0"/>
    <x v="2"/>
    <s v="Bevis Rectangular Conference Tables"/>
    <n v="364.95"/>
    <n v="5"/>
    <n v="-248.166"/>
    <x v="2"/>
    <x v="5"/>
  </r>
  <r>
    <s v="CA-2015-144722"/>
    <x v="253"/>
    <d v="2015-03-23T00:00:00"/>
    <x v="1"/>
    <s v="MF-18250"/>
    <s v="Monica Federle"/>
    <x v="1"/>
    <s v="United States"/>
    <x v="2"/>
    <x v="2"/>
    <x v="1"/>
    <s v="FUR-FU-10001215"/>
    <x v="0"/>
    <x v="3"/>
    <s v="Howard Miller 11-1/2&quot; Diameter Brentwood Wall Clock"/>
    <n v="43.13"/>
    <n v="1"/>
    <n v="18.114599999999999"/>
    <x v="1"/>
    <x v="9"/>
  </r>
  <r>
    <s v="US-2016-148901"/>
    <x v="326"/>
    <d v="2016-05-19T00:00:00"/>
    <x v="1"/>
    <s v="MK-17905"/>
    <s v="Michael Kennedy"/>
    <x v="1"/>
    <s v="United States"/>
    <x v="51"/>
    <x v="1"/>
    <x v="0"/>
    <s v="FUR-FU-10002396"/>
    <x v="0"/>
    <x v="3"/>
    <s v="DAX Copper Panel Document Frame, 5 x 7 Size"/>
    <n v="30.192"/>
    <n v="3"/>
    <n v="8.3027999999999995"/>
    <x v="2"/>
    <x v="7"/>
  </r>
  <r>
    <s v="CA-2017-136364"/>
    <x v="594"/>
    <d v="2017-07-17T00:00:00"/>
    <x v="0"/>
    <s v="MH-17455"/>
    <s v="Mark Hamilton"/>
    <x v="0"/>
    <s v="United States"/>
    <x v="3"/>
    <x v="3"/>
    <x v="2"/>
    <s v="FUR-FU-10002501"/>
    <x v="0"/>
    <x v="3"/>
    <s v="Nu-Dell Executive Frame"/>
    <n v="91.007999999999996"/>
    <n v="9"/>
    <n v="19.339200000000002"/>
    <x v="4"/>
    <x v="3"/>
  </r>
  <r>
    <s v="CA-2016-121370"/>
    <x v="566"/>
    <d v="2016-11-19T00:00:00"/>
    <x v="0"/>
    <s v="EB-14110"/>
    <s v="Eugene Barchas"/>
    <x v="0"/>
    <s v="United States"/>
    <x v="3"/>
    <x v="3"/>
    <x v="2"/>
    <s v="FUR-CH-10000785"/>
    <x v="0"/>
    <x v="1"/>
    <s v="Global Ergonomic Managers Chair"/>
    <n v="380.05799999999999"/>
    <n v="3"/>
    <n v="-21.717600000000001"/>
    <x v="2"/>
    <x v="0"/>
  </r>
  <r>
    <s v="CA-2016-121370"/>
    <x v="566"/>
    <d v="2016-11-19T00:00:00"/>
    <x v="0"/>
    <s v="EB-14110"/>
    <s v="Eugene Barchas"/>
    <x v="0"/>
    <s v="United States"/>
    <x v="3"/>
    <x v="3"/>
    <x v="2"/>
    <s v="FUR-FU-10002813"/>
    <x v="0"/>
    <x v="3"/>
    <s v="DAX Contemporary Wood Frame with Silver Metal Mat, Desktop, 11 x 14 Size"/>
    <n v="48.576000000000001"/>
    <n v="3"/>
    <n v="9.7151999999999994"/>
    <x v="2"/>
    <x v="0"/>
  </r>
  <r>
    <s v="CA-2016-140018"/>
    <x v="431"/>
    <d v="2016-11-26T00:00:00"/>
    <x v="1"/>
    <s v="CK-12205"/>
    <s v="Chloris Kastensmidt"/>
    <x v="0"/>
    <s v="United States"/>
    <x v="29"/>
    <x v="15"/>
    <x v="2"/>
    <s v="FUR-CH-10003817"/>
    <x v="0"/>
    <x v="1"/>
    <s v="Global Value Steno Chair, Gray"/>
    <n v="127.554"/>
    <n v="3"/>
    <n v="-9.1110000000000007"/>
    <x v="2"/>
    <x v="0"/>
  </r>
  <r>
    <s v="CA-2016-140018"/>
    <x v="431"/>
    <d v="2016-11-26T00:00:00"/>
    <x v="1"/>
    <s v="CK-12205"/>
    <s v="Chloris Kastensmidt"/>
    <x v="0"/>
    <s v="United States"/>
    <x v="29"/>
    <x v="15"/>
    <x v="2"/>
    <s v="FUR-FU-10001876"/>
    <x v="0"/>
    <x v="3"/>
    <s v="Computer Room Manger, 14&quot;"/>
    <n v="77.951999999999998"/>
    <n v="3"/>
    <n v="15.590400000000001"/>
    <x v="2"/>
    <x v="0"/>
  </r>
  <r>
    <s v="CA-2017-154123"/>
    <x v="93"/>
    <d v="2017-11-25T00:00:00"/>
    <x v="1"/>
    <s v="SC-20050"/>
    <s v="Sample Company A"/>
    <x v="2"/>
    <s v="United States"/>
    <x v="0"/>
    <x v="0"/>
    <x v="0"/>
    <s v="FUR-FU-10000629"/>
    <x v="0"/>
    <x v="3"/>
    <s v="9-3/4 Diameter Round Wall Clock"/>
    <n v="27.58"/>
    <n v="2"/>
    <n v="11.583600000000001"/>
    <x v="2"/>
    <x v="0"/>
  </r>
  <r>
    <s v="CA-2014-107818"/>
    <x v="30"/>
    <d v="2014-09-14T00:00:00"/>
    <x v="1"/>
    <s v="MC-17275"/>
    <s v="Marc Crier"/>
    <x v="0"/>
    <s v="United States"/>
    <x v="253"/>
    <x v="13"/>
    <x v="1"/>
    <s v="FUR-CH-10000454"/>
    <x v="0"/>
    <x v="1"/>
    <s v="Hon Deluxe Fabric Upholstered Stacking Chairs, Rounded Back"/>
    <n v="975.92"/>
    <n v="5"/>
    <n v="121.99"/>
    <x v="6"/>
    <x v="4"/>
  </r>
  <r>
    <s v="CA-2014-113320"/>
    <x v="202"/>
    <d v="2014-12-15T00:00:00"/>
    <x v="0"/>
    <s v="LH-17155"/>
    <s v="Logan Haushalter"/>
    <x v="0"/>
    <s v="United States"/>
    <x v="121"/>
    <x v="2"/>
    <x v="1"/>
    <s v="FUR-FU-10004270"/>
    <x v="0"/>
    <x v="3"/>
    <s v="Eldon Image Series Desk Accessories, Burgundy"/>
    <n v="12.54"/>
    <n v="3"/>
    <n v="4.5144000000000002"/>
    <x v="0"/>
    <x v="5"/>
  </r>
  <r>
    <s v="CA-2014-113320"/>
    <x v="202"/>
    <d v="2014-12-15T00:00:00"/>
    <x v="0"/>
    <s v="LH-17155"/>
    <s v="Logan Haushalter"/>
    <x v="0"/>
    <s v="United States"/>
    <x v="121"/>
    <x v="2"/>
    <x v="1"/>
    <s v="FUR-FU-10001706"/>
    <x v="0"/>
    <x v="3"/>
    <s v="Longer-Life Soft White Bulbs"/>
    <n v="9.24"/>
    <n v="3"/>
    <n v="4.4352"/>
    <x v="0"/>
    <x v="5"/>
  </r>
  <r>
    <s v="CA-2015-137526"/>
    <x v="595"/>
    <d v="2015-01-17T00:00:00"/>
    <x v="1"/>
    <s v="PB-19150"/>
    <s v="Philip Brown"/>
    <x v="0"/>
    <s v="United States"/>
    <x v="2"/>
    <x v="2"/>
    <x v="1"/>
    <s v="FUR-FU-10001861"/>
    <x v="0"/>
    <x v="3"/>
    <s v="Floodlight Indoor Halogen Bulbs, 1 Bulb per Pack, 60 Watts"/>
    <n v="77.599999999999994"/>
    <n v="4"/>
    <n v="38.024000000000001"/>
    <x v="4"/>
    <x v="8"/>
  </r>
  <r>
    <s v="CA-2015-137526"/>
    <x v="595"/>
    <d v="2015-01-17T00:00:00"/>
    <x v="1"/>
    <s v="PB-19150"/>
    <s v="Philip Brown"/>
    <x v="0"/>
    <s v="United States"/>
    <x v="2"/>
    <x v="2"/>
    <x v="1"/>
    <s v="FUR-FU-10004845"/>
    <x v="0"/>
    <x v="3"/>
    <s v="Deflect-o EconoMat Nonstudded, No Bevel Mat"/>
    <n v="464.85"/>
    <n v="9"/>
    <n v="92.97"/>
    <x v="4"/>
    <x v="8"/>
  </r>
  <r>
    <s v="CA-2017-122490"/>
    <x v="596"/>
    <d v="2017-11-18T00:00:00"/>
    <x v="1"/>
    <s v="TT-21070"/>
    <s v="Ted Trevino"/>
    <x v="0"/>
    <s v="United States"/>
    <x v="15"/>
    <x v="13"/>
    <x v="1"/>
    <s v="FUR-CH-10001215"/>
    <x v="0"/>
    <x v="1"/>
    <s v="Global Troy Executive Leather Low-Back Tilter"/>
    <n v="2404.7040000000002"/>
    <n v="6"/>
    <n v="150.29400000000001"/>
    <x v="2"/>
    <x v="0"/>
  </r>
  <r>
    <s v="CA-2017-143567"/>
    <x v="575"/>
    <d v="2017-11-05T00:00:00"/>
    <x v="0"/>
    <s v="TB-21175"/>
    <s v="Thomas Boland"/>
    <x v="1"/>
    <s v="United States"/>
    <x v="0"/>
    <x v="0"/>
    <x v="0"/>
    <s v="FUR-CH-10000454"/>
    <x v="0"/>
    <x v="1"/>
    <s v="Hon Deluxe Fabric Upholstered Stacking Chairs, Rounded Back"/>
    <n v="975.92"/>
    <n v="4"/>
    <n v="292.77600000000001"/>
    <x v="0"/>
    <x v="0"/>
  </r>
  <r>
    <s v="CA-2016-163167"/>
    <x v="597"/>
    <d v="2016-12-01T00:00:00"/>
    <x v="0"/>
    <s v="RF-19345"/>
    <s v="Randy Ferguson"/>
    <x v="1"/>
    <s v="United States"/>
    <x v="254"/>
    <x v="24"/>
    <x v="0"/>
    <s v="FUR-CH-10004477"/>
    <x v="0"/>
    <x v="1"/>
    <s v="Global Push Button Manager's Chair, Indigo"/>
    <n v="182.67"/>
    <n v="3"/>
    <n v="52.974299999999999"/>
    <x v="0"/>
    <x v="0"/>
  </r>
  <r>
    <s v="US-2014-122021"/>
    <x v="384"/>
    <d v="2014-10-17T00:00:00"/>
    <x v="2"/>
    <s v="AC-10660"/>
    <s v="Anna Chung"/>
    <x v="0"/>
    <s v="United States"/>
    <x v="255"/>
    <x v="15"/>
    <x v="2"/>
    <s v="FUR-CH-10003761"/>
    <x v="0"/>
    <x v="1"/>
    <s v="Global Italian Leather Office Chair"/>
    <n v="183.37200000000001"/>
    <n v="2"/>
    <n v="-7.8587999999999996"/>
    <x v="3"/>
    <x v="1"/>
  </r>
  <r>
    <s v="US-2014-161613"/>
    <x v="280"/>
    <d v="2014-12-03T00:00:00"/>
    <x v="0"/>
    <s v="MC-17605"/>
    <s v="Matt Connell"/>
    <x v="1"/>
    <s v="United States"/>
    <x v="6"/>
    <x v="5"/>
    <x v="3"/>
    <s v="FUR-CH-10003746"/>
    <x v="0"/>
    <x v="1"/>
    <s v="Hon 4070 Series Pagoda Round Back Stacking Chairs"/>
    <n v="674.05799999999999"/>
    <n v="3"/>
    <n v="-19.258800000000001"/>
    <x v="3"/>
    <x v="5"/>
  </r>
  <r>
    <s v="CA-2017-163125"/>
    <x v="224"/>
    <d v="2017-10-11T00:00:00"/>
    <x v="0"/>
    <s v="MB-17305"/>
    <s v="Maria Bertelson"/>
    <x v="0"/>
    <s v="United States"/>
    <x v="256"/>
    <x v="5"/>
    <x v="3"/>
    <s v="FUR-CH-10001802"/>
    <x v="0"/>
    <x v="1"/>
    <s v="Hon Every-Day Chair Series Swivel Task Chairs"/>
    <n v="254.05799999999999"/>
    <n v="3"/>
    <n v="-32.6646"/>
    <x v="3"/>
    <x v="1"/>
  </r>
  <r>
    <s v="CA-2016-160304"/>
    <x v="598"/>
    <d v="2016-01-07T00:00:00"/>
    <x v="1"/>
    <s v="BM-11575"/>
    <s v="Brendan Murry"/>
    <x v="1"/>
    <s v="United States"/>
    <x v="257"/>
    <x v="32"/>
    <x v="2"/>
    <s v="FUR-BO-10004709"/>
    <x v="0"/>
    <x v="0"/>
    <s v="Bush Westfield Collection Bookcases, Medium Cherry Finish"/>
    <n v="173.94"/>
    <n v="3"/>
    <n v="38.266800000000003"/>
    <x v="2"/>
    <x v="8"/>
  </r>
  <r>
    <s v="CA-2017-117653"/>
    <x v="66"/>
    <d v="2017-10-23T00:00:00"/>
    <x v="1"/>
    <s v="MO-17500"/>
    <s v="Mary O'Rourke"/>
    <x v="0"/>
    <s v="United States"/>
    <x v="9"/>
    <x v="8"/>
    <x v="3"/>
    <s v="FUR-TA-10003008"/>
    <x v="0"/>
    <x v="2"/>
    <s v="Lesro Round Back Collection Coffee Table, End Table"/>
    <n v="91.275000000000006"/>
    <n v="1"/>
    <n v="-67.543499999999995"/>
    <x v="4"/>
    <x v="1"/>
  </r>
  <r>
    <s v="CA-2017-143245"/>
    <x v="451"/>
    <d v="2017-12-06T00:00:00"/>
    <x v="1"/>
    <s v="AD-10180"/>
    <s v="Alan Dominguez"/>
    <x v="2"/>
    <s v="United States"/>
    <x v="130"/>
    <x v="19"/>
    <x v="2"/>
    <s v="FUR-CH-10000155"/>
    <x v="0"/>
    <x v="1"/>
    <s v="Global Comet Stacking Armless Chair"/>
    <n v="897.15"/>
    <n v="3"/>
    <n v="251.202"/>
    <x v="2"/>
    <x v="5"/>
  </r>
  <r>
    <s v="CA-2014-157147"/>
    <x v="424"/>
    <d v="2014-01-18T00:00:00"/>
    <x v="1"/>
    <s v="BD-11605"/>
    <s v="Brian Dahlen"/>
    <x v="0"/>
    <s v="United States"/>
    <x v="28"/>
    <x v="2"/>
    <x v="1"/>
    <s v="FUR-BO-10003034"/>
    <x v="0"/>
    <x v="0"/>
    <s v="O'Sullivan Elevations Bookcase, Cherry Finish"/>
    <n v="333.99900000000002"/>
    <n v="3"/>
    <n v="3.9293999999999998"/>
    <x v="2"/>
    <x v="8"/>
  </r>
  <r>
    <s v="CA-2015-156482"/>
    <x v="599"/>
    <d v="2015-02-13T00:00:00"/>
    <x v="1"/>
    <s v="IL-15100"/>
    <s v="Ivan Liston"/>
    <x v="0"/>
    <s v="United States"/>
    <x v="16"/>
    <x v="14"/>
    <x v="2"/>
    <s v="FUR-CH-10001708"/>
    <x v="0"/>
    <x v="1"/>
    <s v="Office Star - Contemporary Swivel Chair with Padded Adjustable Arms and Flex Back"/>
    <n v="1268.82"/>
    <n v="9"/>
    <n v="266.4522"/>
    <x v="1"/>
    <x v="11"/>
  </r>
  <r>
    <s v="CA-2015-156482"/>
    <x v="599"/>
    <d v="2015-02-13T00:00:00"/>
    <x v="1"/>
    <s v="IL-15100"/>
    <s v="Ivan Liston"/>
    <x v="0"/>
    <s v="United States"/>
    <x v="16"/>
    <x v="14"/>
    <x v="2"/>
    <s v="FUR-BO-10002598"/>
    <x v="0"/>
    <x v="0"/>
    <s v="Hon Metal Bookcases, Putty"/>
    <n v="283.92"/>
    <n v="4"/>
    <n v="82.336799999999997"/>
    <x v="1"/>
    <x v="11"/>
  </r>
  <r>
    <s v="CA-2017-107125"/>
    <x v="152"/>
    <d v="2017-12-02T00:00:00"/>
    <x v="1"/>
    <s v="BD-11320"/>
    <s v="Bill Donatelli"/>
    <x v="0"/>
    <s v="United States"/>
    <x v="2"/>
    <x v="2"/>
    <x v="1"/>
    <s v="FUR-FU-10000732"/>
    <x v="0"/>
    <x v="3"/>
    <s v="Eldon 200 Class Desk Accessories"/>
    <n v="18.84"/>
    <n v="3"/>
    <n v="6.0288000000000004"/>
    <x v="2"/>
    <x v="0"/>
  </r>
  <r>
    <s v="CA-2014-160262"/>
    <x v="2"/>
    <d v="2014-06-13T00:00:00"/>
    <x v="0"/>
    <s v="TS-21205"/>
    <s v="Thomas Seio"/>
    <x v="1"/>
    <s v="United States"/>
    <x v="111"/>
    <x v="34"/>
    <x v="1"/>
    <s v="FUR-FU-10002685"/>
    <x v="0"/>
    <x v="3"/>
    <s v="Executive Impressions 13-1/2&quot; Indoor/Outdoor Wall Clock"/>
    <n v="37.4"/>
    <n v="2"/>
    <n v="14.212"/>
    <x v="4"/>
    <x v="2"/>
  </r>
  <r>
    <s v="CA-2014-156587"/>
    <x v="600"/>
    <d v="2014-03-08T00:00:00"/>
    <x v="2"/>
    <s v="AB-10015"/>
    <s v="Aaron Bergman"/>
    <x v="0"/>
    <s v="United States"/>
    <x v="15"/>
    <x v="13"/>
    <x v="1"/>
    <s v="FUR-CH-10004477"/>
    <x v="0"/>
    <x v="1"/>
    <s v="Global Push Button Manager's Chair, Indigo"/>
    <n v="48.712000000000003"/>
    <n v="1"/>
    <n v="5.4801000000000002"/>
    <x v="5"/>
    <x v="9"/>
  </r>
  <r>
    <s v="CA-2015-122406"/>
    <x v="601"/>
    <d v="2015-08-05T00:00:00"/>
    <x v="0"/>
    <s v="BE-11455"/>
    <s v="Brad Eason"/>
    <x v="2"/>
    <s v="United States"/>
    <x v="134"/>
    <x v="38"/>
    <x v="2"/>
    <s v="FUR-CH-10001973"/>
    <x v="0"/>
    <x v="1"/>
    <s v="Office Star Flex Back Scooter Chair with White Frame"/>
    <n v="110.98"/>
    <n v="1"/>
    <n v="15.5372"/>
    <x v="0"/>
    <x v="10"/>
  </r>
  <r>
    <s v="US-2016-153815"/>
    <x v="24"/>
    <d v="2016-11-09T00:00:00"/>
    <x v="2"/>
    <s v="KL-16555"/>
    <s v="Kelly Lampkin"/>
    <x v="1"/>
    <s v="United States"/>
    <x v="51"/>
    <x v="1"/>
    <x v="0"/>
    <s v="FUR-CH-10000513"/>
    <x v="0"/>
    <x v="1"/>
    <s v="High-Back Leather Manager's Chair"/>
    <n v="207.98400000000001"/>
    <n v="2"/>
    <n v="-28.597799999999999"/>
    <x v="0"/>
    <x v="0"/>
  </r>
  <r>
    <s v="US-2016-153815"/>
    <x v="24"/>
    <d v="2016-11-09T00:00:00"/>
    <x v="2"/>
    <s v="KL-16555"/>
    <s v="Kelly Lampkin"/>
    <x v="1"/>
    <s v="United States"/>
    <x v="51"/>
    <x v="1"/>
    <x v="0"/>
    <s v="FUR-FU-10004090"/>
    <x v="0"/>
    <x v="3"/>
    <s v="Executive Impressions 14&quot; Contract Wall Clock"/>
    <n v="35.567999999999998"/>
    <n v="2"/>
    <n v="5.7797999999999998"/>
    <x v="0"/>
    <x v="0"/>
  </r>
  <r>
    <s v="CA-2016-149279"/>
    <x v="602"/>
    <d v="2016-04-28T00:00:00"/>
    <x v="1"/>
    <s v="CL-12700"/>
    <s v="Craig Leslie"/>
    <x v="2"/>
    <s v="United States"/>
    <x v="30"/>
    <x v="12"/>
    <x v="1"/>
    <s v="FUR-CH-10004287"/>
    <x v="0"/>
    <x v="1"/>
    <s v="SAFCO Arco Folding Chair"/>
    <n v="1325.76"/>
    <n v="6"/>
    <n v="149.148"/>
    <x v="4"/>
    <x v="6"/>
  </r>
  <r>
    <s v="CA-2015-153038"/>
    <x v="603"/>
    <d v="2015-12-25T00:00:00"/>
    <x v="1"/>
    <s v="RB-19645"/>
    <s v="Robert Barroso"/>
    <x v="1"/>
    <s v="United States"/>
    <x v="10"/>
    <x v="9"/>
    <x v="0"/>
    <s v="FUR-FU-10000221"/>
    <x v="0"/>
    <x v="3"/>
    <s v="Master Caster Door Stop, Brown"/>
    <n v="20.32"/>
    <n v="5"/>
    <n v="3.556"/>
    <x v="1"/>
    <x v="5"/>
  </r>
  <r>
    <s v="US-2017-139647"/>
    <x v="585"/>
    <d v="2017-05-13T00:00:00"/>
    <x v="2"/>
    <s v="TS-21370"/>
    <s v="Todd Sumrall"/>
    <x v="1"/>
    <s v="United States"/>
    <x v="43"/>
    <x v="22"/>
    <x v="1"/>
    <s v="FUR-BO-10004467"/>
    <x v="0"/>
    <x v="0"/>
    <s v="Bestar Classic Bookcase"/>
    <n v="209.97900000000001"/>
    <n v="7"/>
    <n v="-356.96429999999998"/>
    <x v="3"/>
    <x v="7"/>
  </r>
  <r>
    <s v="CA-2014-153850"/>
    <x v="168"/>
    <d v="2014-11-29T00:00:00"/>
    <x v="1"/>
    <s v="TH-21100"/>
    <s v="Thea Hendricks"/>
    <x v="0"/>
    <s v="United States"/>
    <x v="219"/>
    <x v="15"/>
    <x v="2"/>
    <s v="FUR-FU-10002960"/>
    <x v="0"/>
    <x v="3"/>
    <s v="Eldon 200 Class Desk Accessories, Burgundy"/>
    <n v="35.167999999999999"/>
    <n v="7"/>
    <n v="9.6712000000000007"/>
    <x v="2"/>
    <x v="0"/>
  </r>
  <r>
    <s v="CA-2014-127558"/>
    <x v="604"/>
    <d v="2014-11-18T00:00:00"/>
    <x v="2"/>
    <s v="SS-20410"/>
    <s v="Shahid Shariari"/>
    <x v="0"/>
    <s v="United States"/>
    <x v="2"/>
    <x v="2"/>
    <x v="1"/>
    <s v="FUR-FU-10002505"/>
    <x v="0"/>
    <x v="3"/>
    <s v="Eldon 100 Class Desk Accessories"/>
    <n v="10.11"/>
    <n v="3"/>
    <n v="3.2351999999999999"/>
    <x v="0"/>
    <x v="0"/>
  </r>
  <r>
    <s v="CA-2016-133795"/>
    <x v="105"/>
    <d v="2016-12-24T00:00:00"/>
    <x v="1"/>
    <s v="JE-15475"/>
    <s v="Jeremy Ellison"/>
    <x v="0"/>
    <s v="United States"/>
    <x v="53"/>
    <x v="2"/>
    <x v="1"/>
    <s v="FUR-FU-10003731"/>
    <x v="0"/>
    <x v="3"/>
    <s v="Eldon Expressions Wood and Plastic Desk Accessories, Oak"/>
    <n v="39.92"/>
    <n v="4"/>
    <n v="11.1776"/>
    <x v="6"/>
    <x v="5"/>
  </r>
  <r>
    <s v="US-2017-130953"/>
    <x v="605"/>
    <d v="2017-08-03T00:00:00"/>
    <x v="1"/>
    <s v="RF-19735"/>
    <s v="Roland Fjeld"/>
    <x v="0"/>
    <s v="United States"/>
    <x v="258"/>
    <x v="37"/>
    <x v="3"/>
    <s v="FUR-CH-10004626"/>
    <x v="0"/>
    <x v="1"/>
    <s v="Office Star Flex Back Scooter Chair with Aluminum Finish Frame"/>
    <n v="302.67"/>
    <n v="3"/>
    <n v="72.640799999999999"/>
    <x v="2"/>
    <x v="3"/>
  </r>
  <r>
    <s v="CA-2016-155166"/>
    <x v="576"/>
    <d v="2017-01-02T00:00:00"/>
    <x v="1"/>
    <s v="BB-11545"/>
    <s v="Brenda Bowman"/>
    <x v="1"/>
    <s v="United States"/>
    <x v="109"/>
    <x v="18"/>
    <x v="2"/>
    <s v="FUR-CH-10003968"/>
    <x v="0"/>
    <x v="1"/>
    <s v="Novimex Turbo Task Chair"/>
    <n v="212.94"/>
    <n v="3"/>
    <n v="25.552800000000001"/>
    <x v="1"/>
    <x v="5"/>
  </r>
  <r>
    <s v="CA-2015-103954"/>
    <x v="38"/>
    <d v="2015-08-13T00:00:00"/>
    <x v="0"/>
    <s v="HR-14770"/>
    <s v="Hallie Redmond"/>
    <x v="2"/>
    <s v="United States"/>
    <x v="79"/>
    <x v="16"/>
    <x v="3"/>
    <s v="FUR-BO-10004690"/>
    <x v="0"/>
    <x v="0"/>
    <s v="O'Sullivan Cherrywood Estates Traditional Barrister Bookcase"/>
    <n v="687.4"/>
    <n v="5"/>
    <n v="48.118000000000002"/>
    <x v="4"/>
    <x v="10"/>
  </r>
  <r>
    <s v="CA-2014-169803"/>
    <x v="226"/>
    <d v="2014-04-12T00:00:00"/>
    <x v="1"/>
    <s v="SC-20260"/>
    <s v="Scott Cohen"/>
    <x v="1"/>
    <s v="United States"/>
    <x v="15"/>
    <x v="13"/>
    <x v="1"/>
    <s v="FUR-TA-10000688"/>
    <x v="0"/>
    <x v="2"/>
    <s v="Chromcraft Bull-Nose Wood Round Conference Table Top, Wood Base"/>
    <n v="653.54999999999995"/>
    <n v="3"/>
    <n v="111.1035"/>
    <x v="6"/>
    <x v="6"/>
  </r>
  <r>
    <s v="CA-2015-136469"/>
    <x v="312"/>
    <d v="2015-07-12T00:00:00"/>
    <x v="2"/>
    <s v="TS-21370"/>
    <s v="Todd Sumrall"/>
    <x v="1"/>
    <s v="United States"/>
    <x v="16"/>
    <x v="14"/>
    <x v="2"/>
    <s v="FUR-TA-10001520"/>
    <x v="0"/>
    <x v="2"/>
    <s v="Lesro Sheffield Collection Coffee Table, End Table, Center Table, Corner Table"/>
    <n v="199.83600000000001"/>
    <n v="4"/>
    <n v="-37.112400000000001"/>
    <x v="5"/>
    <x v="3"/>
  </r>
  <r>
    <s v="CA-2016-158694"/>
    <x v="480"/>
    <d v="2016-11-13T00:00:00"/>
    <x v="0"/>
    <s v="AI-10855"/>
    <s v="Arianne Irving"/>
    <x v="0"/>
    <s v="United States"/>
    <x v="2"/>
    <x v="2"/>
    <x v="1"/>
    <s v="FUR-FU-10000965"/>
    <x v="0"/>
    <x v="3"/>
    <s v="Howard Miller 11-1/2&quot; Diameter Ridgewood Wall Clock"/>
    <n v="467.46"/>
    <n v="9"/>
    <n v="191.65860000000001"/>
    <x v="0"/>
    <x v="0"/>
  </r>
  <r>
    <s v="CA-2015-141243"/>
    <x v="606"/>
    <d v="2015-01-08T00:00:00"/>
    <x v="0"/>
    <s v="AH-10465"/>
    <s v="Amy Hunt"/>
    <x v="0"/>
    <s v="United States"/>
    <x v="144"/>
    <x v="5"/>
    <x v="3"/>
    <s v="FUR-BO-10003272"/>
    <x v="0"/>
    <x v="0"/>
    <s v="O'Sullivan Living Dimensions 5-Shelf Bookcases"/>
    <n v="1352.3976"/>
    <n v="9"/>
    <n v="-437.54039999999998"/>
    <x v="2"/>
    <x v="8"/>
  </r>
  <r>
    <s v="CA-2015-136798"/>
    <x v="190"/>
    <d v="2015-05-12T00:00:00"/>
    <x v="1"/>
    <s v="DL-12925"/>
    <s v="Daniel Lacy"/>
    <x v="0"/>
    <s v="United States"/>
    <x v="12"/>
    <x v="11"/>
    <x v="3"/>
    <s v="FUR-FU-10000723"/>
    <x v="0"/>
    <x v="3"/>
    <s v="Deflect-o EconoMat Studded, No Bevel Mat for Low Pile Carpeting"/>
    <n v="123.96"/>
    <n v="3"/>
    <n v="11.1564"/>
    <x v="4"/>
    <x v="7"/>
  </r>
  <r>
    <s v="CA-2017-142090"/>
    <x v="147"/>
    <d v="2017-12-07T00:00:00"/>
    <x v="1"/>
    <s v="SC-20380"/>
    <s v="Shahid Collister"/>
    <x v="0"/>
    <s v="United States"/>
    <x v="259"/>
    <x v="30"/>
    <x v="0"/>
    <s v="FUR-TA-10001889"/>
    <x v="0"/>
    <x v="2"/>
    <s v="Bush Advantage Collection Racetrack Conference Table"/>
    <n v="1781.682"/>
    <n v="7"/>
    <n v="-653.28340000000003"/>
    <x v="1"/>
    <x v="0"/>
  </r>
  <r>
    <s v="CA-2014-124478"/>
    <x v="98"/>
    <d v="2014-08-12T00:00:00"/>
    <x v="1"/>
    <s v="MA-17560"/>
    <s v="Matt Abelman"/>
    <x v="2"/>
    <s v="United States"/>
    <x v="65"/>
    <x v="17"/>
    <x v="3"/>
    <s v="FUR-FU-10002088"/>
    <x v="0"/>
    <x v="3"/>
    <s v="Nu-Dell Float Frame 11 x 14 1/2"/>
    <n v="53.88"/>
    <n v="6"/>
    <n v="22.6296"/>
    <x v="4"/>
    <x v="10"/>
  </r>
  <r>
    <s v="CA-2014-134572"/>
    <x v="607"/>
    <d v="2014-04-22T00:00:00"/>
    <x v="0"/>
    <s v="SV-20365"/>
    <s v="Seth Vernon"/>
    <x v="0"/>
    <s v="United States"/>
    <x v="6"/>
    <x v="5"/>
    <x v="3"/>
    <s v="FUR-TA-10001705"/>
    <x v="0"/>
    <x v="2"/>
    <s v="Bush Advantage Collection Round Conference Table"/>
    <n v="744.1"/>
    <n v="5"/>
    <n v="-95.67"/>
    <x v="3"/>
    <x v="6"/>
  </r>
  <r>
    <s v="CA-2014-134572"/>
    <x v="607"/>
    <d v="2014-04-22T00:00:00"/>
    <x v="0"/>
    <s v="SV-20365"/>
    <s v="Seth Vernon"/>
    <x v="0"/>
    <s v="United States"/>
    <x v="6"/>
    <x v="5"/>
    <x v="3"/>
    <s v="FUR-TA-10004442"/>
    <x v="0"/>
    <x v="2"/>
    <s v="Riverside Furniture Stanwyck Manor Table Series"/>
    <n v="401.59"/>
    <n v="2"/>
    <n v="-131.95099999999999"/>
    <x v="3"/>
    <x v="6"/>
  </r>
  <r>
    <s v="US-2017-133312"/>
    <x v="608"/>
    <d v="2017-11-29T00:00:00"/>
    <x v="1"/>
    <s v="BD-11500"/>
    <s v="Bradley Drucker"/>
    <x v="0"/>
    <s v="United States"/>
    <x v="28"/>
    <x v="2"/>
    <x v="1"/>
    <s v="FUR-BO-10002213"/>
    <x v="0"/>
    <x v="0"/>
    <s v="Sauder Forest Hills Library, Woodland Oak Finish"/>
    <n v="359.49900000000002"/>
    <n v="3"/>
    <n v="-29.605799999999999"/>
    <x v="4"/>
    <x v="0"/>
  </r>
  <r>
    <s v="US-2014-140452"/>
    <x v="387"/>
    <d v="2014-12-10T00:00:00"/>
    <x v="1"/>
    <s v="BK-11260"/>
    <s v="Berenike Kampe"/>
    <x v="0"/>
    <s v="United States"/>
    <x v="9"/>
    <x v="8"/>
    <x v="3"/>
    <s v="FUR-TA-10004086"/>
    <x v="0"/>
    <x v="2"/>
    <s v="KI Adjustable-Height Table"/>
    <n v="214.95"/>
    <n v="5"/>
    <n v="-120.372"/>
    <x v="4"/>
    <x v="5"/>
  </r>
  <r>
    <s v="US-2014-140452"/>
    <x v="387"/>
    <d v="2014-12-10T00:00:00"/>
    <x v="1"/>
    <s v="BK-11260"/>
    <s v="Berenike Kampe"/>
    <x v="0"/>
    <s v="United States"/>
    <x v="9"/>
    <x v="8"/>
    <x v="3"/>
    <s v="FUR-FU-10002088"/>
    <x v="0"/>
    <x v="3"/>
    <s v="Nu-Dell Float Frame 11 x 14 1/2"/>
    <n v="10.776"/>
    <n v="3"/>
    <n v="-4.8491999999999997"/>
    <x v="4"/>
    <x v="5"/>
  </r>
  <r>
    <s v="CA-2014-116568"/>
    <x v="609"/>
    <d v="2014-12-20T00:00:00"/>
    <x v="1"/>
    <s v="BM-11785"/>
    <s v="Bryan Mills"/>
    <x v="0"/>
    <s v="United States"/>
    <x v="260"/>
    <x v="1"/>
    <x v="0"/>
    <s v="FUR-CH-10002439"/>
    <x v="0"/>
    <x v="1"/>
    <s v="Iceberg Nesting Folding Chair, 19w x 6d x 43h"/>
    <n v="186.304"/>
    <n v="4"/>
    <n v="13.972799999999999"/>
    <x v="6"/>
    <x v="5"/>
  </r>
  <r>
    <s v="CA-2015-153073"/>
    <x v="18"/>
    <d v="2015-11-13T00:00:00"/>
    <x v="3"/>
    <s v="HA-14905"/>
    <s v="Helen Abelman"/>
    <x v="0"/>
    <s v="United States"/>
    <x v="9"/>
    <x v="8"/>
    <x v="3"/>
    <s v="FUR-FU-10001025"/>
    <x v="0"/>
    <x v="3"/>
    <s v="Eldon Imˆge Series Desk Accessories, Clear"/>
    <n v="17.495999999999999"/>
    <n v="9"/>
    <n v="-7.4358000000000004"/>
    <x v="7"/>
    <x v="0"/>
  </r>
  <r>
    <s v="CA-2014-160766"/>
    <x v="94"/>
    <d v="2014-09-14T00:00:00"/>
    <x v="3"/>
    <s v="DM-13015"/>
    <s v="Darrin Martin"/>
    <x v="0"/>
    <s v="United States"/>
    <x v="13"/>
    <x v="7"/>
    <x v="2"/>
    <s v="FUR-TA-10001039"/>
    <x v="0"/>
    <x v="2"/>
    <s v="KI Adjustable-Height Table"/>
    <n v="464.29199999999997"/>
    <n v="9"/>
    <n v="-108.3348"/>
    <x v="7"/>
    <x v="4"/>
  </r>
  <r>
    <s v="CA-2017-146626"/>
    <x v="297"/>
    <d v="2018-01-05T00:00:00"/>
    <x v="1"/>
    <s v="BP-11185"/>
    <s v="Ben Peterman"/>
    <x v="1"/>
    <s v="United States"/>
    <x v="261"/>
    <x v="2"/>
    <x v="1"/>
    <s v="FUR-FU-10002501"/>
    <x v="0"/>
    <x v="3"/>
    <s v="Nu-Dell Executive Frame"/>
    <n v="101.12"/>
    <n v="8"/>
    <n v="37.414400000000001"/>
    <x v="1"/>
    <x v="5"/>
  </r>
  <r>
    <s v="CA-2016-128972"/>
    <x v="282"/>
    <d v="2016-11-17T00:00:00"/>
    <x v="1"/>
    <s v="TS-21430"/>
    <s v="Tom Stivers"/>
    <x v="1"/>
    <s v="United States"/>
    <x v="258"/>
    <x v="37"/>
    <x v="3"/>
    <s v="FUR-FU-10003096"/>
    <x v="0"/>
    <x v="3"/>
    <s v="Master Giant Foot Doorstop, Safety Yellow"/>
    <n v="30.36"/>
    <n v="4"/>
    <n v="13.0548"/>
    <x v="4"/>
    <x v="0"/>
  </r>
  <r>
    <s v="CA-2016-111213"/>
    <x v="610"/>
    <d v="2016-04-05T00:00:00"/>
    <x v="1"/>
    <s v="FP-14320"/>
    <s v="Frank Preis"/>
    <x v="0"/>
    <s v="United States"/>
    <x v="13"/>
    <x v="7"/>
    <x v="2"/>
    <s v="FUR-CH-10000454"/>
    <x v="0"/>
    <x v="1"/>
    <s v="Hon Deluxe Fabric Upholstered Stacking Chairs, Rounded Back"/>
    <n v="1317.492"/>
    <n v="6"/>
    <n v="292.77600000000001"/>
    <x v="4"/>
    <x v="6"/>
  </r>
  <r>
    <s v="CA-2017-161333"/>
    <x v="611"/>
    <d v="2017-02-07T00:00:00"/>
    <x v="1"/>
    <s v="JL-15835"/>
    <s v="John Lee"/>
    <x v="0"/>
    <s v="United States"/>
    <x v="2"/>
    <x v="2"/>
    <x v="1"/>
    <s v="FUR-FU-10003039"/>
    <x v="0"/>
    <x v="3"/>
    <s v="Howard Miller 11-1/2&quot; Diameter Grantwood Wall Clock"/>
    <n v="86.26"/>
    <n v="2"/>
    <n v="29.328399999999998"/>
    <x v="2"/>
    <x v="11"/>
  </r>
  <r>
    <s v="CA-2017-128734"/>
    <x v="455"/>
    <d v="2017-12-31T00:00:00"/>
    <x v="1"/>
    <s v="JL-15175"/>
    <s v="James Lanier"/>
    <x v="2"/>
    <s v="United States"/>
    <x v="262"/>
    <x v="22"/>
    <x v="1"/>
    <s v="FUR-FU-10001731"/>
    <x v="0"/>
    <x v="3"/>
    <s v="Acrylic Self-Standing Desk Frames"/>
    <n v="8.5440000000000005"/>
    <n v="4"/>
    <n v="1.9224000000000001"/>
    <x v="1"/>
    <x v="5"/>
  </r>
  <r>
    <s v="CA-2017-128734"/>
    <x v="455"/>
    <d v="2017-12-31T00:00:00"/>
    <x v="1"/>
    <s v="JL-15175"/>
    <s v="James Lanier"/>
    <x v="2"/>
    <s v="United States"/>
    <x v="262"/>
    <x v="22"/>
    <x v="1"/>
    <s v="FUR-CH-10001394"/>
    <x v="0"/>
    <x v="1"/>
    <s v="Global Leather Executive Chair"/>
    <n v="842.37599999999998"/>
    <n v="3"/>
    <n v="105.297"/>
    <x v="1"/>
    <x v="5"/>
  </r>
  <r>
    <s v="US-2015-124219"/>
    <x v="612"/>
    <d v="2015-08-08T00:00:00"/>
    <x v="2"/>
    <s v="KW-16570"/>
    <s v="Kelly Williams"/>
    <x v="0"/>
    <s v="United States"/>
    <x v="263"/>
    <x v="23"/>
    <x v="3"/>
    <s v="FUR-FU-10000305"/>
    <x v="0"/>
    <x v="3"/>
    <s v="Tenex V2T-RE Standard Weight Series Chair Mat, 45&quot; x 53&quot;, Lip 25&quot; x 12&quot;"/>
    <n v="212.94"/>
    <n v="3"/>
    <n v="34.070399999999999"/>
    <x v="5"/>
    <x v="10"/>
  </r>
  <r>
    <s v="CA-2017-163006"/>
    <x v="254"/>
    <d v="2017-07-04T00:00:00"/>
    <x v="0"/>
    <s v="GH-14410"/>
    <s v="Gary Hansen"/>
    <x v="2"/>
    <s v="United States"/>
    <x v="9"/>
    <x v="8"/>
    <x v="3"/>
    <s v="FUR-CH-10000229"/>
    <x v="0"/>
    <x v="1"/>
    <s v="Global Enterprise Series Seating High-Back Swivel/Tilt Chairs"/>
    <n v="569.05799999999999"/>
    <n v="3"/>
    <n v="-178.8468"/>
    <x v="4"/>
    <x v="2"/>
  </r>
  <r>
    <s v="CA-2017-163006"/>
    <x v="254"/>
    <d v="2017-07-04T00:00:00"/>
    <x v="0"/>
    <s v="GH-14410"/>
    <s v="Gary Hansen"/>
    <x v="2"/>
    <s v="United States"/>
    <x v="9"/>
    <x v="8"/>
    <x v="3"/>
    <s v="FUR-FU-10003799"/>
    <x v="0"/>
    <x v="3"/>
    <s v="Seth Thomas 13 1/2&quot; Wall Clock"/>
    <n v="14.224"/>
    <n v="2"/>
    <n v="-10.3124"/>
    <x v="4"/>
    <x v="2"/>
  </r>
  <r>
    <s v="CA-2014-111192"/>
    <x v="613"/>
    <d v="2014-08-05T00:00:00"/>
    <x v="1"/>
    <s v="TS-21430"/>
    <s v="Tom Stivers"/>
    <x v="1"/>
    <s v="United States"/>
    <x v="15"/>
    <x v="13"/>
    <x v="1"/>
    <s v="FUR-BO-10002916"/>
    <x v="0"/>
    <x v="0"/>
    <s v="Rush Hierlooms Collection 1&quot; Thick Stackable Bookcases"/>
    <n v="1367.84"/>
    <n v="8"/>
    <n v="259.88959999999997"/>
    <x v="6"/>
    <x v="3"/>
  </r>
  <r>
    <s v="CA-2016-115378"/>
    <x v="515"/>
    <d v="2016-11-23T00:00:00"/>
    <x v="0"/>
    <s v="AJ-10945"/>
    <s v="Ashley Jarboe"/>
    <x v="0"/>
    <s v="United States"/>
    <x v="264"/>
    <x v="17"/>
    <x v="3"/>
    <s v="FUR-CH-10000863"/>
    <x v="0"/>
    <x v="1"/>
    <s v="Novimex Swivel Fabric Task Chair"/>
    <n v="301.95999999999998"/>
    <n v="2"/>
    <n v="33.215600000000002"/>
    <x v="2"/>
    <x v="0"/>
  </r>
  <r>
    <s v="CA-2015-161627"/>
    <x v="171"/>
    <d v="2015-07-11T00:00:00"/>
    <x v="1"/>
    <s v="SJ-20215"/>
    <s v="Sarah Jordon"/>
    <x v="0"/>
    <s v="United States"/>
    <x v="102"/>
    <x v="2"/>
    <x v="1"/>
    <s v="FUR-CH-10003968"/>
    <x v="0"/>
    <x v="1"/>
    <s v="Novimex Turbo Task Chair"/>
    <n v="170.352"/>
    <n v="3"/>
    <n v="-17.0352"/>
    <x v="2"/>
    <x v="3"/>
  </r>
  <r>
    <s v="CA-2014-121006"/>
    <x v="448"/>
    <d v="2014-11-16T00:00:00"/>
    <x v="1"/>
    <s v="SC-20020"/>
    <s v="Sam Craven"/>
    <x v="0"/>
    <s v="United States"/>
    <x v="265"/>
    <x v="17"/>
    <x v="3"/>
    <s v="FUR-CH-10004997"/>
    <x v="0"/>
    <x v="1"/>
    <s v="Hon Every-Day Series Multi-Task Chairs"/>
    <n v="563.94000000000005"/>
    <n v="3"/>
    <n v="112.788"/>
    <x v="6"/>
    <x v="0"/>
  </r>
  <r>
    <s v="CA-2016-122903"/>
    <x v="614"/>
    <d v="2016-05-29T00:00:00"/>
    <x v="0"/>
    <s v="LA-16780"/>
    <s v="Laura Armstrong"/>
    <x v="1"/>
    <s v="United States"/>
    <x v="25"/>
    <x v="17"/>
    <x v="3"/>
    <s v="FUR-CH-10002024"/>
    <x v="0"/>
    <x v="1"/>
    <s v="HON 5400 Series Task Chairs for Big and Tall"/>
    <n v="3504.9"/>
    <n v="5"/>
    <n v="700.98"/>
    <x v="3"/>
    <x v="7"/>
  </r>
  <r>
    <s v="CA-2017-106432"/>
    <x v="66"/>
    <d v="2017-10-24T00:00:00"/>
    <x v="1"/>
    <s v="CA-12265"/>
    <s v="Christina Anderson"/>
    <x v="0"/>
    <s v="United States"/>
    <x v="266"/>
    <x v="5"/>
    <x v="3"/>
    <s v="FUR-BO-10004360"/>
    <x v="0"/>
    <x v="0"/>
    <s v="Rush Hierlooms Collection Rich Wood Bookcases"/>
    <n v="328.39920000000001"/>
    <n v="3"/>
    <n v="-91.758600000000001"/>
    <x v="2"/>
    <x v="1"/>
  </r>
  <r>
    <s v="US-2015-120502"/>
    <x v="315"/>
    <d v="2015-04-19T00:00:00"/>
    <x v="1"/>
    <s v="BT-11395"/>
    <s v="Bill Tyler"/>
    <x v="1"/>
    <s v="United States"/>
    <x v="2"/>
    <x v="2"/>
    <x v="1"/>
    <s v="FUR-FU-10004973"/>
    <x v="0"/>
    <x v="3"/>
    <s v="Flat Face Poster Frame"/>
    <n v="37.68"/>
    <n v="2"/>
    <n v="15.8256"/>
    <x v="6"/>
    <x v="6"/>
  </r>
  <r>
    <s v="CA-2015-115567"/>
    <x v="615"/>
    <d v="2015-09-18T00:00:00"/>
    <x v="1"/>
    <s v="ZC-21910"/>
    <s v="Zuschuss Carroll"/>
    <x v="0"/>
    <s v="United States"/>
    <x v="29"/>
    <x v="6"/>
    <x v="3"/>
    <s v="FUR-CH-10000015"/>
    <x v="0"/>
    <x v="1"/>
    <s v="Hon Multipurpose Stacking Arm Chairs"/>
    <n v="1516.2"/>
    <n v="7"/>
    <n v="394.21199999999999"/>
    <x v="2"/>
    <x v="4"/>
  </r>
  <r>
    <s v="CA-2014-101560"/>
    <x v="616"/>
    <d v="2014-12-01T00:00:00"/>
    <x v="0"/>
    <s v="CS-12250"/>
    <s v="Chris Selesnick"/>
    <x v="1"/>
    <s v="United States"/>
    <x v="11"/>
    <x v="10"/>
    <x v="0"/>
    <s v="FUR-FU-10003773"/>
    <x v="0"/>
    <x v="3"/>
    <s v="Eldon Cleatmat Plus Chair Mats for High Pile Carpets"/>
    <n v="397.6"/>
    <n v="5"/>
    <n v="43.735999999999997"/>
    <x v="0"/>
    <x v="0"/>
  </r>
  <r>
    <s v="CA-2015-142454"/>
    <x v="617"/>
    <d v="2015-08-19T00:00:00"/>
    <x v="1"/>
    <s v="RE-19450"/>
    <s v="Richard Eichhorn"/>
    <x v="0"/>
    <s v="United States"/>
    <x v="121"/>
    <x v="2"/>
    <x v="1"/>
    <s v="FUR-FU-10004018"/>
    <x v="0"/>
    <x v="3"/>
    <s v="Tensor Computer Mounted Lamp"/>
    <n v="104.23"/>
    <n v="7"/>
    <n v="28.142099999999999"/>
    <x v="4"/>
    <x v="10"/>
  </r>
  <r>
    <s v="CA-2017-145653"/>
    <x v="449"/>
    <d v="2017-09-01T00:00:00"/>
    <x v="3"/>
    <s v="CA-12775"/>
    <s v="Cynthia Arntzen"/>
    <x v="0"/>
    <s v="United States"/>
    <x v="25"/>
    <x v="17"/>
    <x v="3"/>
    <s v="FUR-CH-10004875"/>
    <x v="0"/>
    <x v="1"/>
    <s v="Harbour Creations 67200 Series Stacking Chairs"/>
    <n v="498.26"/>
    <n v="7"/>
    <n v="134.53020000000001"/>
    <x v="7"/>
    <x v="4"/>
  </r>
  <r>
    <s v="CA-2014-140487"/>
    <x v="618"/>
    <d v="2014-06-20T00:00:00"/>
    <x v="1"/>
    <s v="SR-20425"/>
    <s v="Sharelle Roach"/>
    <x v="2"/>
    <s v="United States"/>
    <x v="25"/>
    <x v="17"/>
    <x v="3"/>
    <s v="FUR-BO-10000711"/>
    <x v="0"/>
    <x v="0"/>
    <s v="Hon Metal Bookcases, Gray"/>
    <n v="212.94"/>
    <n v="3"/>
    <n v="57.4938"/>
    <x v="6"/>
    <x v="2"/>
  </r>
  <r>
    <s v="CA-2016-119865"/>
    <x v="619"/>
    <d v="2016-06-26T00:00:00"/>
    <x v="1"/>
    <s v="AS-10090"/>
    <s v="Adam Shillingsburg"/>
    <x v="0"/>
    <s v="United States"/>
    <x v="13"/>
    <x v="7"/>
    <x v="2"/>
    <s v="FUR-BO-10003272"/>
    <x v="0"/>
    <x v="0"/>
    <s v="O'Sullivan Living Dimensions 5-Shelf Bookcases"/>
    <n v="353.56799999999998"/>
    <n v="2"/>
    <n v="-44.195999999999998"/>
    <x v="2"/>
    <x v="2"/>
  </r>
  <r>
    <s v="CA-2017-124436"/>
    <x v="620"/>
    <d v="2017-03-22T00:00:00"/>
    <x v="0"/>
    <s v="SA-20830"/>
    <s v="Sue Ann Reed"/>
    <x v="0"/>
    <s v="United States"/>
    <x v="99"/>
    <x v="2"/>
    <x v="1"/>
    <s v="FUR-TA-10001095"/>
    <x v="0"/>
    <x v="2"/>
    <s v="Chromcraft Round Conference Tables"/>
    <n v="697.16"/>
    <n v="5"/>
    <n v="8.7144999999999992"/>
    <x v="0"/>
    <x v="9"/>
  </r>
  <r>
    <s v="CA-2017-124436"/>
    <x v="620"/>
    <d v="2017-03-22T00:00:00"/>
    <x v="0"/>
    <s v="SA-20830"/>
    <s v="Sue Ann Reed"/>
    <x v="0"/>
    <s v="United States"/>
    <x v="99"/>
    <x v="2"/>
    <x v="1"/>
    <s v="FUR-FU-10001185"/>
    <x v="0"/>
    <x v="3"/>
    <s v="Advantus Employee of the Month Certificate Frame, 11 x 13-1/2"/>
    <n v="30.93"/>
    <n v="1"/>
    <n v="12.6813"/>
    <x v="0"/>
    <x v="9"/>
  </r>
  <r>
    <s v="CA-2014-115084"/>
    <x v="305"/>
    <d v="2014-10-22T00:00:00"/>
    <x v="1"/>
    <s v="LS-17200"/>
    <s v="Luke Schmidt"/>
    <x v="1"/>
    <s v="United States"/>
    <x v="267"/>
    <x v="31"/>
    <x v="0"/>
    <s v="FUR-CH-10004626"/>
    <x v="0"/>
    <x v="1"/>
    <s v="Office Star Flex Back Scooter Chair with Aluminum Finish Frame"/>
    <n v="605.34"/>
    <n v="6"/>
    <n v="145.2816"/>
    <x v="4"/>
    <x v="1"/>
  </r>
  <r>
    <s v="CA-2017-131037"/>
    <x v="621"/>
    <d v="2017-08-23T00:00:00"/>
    <x v="2"/>
    <s v="TM-21490"/>
    <s v="Tony Molinari"/>
    <x v="0"/>
    <s v="United States"/>
    <x v="28"/>
    <x v="2"/>
    <x v="1"/>
    <s v="FUR-TA-10001768"/>
    <x v="0"/>
    <x v="2"/>
    <s v="Hon Racetrack Conference Tables"/>
    <n v="210.00800000000001"/>
    <n v="1"/>
    <n v="2.6251000000000002"/>
    <x v="5"/>
    <x v="10"/>
  </r>
  <r>
    <s v="CA-2014-166744"/>
    <x v="23"/>
    <d v="2014-09-24T00:00:00"/>
    <x v="1"/>
    <s v="DN-13690"/>
    <s v="Duane Noonan"/>
    <x v="0"/>
    <s v="United States"/>
    <x v="11"/>
    <x v="32"/>
    <x v="2"/>
    <s v="FUR-FU-10004952"/>
    <x v="0"/>
    <x v="3"/>
    <s v="C-Line Cubicle Keepers Polyproplyene Holder w/Velcro Back, 8-1/2x11, 25/Bx"/>
    <n v="164.22"/>
    <n v="3"/>
    <n v="50.908200000000001"/>
    <x v="4"/>
    <x v="4"/>
  </r>
  <r>
    <s v="CA-2014-166744"/>
    <x v="23"/>
    <d v="2014-09-24T00:00:00"/>
    <x v="1"/>
    <s v="DN-13690"/>
    <s v="Duane Noonan"/>
    <x v="0"/>
    <s v="United States"/>
    <x v="11"/>
    <x v="32"/>
    <x v="2"/>
    <s v="FUR-BO-10001337"/>
    <x v="0"/>
    <x v="0"/>
    <s v="O'Sullivan Living Dimensions 2-Shelf Bookcases"/>
    <n v="362.94"/>
    <n v="3"/>
    <n v="36.293999999999997"/>
    <x v="4"/>
    <x v="4"/>
  </r>
  <r>
    <s v="CA-2016-156265"/>
    <x v="622"/>
    <d v="2016-08-04T00:00:00"/>
    <x v="0"/>
    <s v="BF-11020"/>
    <s v="Barry Franzšsisch"/>
    <x v="1"/>
    <s v="United States"/>
    <x v="2"/>
    <x v="2"/>
    <x v="1"/>
    <s v="FUR-TA-10001691"/>
    <x v="0"/>
    <x v="2"/>
    <s v="Barricks Non-Folding Utility Table with Steel Legs, Laminate Tops"/>
    <n v="136.464"/>
    <n v="2"/>
    <n v="15.3522"/>
    <x v="3"/>
    <x v="10"/>
  </r>
  <r>
    <s v="CA-2015-125185"/>
    <x v="298"/>
    <d v="2015-03-07T00:00:00"/>
    <x v="0"/>
    <s v="AH-10195"/>
    <s v="Alan Haines"/>
    <x v="1"/>
    <s v="United States"/>
    <x v="268"/>
    <x v="3"/>
    <x v="2"/>
    <s v="FUR-CH-10002647"/>
    <x v="0"/>
    <x v="1"/>
    <s v="Situations Contoured Folding Chairs, 4/Set"/>
    <n v="99.372"/>
    <n v="2"/>
    <n v="-7.0979999999999999"/>
    <x v="3"/>
    <x v="9"/>
  </r>
  <r>
    <s v="CA-2015-125185"/>
    <x v="298"/>
    <d v="2015-03-07T00:00:00"/>
    <x v="0"/>
    <s v="AH-10195"/>
    <s v="Alan Haines"/>
    <x v="1"/>
    <s v="United States"/>
    <x v="268"/>
    <x v="3"/>
    <x v="2"/>
    <s v="FUR-FU-10003247"/>
    <x v="0"/>
    <x v="3"/>
    <s v="36X48 HARDFLOOR CHAIRMAT"/>
    <n v="33.567999999999998"/>
    <n v="2"/>
    <n v="-5.4547999999999996"/>
    <x v="3"/>
    <x v="9"/>
  </r>
  <r>
    <s v="CA-2014-105165"/>
    <x v="266"/>
    <d v="2014-09-10T00:00:00"/>
    <x v="2"/>
    <s v="SZ-20035"/>
    <s v="Sam Zeldin"/>
    <x v="2"/>
    <s v="United States"/>
    <x v="6"/>
    <x v="5"/>
    <x v="3"/>
    <s v="FUR-TA-10004154"/>
    <x v="0"/>
    <x v="2"/>
    <s v="Riverside Furniture Oval Coffee Table, Oval End Table, End Table with Drawer"/>
    <n v="200.79499999999999"/>
    <n v="1"/>
    <n v="-22.948"/>
    <x v="0"/>
    <x v="4"/>
  </r>
  <r>
    <s v="CA-2017-144484"/>
    <x v="91"/>
    <d v="2017-09-11T00:00:00"/>
    <x v="3"/>
    <s v="CB-12025"/>
    <s v="Cassandra Brandow"/>
    <x v="0"/>
    <s v="United States"/>
    <x v="28"/>
    <x v="2"/>
    <x v="1"/>
    <s v="FUR-FU-10000260"/>
    <x v="0"/>
    <x v="3"/>
    <s v="6&quot; Cubicle Wall Clock, Black"/>
    <n v="32.36"/>
    <n v="4"/>
    <n v="11.6496"/>
    <x v="7"/>
    <x v="4"/>
  </r>
  <r>
    <s v="CA-2017-125913"/>
    <x v="623"/>
    <d v="2017-01-16T00:00:00"/>
    <x v="3"/>
    <s v="JO-15145"/>
    <s v="Jack O'Briant"/>
    <x v="1"/>
    <s v="United States"/>
    <x v="2"/>
    <x v="2"/>
    <x v="1"/>
    <s v="FUR-FU-10001487"/>
    <x v="0"/>
    <x v="3"/>
    <s v="Eldon Expressions Wood and Plastic Desk Accessories, Cherry Wood"/>
    <n v="27.92"/>
    <n v="4"/>
    <n v="8.0968"/>
    <x v="7"/>
    <x v="8"/>
  </r>
  <r>
    <s v="CA-2017-125913"/>
    <x v="623"/>
    <d v="2017-01-16T00:00:00"/>
    <x v="3"/>
    <s v="JO-15145"/>
    <s v="Jack O'Briant"/>
    <x v="1"/>
    <s v="United States"/>
    <x v="2"/>
    <x v="2"/>
    <x v="1"/>
    <s v="FUR-TA-10001520"/>
    <x v="0"/>
    <x v="2"/>
    <s v="Lesro Sheffield Collection Coffee Table, End Table, Center Table, Corner Table"/>
    <n v="399.67200000000003"/>
    <n v="7"/>
    <n v="-14.9877"/>
    <x v="7"/>
    <x v="8"/>
  </r>
  <r>
    <s v="CA-2015-162887"/>
    <x v="86"/>
    <d v="2015-11-09T00:00:00"/>
    <x v="0"/>
    <s v="SV-20785"/>
    <s v="Stewart Visinsky"/>
    <x v="0"/>
    <s v="United States"/>
    <x v="259"/>
    <x v="43"/>
    <x v="2"/>
    <s v="FUR-CH-10000595"/>
    <x v="0"/>
    <x v="1"/>
    <s v="Safco Contoured Stacking Chairs"/>
    <n v="715.2"/>
    <n v="3"/>
    <n v="178.8"/>
    <x v="3"/>
    <x v="0"/>
  </r>
  <r>
    <s v="CA-2014-113859"/>
    <x v="624"/>
    <d v="2014-09-17T00:00:00"/>
    <x v="1"/>
    <s v="BC-11125"/>
    <s v="Becky Castell"/>
    <x v="2"/>
    <s v="United States"/>
    <x v="221"/>
    <x v="5"/>
    <x v="3"/>
    <s v="FUR-CH-10004698"/>
    <x v="0"/>
    <x v="1"/>
    <s v="Padded Folding Chairs, Black, 4/Carton"/>
    <n v="340.11599999999999"/>
    <n v="6"/>
    <n v="-9.7175999999999991"/>
    <x v="4"/>
    <x v="4"/>
  </r>
  <r>
    <s v="CA-2015-105158"/>
    <x v="278"/>
    <d v="2015-09-10T00:00:00"/>
    <x v="1"/>
    <s v="SP-20860"/>
    <s v="Sung Pak"/>
    <x v="1"/>
    <s v="United States"/>
    <x v="77"/>
    <x v="11"/>
    <x v="3"/>
    <s v="FUR-FU-10001706"/>
    <x v="0"/>
    <x v="3"/>
    <s v="Longer-Life Soft White Bulbs"/>
    <n v="6.16"/>
    <n v="2"/>
    <n v="2.9567999999999999"/>
    <x v="2"/>
    <x v="4"/>
  </r>
  <r>
    <s v="CA-2017-105991"/>
    <x v="625"/>
    <d v="2017-05-06T00:00:00"/>
    <x v="2"/>
    <s v="LH-17020"/>
    <s v="Lisa Hazard"/>
    <x v="0"/>
    <s v="United States"/>
    <x v="74"/>
    <x v="12"/>
    <x v="1"/>
    <s v="FUR-BO-10004467"/>
    <x v="0"/>
    <x v="0"/>
    <s v="Bestar Classic Bookcase"/>
    <n v="89.991"/>
    <n v="3"/>
    <n v="-152.9847"/>
    <x v="5"/>
    <x v="7"/>
  </r>
  <r>
    <s v="CA-2014-146283"/>
    <x v="30"/>
    <d v="2014-09-15T00:00:00"/>
    <x v="1"/>
    <s v="KT-16465"/>
    <s v="Kean Takahito"/>
    <x v="0"/>
    <s v="United States"/>
    <x v="6"/>
    <x v="5"/>
    <x v="3"/>
    <s v="FUR-CH-10004287"/>
    <x v="0"/>
    <x v="1"/>
    <s v="SAFCO Arco Folding Chair"/>
    <n v="966.7"/>
    <n v="5"/>
    <n v="-13.81"/>
    <x v="1"/>
    <x v="4"/>
  </r>
  <r>
    <s v="CA-2015-111073"/>
    <x v="626"/>
    <d v="2015-12-30T00:00:00"/>
    <x v="1"/>
    <s v="MC-18100"/>
    <s v="Mick Crebagga"/>
    <x v="0"/>
    <s v="United States"/>
    <x v="23"/>
    <x v="15"/>
    <x v="2"/>
    <s v="FUR-TA-10004086"/>
    <x v="0"/>
    <x v="2"/>
    <s v="KI Adjustable-Height Table"/>
    <n v="51.588000000000001"/>
    <n v="1"/>
    <n v="-15.4764"/>
    <x v="4"/>
    <x v="5"/>
  </r>
  <r>
    <s v="CA-2017-108791"/>
    <x v="534"/>
    <d v="2017-07-31T00:00:00"/>
    <x v="1"/>
    <s v="TM-21490"/>
    <s v="Tony Molinari"/>
    <x v="0"/>
    <s v="United States"/>
    <x v="90"/>
    <x v="7"/>
    <x v="2"/>
    <s v="FUR-FU-10004018"/>
    <x v="0"/>
    <x v="3"/>
    <s v="Tensor Computer Mounted Lamp"/>
    <n v="14.89"/>
    <n v="1"/>
    <n v="4.0202999999999998"/>
    <x v="4"/>
    <x v="3"/>
  </r>
  <r>
    <s v="CA-2016-113831"/>
    <x v="82"/>
    <d v="2016-06-03T00:00:00"/>
    <x v="1"/>
    <s v="AH-10690"/>
    <s v="Anna HŠberlin"/>
    <x v="1"/>
    <s v="United States"/>
    <x v="76"/>
    <x v="25"/>
    <x v="0"/>
    <s v="FUR-TA-10002645"/>
    <x v="0"/>
    <x v="2"/>
    <s v="Hon Rectangular Conference Tables"/>
    <n v="2275.5"/>
    <n v="10"/>
    <n v="386.83499999999998"/>
    <x v="4"/>
    <x v="7"/>
  </r>
  <r>
    <s v="US-2014-139500"/>
    <x v="627"/>
    <d v="2014-11-20T00:00:00"/>
    <x v="1"/>
    <s v="AB-10165"/>
    <s v="Alan Barnes"/>
    <x v="0"/>
    <s v="United States"/>
    <x v="42"/>
    <x v="8"/>
    <x v="3"/>
    <s v="FUR-CH-10002017"/>
    <x v="0"/>
    <x v="1"/>
    <s v="SAFCO Optional Arm Kit for Workspace Cribbage Stacking Chair"/>
    <n v="37.295999999999999"/>
    <n v="2"/>
    <n v="-1.0656000000000001"/>
    <x v="4"/>
    <x v="0"/>
  </r>
  <r>
    <s v="US-2014-166310"/>
    <x v="628"/>
    <d v="2014-09-23T00:00:00"/>
    <x v="2"/>
    <s v="JS-15940"/>
    <s v="Joni Sundaresam"/>
    <x v="2"/>
    <s v="United States"/>
    <x v="269"/>
    <x v="5"/>
    <x v="3"/>
    <s v="FUR-FU-10001546"/>
    <x v="0"/>
    <x v="3"/>
    <s v="Dana Swing-Arm Lamps"/>
    <n v="8.5440000000000005"/>
    <n v="2"/>
    <n v="-7.476"/>
    <x v="3"/>
    <x v="4"/>
  </r>
  <r>
    <s v="US-2016-168410"/>
    <x v="629"/>
    <d v="2016-02-26T00:00:00"/>
    <x v="1"/>
    <s v="BV-11245"/>
    <s v="Benjamin Venier"/>
    <x v="1"/>
    <s v="United States"/>
    <x v="64"/>
    <x v="7"/>
    <x v="2"/>
    <s v="FUR-FU-10000629"/>
    <x v="0"/>
    <x v="3"/>
    <s v="9-3/4 Diameter Round Wall Clock"/>
    <n v="68.95"/>
    <n v="5"/>
    <n v="28.959"/>
    <x v="2"/>
    <x v="11"/>
  </r>
  <r>
    <s v="CA-2017-131254"/>
    <x v="49"/>
    <d v="2017-11-21T00:00:00"/>
    <x v="2"/>
    <s v="NC-18415"/>
    <s v="Nathan Cano"/>
    <x v="0"/>
    <s v="United States"/>
    <x v="6"/>
    <x v="5"/>
    <x v="3"/>
    <s v="FUR-CH-10003774"/>
    <x v="0"/>
    <x v="1"/>
    <s v="Global Wood Trimmed Manager's Task Chair, Khaki"/>
    <n v="191.05799999999999"/>
    <n v="3"/>
    <n v="-46.399799999999999"/>
    <x v="3"/>
    <x v="0"/>
  </r>
  <r>
    <s v="CA-2017-137876"/>
    <x v="393"/>
    <d v="2017-05-05T00:00:00"/>
    <x v="1"/>
    <s v="DJ-13510"/>
    <s v="Don Jones"/>
    <x v="1"/>
    <s v="United States"/>
    <x v="28"/>
    <x v="2"/>
    <x v="1"/>
    <s v="FUR-FU-10000222"/>
    <x v="0"/>
    <x v="3"/>
    <s v="Seth Thomas 16&quot; Steel Case Clock"/>
    <n v="64.959999999999994"/>
    <n v="2"/>
    <n v="21.436800000000002"/>
    <x v="2"/>
    <x v="6"/>
  </r>
  <r>
    <s v="CA-2016-154060"/>
    <x v="630"/>
    <d v="2016-05-08T00:00:00"/>
    <x v="1"/>
    <s v="DL-12865"/>
    <s v="Dan Lawera"/>
    <x v="0"/>
    <s v="United States"/>
    <x v="224"/>
    <x v="30"/>
    <x v="0"/>
    <s v="FUR-CH-10002304"/>
    <x v="0"/>
    <x v="1"/>
    <s v="Global Stack Chair without Arms, Black"/>
    <n v="187.05600000000001"/>
    <n v="9"/>
    <n v="11.691000000000001"/>
    <x v="6"/>
    <x v="7"/>
  </r>
  <r>
    <s v="US-2017-162558"/>
    <x v="125"/>
    <d v="2017-10-05T00:00:00"/>
    <x v="2"/>
    <s v="Dp-13240"/>
    <s v="Dean percer"/>
    <x v="2"/>
    <s v="United States"/>
    <x v="270"/>
    <x v="9"/>
    <x v="0"/>
    <s v="FUR-FU-10002364"/>
    <x v="0"/>
    <x v="3"/>
    <s v="Eldon Expressions Wood Desk Accessories, Oak"/>
    <n v="11.808"/>
    <n v="2"/>
    <n v="1.3284"/>
    <x v="0"/>
    <x v="1"/>
  </r>
  <r>
    <s v="US-2017-162558"/>
    <x v="125"/>
    <d v="2017-10-05T00:00:00"/>
    <x v="2"/>
    <s v="Dp-13240"/>
    <s v="Dean percer"/>
    <x v="2"/>
    <s v="United States"/>
    <x v="270"/>
    <x v="9"/>
    <x v="0"/>
    <s v="FUR-FU-10004864"/>
    <x v="0"/>
    <x v="3"/>
    <s v="Eldon 500 Class Desk Accessories"/>
    <n v="9.6560000000000006"/>
    <n v="1"/>
    <n v="1.5690999999999999"/>
    <x v="0"/>
    <x v="1"/>
  </r>
  <r>
    <s v="US-2017-162558"/>
    <x v="125"/>
    <d v="2017-10-05T00:00:00"/>
    <x v="2"/>
    <s v="Dp-13240"/>
    <s v="Dean percer"/>
    <x v="2"/>
    <s v="United States"/>
    <x v="270"/>
    <x v="9"/>
    <x v="0"/>
    <s v="FUR-TA-10000198"/>
    <x v="0"/>
    <x v="2"/>
    <s v="Chromcraft Bull-Nose Wood Oval Conference Tables &amp; Bases"/>
    <n v="2314.116"/>
    <n v="7"/>
    <n v="-1002.7836"/>
    <x v="0"/>
    <x v="1"/>
  </r>
  <r>
    <s v="US-2017-162558"/>
    <x v="125"/>
    <d v="2017-10-05T00:00:00"/>
    <x v="2"/>
    <s v="Dp-13240"/>
    <s v="Dean percer"/>
    <x v="2"/>
    <s v="United States"/>
    <x v="270"/>
    <x v="9"/>
    <x v="0"/>
    <s v="FUR-FU-10003691"/>
    <x v="0"/>
    <x v="3"/>
    <s v="Eldon Image Series Desk Accessories, Ebony"/>
    <n v="19.760000000000002"/>
    <n v="2"/>
    <n v="5.9279999999999999"/>
    <x v="0"/>
    <x v="1"/>
  </r>
  <r>
    <s v="CA-2015-119508"/>
    <x v="463"/>
    <d v="2015-12-09T00:00:00"/>
    <x v="1"/>
    <s v="TZ-21580"/>
    <s v="Tracy Zic"/>
    <x v="0"/>
    <s v="United States"/>
    <x v="174"/>
    <x v="2"/>
    <x v="1"/>
    <s v="FUR-FU-10004270"/>
    <x v="0"/>
    <x v="3"/>
    <s v="Eldon Image Series Desk Accessories, Burgundy"/>
    <n v="25.08"/>
    <n v="6"/>
    <n v="9.0288000000000004"/>
    <x v="2"/>
    <x v="5"/>
  </r>
  <r>
    <s v="CA-2016-123120"/>
    <x v="631"/>
    <d v="2016-09-08T00:00:00"/>
    <x v="1"/>
    <s v="CV-12295"/>
    <s v="Christina VanderZanden"/>
    <x v="0"/>
    <s v="United States"/>
    <x v="13"/>
    <x v="7"/>
    <x v="2"/>
    <s v="FUR-FU-10004748"/>
    <x v="0"/>
    <x v="3"/>
    <s v="Howard Miller 16&quot; Diameter Gallery Wall Clock"/>
    <n v="63.94"/>
    <n v="1"/>
    <n v="24.936599999999999"/>
    <x v="4"/>
    <x v="4"/>
  </r>
  <r>
    <s v="CA-2014-103331"/>
    <x v="632"/>
    <d v="2014-09-01T00:00:00"/>
    <x v="1"/>
    <s v="KB-16315"/>
    <s v="Karl Braun"/>
    <x v="0"/>
    <s v="United States"/>
    <x v="19"/>
    <x v="14"/>
    <x v="2"/>
    <s v="FUR-FU-10001731"/>
    <x v="0"/>
    <x v="3"/>
    <s v="Acrylic Self-Standing Desk Frames"/>
    <n v="10.68"/>
    <n v="4"/>
    <n v="4.0583999999999998"/>
    <x v="6"/>
    <x v="10"/>
  </r>
  <r>
    <s v="CA-2014-113768"/>
    <x v="633"/>
    <d v="2014-05-19T00:00:00"/>
    <x v="1"/>
    <s v="AH-10030"/>
    <s v="Aaron Hawkins"/>
    <x v="1"/>
    <s v="United States"/>
    <x v="2"/>
    <x v="2"/>
    <x v="1"/>
    <s v="FUR-CH-10002439"/>
    <x v="0"/>
    <x v="1"/>
    <s v="Iceberg Nesting Folding Chair, 19w x 6d x 43h"/>
    <n v="279.45600000000002"/>
    <n v="6"/>
    <n v="20.959199999999999"/>
    <x v="6"/>
    <x v="7"/>
  </r>
  <r>
    <s v="US-2017-126060"/>
    <x v="438"/>
    <d v="2017-04-18T00:00:00"/>
    <x v="1"/>
    <s v="DW-13585"/>
    <s v="Dorothy Wardle"/>
    <x v="1"/>
    <s v="United States"/>
    <x v="160"/>
    <x v="30"/>
    <x v="0"/>
    <s v="FUR-BO-10003433"/>
    <x v="0"/>
    <x v="0"/>
    <s v="Sauder Cornerstone Collection Library"/>
    <n v="198.27199999999999"/>
    <n v="8"/>
    <n v="-32.219200000000001"/>
    <x v="4"/>
    <x v="6"/>
  </r>
  <r>
    <s v="CA-2016-122017"/>
    <x v="353"/>
    <d v="2017-01-02T00:00:00"/>
    <x v="1"/>
    <s v="CD-11920"/>
    <s v="Carlos Daly"/>
    <x v="0"/>
    <s v="United States"/>
    <x v="271"/>
    <x v="44"/>
    <x v="3"/>
    <s v="FUR-FU-10000672"/>
    <x v="0"/>
    <x v="3"/>
    <s v="Executive Impressions 10&quot; Spectator Wall Clock"/>
    <n v="70.56"/>
    <n v="6"/>
    <n v="23.990400000000001"/>
    <x v="4"/>
    <x v="5"/>
  </r>
  <r>
    <s v="US-2017-136721"/>
    <x v="403"/>
    <d v="2017-04-12T00:00:00"/>
    <x v="1"/>
    <s v="NH-18610"/>
    <s v="Nicole Hansen"/>
    <x v="1"/>
    <s v="United States"/>
    <x v="272"/>
    <x v="17"/>
    <x v="3"/>
    <s v="FUR-FU-10004665"/>
    <x v="0"/>
    <x v="3"/>
    <s v="3M Polarizing Task Lamp with Clamp Arm, Light Gray"/>
    <n v="273.95999999999998"/>
    <n v="2"/>
    <n v="71.229600000000005"/>
    <x v="4"/>
    <x v="6"/>
  </r>
  <r>
    <s v="US-2017-136721"/>
    <x v="403"/>
    <d v="2017-04-12T00:00:00"/>
    <x v="1"/>
    <s v="NH-18610"/>
    <s v="Nicole Hansen"/>
    <x v="1"/>
    <s v="United States"/>
    <x v="272"/>
    <x v="17"/>
    <x v="3"/>
    <s v="FUR-FU-10004188"/>
    <x v="0"/>
    <x v="3"/>
    <s v="Luxo Professional Combination Clamp-On Lamps"/>
    <n v="306.89999999999998"/>
    <n v="3"/>
    <n v="79.793999999999997"/>
    <x v="4"/>
    <x v="6"/>
  </r>
  <r>
    <s v="CA-2015-118738"/>
    <x v="634"/>
    <d v="2015-10-30T00:00:00"/>
    <x v="1"/>
    <s v="AG-10495"/>
    <s v="Andrew Gjertsen"/>
    <x v="1"/>
    <s v="United States"/>
    <x v="6"/>
    <x v="5"/>
    <x v="3"/>
    <s v="FUR-TA-10002607"/>
    <x v="0"/>
    <x v="2"/>
    <s v="KI Conference Tables"/>
    <n v="347.36099999999999"/>
    <n v="7"/>
    <n v="-69.472200000000001"/>
    <x v="6"/>
    <x v="1"/>
  </r>
  <r>
    <s v="US-2014-123183"/>
    <x v="635"/>
    <d v="2014-11-25T00:00:00"/>
    <x v="1"/>
    <s v="GR-14560"/>
    <s v="Georgia Rosenberg"/>
    <x v="1"/>
    <s v="United States"/>
    <x v="16"/>
    <x v="14"/>
    <x v="2"/>
    <s v="FUR-BO-10000362"/>
    <x v="0"/>
    <x v="0"/>
    <s v="Sauder Inglewood Library Bookcases"/>
    <n v="1025.8800000000001"/>
    <n v="6"/>
    <n v="235.95240000000001"/>
    <x v="6"/>
    <x v="0"/>
  </r>
  <r>
    <s v="US-2016-147340"/>
    <x v="211"/>
    <d v="2016-09-24T00:00:00"/>
    <x v="3"/>
    <s v="EB-13750"/>
    <s v="Edward Becker"/>
    <x v="1"/>
    <s v="United States"/>
    <x v="28"/>
    <x v="2"/>
    <x v="1"/>
    <s v="FUR-FU-10002501"/>
    <x v="0"/>
    <x v="3"/>
    <s v="Nu-Dell Executive Frame"/>
    <n v="63.2"/>
    <n v="5"/>
    <n v="23.384"/>
    <x v="7"/>
    <x v="4"/>
  </r>
  <r>
    <s v="CA-2016-117681"/>
    <x v="636"/>
    <d v="2016-04-14T00:00:00"/>
    <x v="1"/>
    <s v="HF-14995"/>
    <s v="Herbert Flentye"/>
    <x v="0"/>
    <s v="United States"/>
    <x v="2"/>
    <x v="2"/>
    <x v="1"/>
    <s v="FUR-BO-10001798"/>
    <x v="0"/>
    <x v="0"/>
    <s v="Bush Somerset Collection Bookcase"/>
    <n v="556.66499999999996"/>
    <n v="5"/>
    <n v="6.5490000000000004"/>
    <x v="2"/>
    <x v="6"/>
  </r>
  <r>
    <s v="CA-2016-153598"/>
    <x v="122"/>
    <d v="2016-12-06T00:00:00"/>
    <x v="2"/>
    <s v="NM-18520"/>
    <s v="Neoma Murray"/>
    <x v="0"/>
    <s v="United States"/>
    <x v="2"/>
    <x v="2"/>
    <x v="1"/>
    <s v="FUR-FU-10001085"/>
    <x v="0"/>
    <x v="3"/>
    <s v="3M Polarizing Light Filter Sleeves"/>
    <n v="111.9"/>
    <n v="6"/>
    <n v="51.473999999999997"/>
    <x v="0"/>
    <x v="5"/>
  </r>
  <r>
    <s v="US-2016-108497"/>
    <x v="184"/>
    <d v="2016-06-14T00:00:00"/>
    <x v="3"/>
    <s v="MH-17290"/>
    <s v="Marc Harrigan"/>
    <x v="2"/>
    <s v="United States"/>
    <x v="2"/>
    <x v="2"/>
    <x v="1"/>
    <s v="FUR-BO-10004218"/>
    <x v="0"/>
    <x v="0"/>
    <s v="Bush Heritage Pine Collection 5-Shelf Bookcase, Albany Pine Finish, *Special Order"/>
    <n v="599.16499999999996"/>
    <n v="5"/>
    <n v="35.244999999999997"/>
    <x v="7"/>
    <x v="2"/>
  </r>
  <r>
    <s v="CA-2014-136861"/>
    <x v="637"/>
    <d v="2014-09-07T00:00:00"/>
    <x v="2"/>
    <s v="PR-18880"/>
    <s v="Patrick Ryan"/>
    <x v="0"/>
    <s v="United States"/>
    <x v="66"/>
    <x v="1"/>
    <x v="0"/>
    <s v="FUR-FU-10001967"/>
    <x v="0"/>
    <x v="3"/>
    <s v="Telescoping Adjustable Floor Lamp"/>
    <n v="31.984000000000002"/>
    <n v="2"/>
    <n v="1.9990000000000001"/>
    <x v="3"/>
    <x v="4"/>
  </r>
  <r>
    <s v="CA-2014-103317"/>
    <x v="638"/>
    <d v="2014-07-08T00:00:00"/>
    <x v="2"/>
    <s v="DM-13525"/>
    <s v="Don Miller"/>
    <x v="1"/>
    <s v="United States"/>
    <x v="273"/>
    <x v="1"/>
    <x v="0"/>
    <s v="FUR-FU-10001591"/>
    <x v="0"/>
    <x v="3"/>
    <s v="Advantus Panel Wall Certificate Holder - 8.5x11"/>
    <n v="19.52"/>
    <n v="2"/>
    <n v="5.3680000000000003"/>
    <x v="0"/>
    <x v="3"/>
  </r>
  <r>
    <s v="CA-2014-103317"/>
    <x v="638"/>
    <d v="2014-07-08T00:00:00"/>
    <x v="2"/>
    <s v="DM-13525"/>
    <s v="Don Miller"/>
    <x v="1"/>
    <s v="United States"/>
    <x v="273"/>
    <x v="1"/>
    <x v="0"/>
    <s v="FUR-FU-10003192"/>
    <x v="0"/>
    <x v="3"/>
    <s v="Luxo Adjustable Task Clamp Lamp"/>
    <n v="213.21600000000001"/>
    <n v="3"/>
    <n v="15.991199999999999"/>
    <x v="0"/>
    <x v="3"/>
  </r>
  <r>
    <s v="US-2014-119081"/>
    <x v="639"/>
    <d v="2014-09-19T00:00:00"/>
    <x v="1"/>
    <s v="TA-21385"/>
    <s v="Tom Ashbrook"/>
    <x v="2"/>
    <s v="United States"/>
    <x v="274"/>
    <x v="44"/>
    <x v="3"/>
    <s v="FUR-FU-10003464"/>
    <x v="0"/>
    <x v="3"/>
    <s v="Seth Thomas 8 1/2&quot; Cubicle Clock"/>
    <n v="40.56"/>
    <n v="2"/>
    <n v="12.979200000000001"/>
    <x v="1"/>
    <x v="4"/>
  </r>
  <r>
    <s v="CA-2017-130631"/>
    <x v="297"/>
    <d v="2018-01-02T00:00:00"/>
    <x v="1"/>
    <s v="BS-11755"/>
    <s v="Bruce Stewart"/>
    <x v="0"/>
    <s v="United States"/>
    <x v="71"/>
    <x v="13"/>
    <x v="1"/>
    <s v="FUR-FU-10004093"/>
    <x v="0"/>
    <x v="3"/>
    <s v="Hand-Finished Solid Wood Document Frame"/>
    <n v="68.459999999999994"/>
    <n v="2"/>
    <n v="20.538"/>
    <x v="4"/>
    <x v="5"/>
  </r>
  <r>
    <s v="CA-2017-116680"/>
    <x v="362"/>
    <d v="2017-09-06T00:00:00"/>
    <x v="0"/>
    <s v="PK-19075"/>
    <s v="Pete Kriz"/>
    <x v="0"/>
    <s v="United States"/>
    <x v="28"/>
    <x v="2"/>
    <x v="1"/>
    <s v="FUR-TA-10001771"/>
    <x v="0"/>
    <x v="2"/>
    <s v="Bush Cubix Conference Tables, Fully Assembled"/>
    <n v="1478.2719999999999"/>
    <n v="8"/>
    <n v="92.391999999999996"/>
    <x v="3"/>
    <x v="4"/>
  </r>
  <r>
    <s v="CA-2017-101574"/>
    <x v="559"/>
    <d v="2017-10-04T00:00:00"/>
    <x v="1"/>
    <s v="BD-11725"/>
    <s v="Bruce Degenhardt"/>
    <x v="0"/>
    <s v="United States"/>
    <x v="2"/>
    <x v="2"/>
    <x v="1"/>
    <s v="FUR-FU-10001706"/>
    <x v="0"/>
    <x v="3"/>
    <s v="Longer-Life Soft White Bulbs"/>
    <n v="9.24"/>
    <n v="3"/>
    <n v="4.4352"/>
    <x v="6"/>
    <x v="4"/>
  </r>
  <r>
    <s v="CA-2014-146591"/>
    <x v="640"/>
    <d v="2014-01-20T00:00:00"/>
    <x v="2"/>
    <s v="TS-21340"/>
    <s v="Toby Swindell"/>
    <x v="0"/>
    <s v="United States"/>
    <x v="163"/>
    <x v="22"/>
    <x v="1"/>
    <s v="FUR-BO-10001972"/>
    <x v="0"/>
    <x v="0"/>
    <s v="O'Sullivan 4-Shelf Bookcase in Odessa Pine"/>
    <n v="181.47"/>
    <n v="5"/>
    <n v="-320.59699999999998"/>
    <x v="5"/>
    <x v="8"/>
  </r>
  <r>
    <s v="CA-2016-122448"/>
    <x v="641"/>
    <d v="2016-06-14T00:00:00"/>
    <x v="1"/>
    <s v="DB-13210"/>
    <s v="Dean Braden"/>
    <x v="0"/>
    <s v="United States"/>
    <x v="28"/>
    <x v="2"/>
    <x v="1"/>
    <s v="FUR-CH-10002774"/>
    <x v="0"/>
    <x v="1"/>
    <s v="Global Deluxe Stacking Chair, Gray"/>
    <n v="122.352"/>
    <n v="3"/>
    <n v="13.7646"/>
    <x v="2"/>
    <x v="2"/>
  </r>
  <r>
    <s v="CA-2014-132451"/>
    <x v="218"/>
    <d v="2014-09-27T00:00:00"/>
    <x v="2"/>
    <s v="KF-16285"/>
    <s v="Karen Ferguson"/>
    <x v="2"/>
    <s v="United States"/>
    <x v="53"/>
    <x v="2"/>
    <x v="1"/>
    <s v="FUR-CH-10000454"/>
    <x v="0"/>
    <x v="1"/>
    <s v="Hon Deluxe Fabric Upholstered Stacking Chairs, Rounded Back"/>
    <n v="585.55200000000002"/>
    <n v="3"/>
    <n v="73.194000000000003"/>
    <x v="5"/>
    <x v="4"/>
  </r>
  <r>
    <s v="CA-2017-116946"/>
    <x v="642"/>
    <d v="2017-12-23T00:00:00"/>
    <x v="1"/>
    <s v="TS-21505"/>
    <s v="Tony Sayre"/>
    <x v="0"/>
    <s v="United States"/>
    <x v="47"/>
    <x v="12"/>
    <x v="1"/>
    <s v="FUR-FU-10000320"/>
    <x v="0"/>
    <x v="3"/>
    <s v="OIC Stacking Trays"/>
    <n v="13.36"/>
    <n v="5"/>
    <n v="4.008"/>
    <x v="4"/>
    <x v="5"/>
  </r>
  <r>
    <s v="CA-2017-116946"/>
    <x v="642"/>
    <d v="2017-12-23T00:00:00"/>
    <x v="1"/>
    <s v="TS-21505"/>
    <s v="Tony Sayre"/>
    <x v="0"/>
    <s v="United States"/>
    <x v="47"/>
    <x v="12"/>
    <x v="1"/>
    <s v="FUR-BO-10000468"/>
    <x v="0"/>
    <x v="0"/>
    <s v="O'Sullivan 2-Shelf Heavy-Duty Bookcases"/>
    <n v="102.018"/>
    <n v="7"/>
    <n v="-183.63239999999999"/>
    <x v="4"/>
    <x v="5"/>
  </r>
  <r>
    <s v="CA-2017-148999"/>
    <x v="129"/>
    <d v="2017-02-04T00:00:00"/>
    <x v="1"/>
    <s v="EB-13870"/>
    <s v="Emily Burns"/>
    <x v="0"/>
    <s v="United States"/>
    <x v="89"/>
    <x v="1"/>
    <x v="0"/>
    <s v="FUR-CH-10002044"/>
    <x v="0"/>
    <x v="1"/>
    <s v="Office Star - Contemporary Task Swivel chair with 2-way adjustable arms, Plum"/>
    <n v="419.13600000000002"/>
    <n v="4"/>
    <n v="-68.1096"/>
    <x v="2"/>
    <x v="8"/>
  </r>
  <r>
    <s v="CA-2017-134495"/>
    <x v="535"/>
    <d v="2017-04-04T00:00:00"/>
    <x v="0"/>
    <s v="BF-11020"/>
    <s v="Barry Franzšsisch"/>
    <x v="1"/>
    <s v="United States"/>
    <x v="51"/>
    <x v="1"/>
    <x v="0"/>
    <s v="FUR-CH-10003774"/>
    <x v="0"/>
    <x v="1"/>
    <s v="Global Wood Trimmed Manager's Task Chair, Khaki"/>
    <n v="218.352"/>
    <n v="3"/>
    <n v="-19.105799999999999"/>
    <x v="0"/>
    <x v="6"/>
  </r>
  <r>
    <s v="CA-2014-105249"/>
    <x v="616"/>
    <d v="2014-11-28T00:00:00"/>
    <x v="3"/>
    <s v="DH-13675"/>
    <s v="Duane Huffman"/>
    <x v="2"/>
    <s v="United States"/>
    <x v="28"/>
    <x v="2"/>
    <x v="1"/>
    <s v="FUR-BO-10000330"/>
    <x v="0"/>
    <x v="0"/>
    <s v="Sauder Camden County Barrister Bookcase, Planked Cherry Finish"/>
    <n v="411.33199999999999"/>
    <n v="4"/>
    <n v="-4.8391999999999999"/>
    <x v="7"/>
    <x v="0"/>
  </r>
  <r>
    <s v="CA-2017-164378"/>
    <x v="316"/>
    <d v="2017-07-18T00:00:00"/>
    <x v="0"/>
    <s v="MM-18055"/>
    <s v="Michelle Moray"/>
    <x v="0"/>
    <s v="United States"/>
    <x v="13"/>
    <x v="7"/>
    <x v="2"/>
    <s v="FUR-CH-10002084"/>
    <x v="0"/>
    <x v="1"/>
    <s v="Hon Mobius Operator's Chair"/>
    <n v="664.14599999999996"/>
    <n v="6"/>
    <n v="88.552800000000005"/>
    <x v="0"/>
    <x v="3"/>
  </r>
  <r>
    <s v="CA-2017-127782"/>
    <x v="575"/>
    <d v="2017-11-06T00:00:00"/>
    <x v="1"/>
    <s v="TH-21115"/>
    <s v="Thea Hudgings"/>
    <x v="1"/>
    <s v="United States"/>
    <x v="3"/>
    <x v="3"/>
    <x v="2"/>
    <s v="FUR-FU-10001847"/>
    <x v="0"/>
    <x v="3"/>
    <s v="Eldon Image Series Black Desk Accessories"/>
    <n v="3.3119999999999998"/>
    <n v="1"/>
    <n v="0.66239999999999999"/>
    <x v="4"/>
    <x v="0"/>
  </r>
  <r>
    <s v="CA-2015-168529"/>
    <x v="643"/>
    <d v="2015-10-12T00:00:00"/>
    <x v="1"/>
    <s v="MB-17305"/>
    <s v="Maria Bertelson"/>
    <x v="0"/>
    <s v="United States"/>
    <x v="28"/>
    <x v="2"/>
    <x v="1"/>
    <s v="FUR-FU-10001588"/>
    <x v="0"/>
    <x v="3"/>
    <s v="Deflect-o SuperTray Unbreakable Stackable Tray, Letter, Black"/>
    <n v="145.9"/>
    <n v="5"/>
    <n v="62.737000000000002"/>
    <x v="4"/>
    <x v="1"/>
  </r>
  <r>
    <s v="CA-2017-117667"/>
    <x v="423"/>
    <d v="2017-12-09T00:00:00"/>
    <x v="1"/>
    <s v="MS-17980"/>
    <s v="Michael Stewart"/>
    <x v="1"/>
    <s v="United States"/>
    <x v="3"/>
    <x v="3"/>
    <x v="2"/>
    <s v="FUR-CH-10004540"/>
    <x v="0"/>
    <x v="1"/>
    <s v="Global Chrome Stack Chair"/>
    <n v="239.96"/>
    <n v="10"/>
    <n v="-10.284000000000001"/>
    <x v="2"/>
    <x v="5"/>
  </r>
  <r>
    <s v="CA-2017-117667"/>
    <x v="423"/>
    <d v="2017-12-09T00:00:00"/>
    <x v="1"/>
    <s v="MS-17980"/>
    <s v="Michael Stewart"/>
    <x v="1"/>
    <s v="United States"/>
    <x v="3"/>
    <x v="3"/>
    <x v="2"/>
    <s v="FUR-FU-10004093"/>
    <x v="0"/>
    <x v="3"/>
    <s v="Hand-Finished Solid Wood Document Frame"/>
    <n v="54.768000000000001"/>
    <n v="2"/>
    <n v="6.8460000000000001"/>
    <x v="2"/>
    <x v="5"/>
  </r>
  <r>
    <s v="US-2017-150595"/>
    <x v="644"/>
    <d v="2017-05-26T00:00:00"/>
    <x v="1"/>
    <s v="LE-16810"/>
    <s v="Laurel Elliston"/>
    <x v="0"/>
    <s v="United States"/>
    <x v="9"/>
    <x v="8"/>
    <x v="3"/>
    <s v="FUR-CH-10000513"/>
    <x v="0"/>
    <x v="1"/>
    <s v="High-Back Leather Manager's Chair"/>
    <n v="181.98599999999999"/>
    <n v="2"/>
    <n v="-54.595799999999997"/>
    <x v="4"/>
    <x v="7"/>
  </r>
  <r>
    <s v="CA-2016-134936"/>
    <x v="645"/>
    <d v="2016-12-25T00:00:00"/>
    <x v="1"/>
    <s v="ES-14080"/>
    <s v="Erin Smith"/>
    <x v="1"/>
    <s v="United States"/>
    <x v="104"/>
    <x v="22"/>
    <x v="1"/>
    <s v="FUR-TA-10001086"/>
    <x v="0"/>
    <x v="2"/>
    <s v="SAFCO PlanMaster Boards, 60w x 37-1/2d, White Melamine"/>
    <n v="455.97"/>
    <n v="6"/>
    <n v="-218.8656"/>
    <x v="6"/>
    <x v="5"/>
  </r>
  <r>
    <s v="CA-2017-151008"/>
    <x v="87"/>
    <d v="2017-09-08T00:00:00"/>
    <x v="2"/>
    <s v="JM-16195"/>
    <s v="Justin MacKendrick"/>
    <x v="0"/>
    <s v="United States"/>
    <x v="275"/>
    <x v="4"/>
    <x v="1"/>
    <s v="FUR-FU-10002396"/>
    <x v="0"/>
    <x v="3"/>
    <s v="DAX Copper Panel Document Frame, 5 x 7 Size"/>
    <n v="25.16"/>
    <n v="2"/>
    <n v="10.5672"/>
    <x v="5"/>
    <x v="4"/>
  </r>
  <r>
    <s v="US-2014-159618"/>
    <x v="352"/>
    <d v="2014-11-16T00:00:00"/>
    <x v="1"/>
    <s v="DB-12970"/>
    <s v="Darren Budd"/>
    <x v="1"/>
    <s v="United States"/>
    <x v="6"/>
    <x v="5"/>
    <x v="3"/>
    <s v="FUR-BO-10004467"/>
    <x v="0"/>
    <x v="0"/>
    <s v="Bestar Classic Bookcase"/>
    <n v="67.993200000000002"/>
    <n v="1"/>
    <n v="-12.998699999999999"/>
    <x v="4"/>
    <x v="0"/>
  </r>
  <r>
    <s v="CA-2017-116113"/>
    <x v="125"/>
    <d v="2017-10-06T00:00:00"/>
    <x v="0"/>
    <s v="JW-15220"/>
    <s v="Jane Waco"/>
    <x v="1"/>
    <s v="United States"/>
    <x v="132"/>
    <x v="33"/>
    <x v="0"/>
    <s v="FUR-FU-10002963"/>
    <x v="0"/>
    <x v="3"/>
    <s v="Master Caster Door Stop, Gray"/>
    <n v="10.16"/>
    <n v="2"/>
    <n v="3.4544000000000001"/>
    <x v="4"/>
    <x v="1"/>
  </r>
  <r>
    <s v="CA-2015-125066"/>
    <x v="646"/>
    <d v="2015-12-18T00:00:00"/>
    <x v="1"/>
    <s v="KD-16495"/>
    <s v="Keith Dawkins"/>
    <x v="1"/>
    <s v="United States"/>
    <x v="38"/>
    <x v="21"/>
    <x v="0"/>
    <s v="FUR-FU-10003829"/>
    <x v="0"/>
    <x v="3"/>
    <s v="Stackable Trays"/>
    <n v="6.16"/>
    <n v="2"/>
    <n v="1.9712000000000001"/>
    <x v="4"/>
    <x v="5"/>
  </r>
  <r>
    <s v="CA-2017-157966"/>
    <x v="647"/>
    <d v="2017-03-13T00:00:00"/>
    <x v="3"/>
    <s v="SU-20665"/>
    <s v="Stephanie Ulpright"/>
    <x v="2"/>
    <s v="United States"/>
    <x v="9"/>
    <x v="8"/>
    <x v="3"/>
    <s v="FUR-CH-10003606"/>
    <x v="0"/>
    <x v="1"/>
    <s v="SAFCO Folding Chair Trolley"/>
    <n v="89.768000000000001"/>
    <n v="1"/>
    <n v="-2.5648"/>
    <x v="7"/>
    <x v="9"/>
  </r>
  <r>
    <s v="CA-2016-136686"/>
    <x v="574"/>
    <d v="2016-12-16T00:00:00"/>
    <x v="1"/>
    <s v="RF-19840"/>
    <s v="Roy Franzšsisch"/>
    <x v="0"/>
    <s v="United States"/>
    <x v="102"/>
    <x v="2"/>
    <x v="1"/>
    <s v="FUR-FU-10004864"/>
    <x v="0"/>
    <x v="3"/>
    <s v="Howard Miller 14-1/2&quot; Diameter Chrome Round Wall Clock"/>
    <n v="383.64"/>
    <n v="6"/>
    <n v="122.76479999999999"/>
    <x v="4"/>
    <x v="5"/>
  </r>
  <r>
    <s v="CA-2017-137498"/>
    <x v="198"/>
    <d v="2017-09-14T00:00:00"/>
    <x v="0"/>
    <s v="LC-17050"/>
    <s v="Liz Carlisle"/>
    <x v="0"/>
    <s v="United States"/>
    <x v="2"/>
    <x v="2"/>
    <x v="1"/>
    <s v="FUR-CH-10003833"/>
    <x v="0"/>
    <x v="1"/>
    <s v="Novimex Fabric Task Chair"/>
    <n v="243.92"/>
    <n v="5"/>
    <n v="-15.244999999999999"/>
    <x v="2"/>
    <x v="4"/>
  </r>
  <r>
    <s v="CA-2017-163818"/>
    <x v="648"/>
    <d v="2017-10-08T00:00:00"/>
    <x v="1"/>
    <s v="PS-18970"/>
    <s v="Paul Stevenson"/>
    <x v="2"/>
    <s v="United States"/>
    <x v="218"/>
    <x v="32"/>
    <x v="2"/>
    <s v="FUR-FU-10000076"/>
    <x v="0"/>
    <x v="3"/>
    <s v="24-Hour Round Wall Clock"/>
    <n v="19.98"/>
    <n v="1"/>
    <n v="8.5914000000000001"/>
    <x v="4"/>
    <x v="1"/>
  </r>
  <r>
    <s v="CA-2014-116673"/>
    <x v="256"/>
    <d v="2014-12-19T00:00:00"/>
    <x v="0"/>
    <s v="JO-15280"/>
    <s v="Jas O'Carroll"/>
    <x v="0"/>
    <s v="United States"/>
    <x v="53"/>
    <x v="2"/>
    <x v="1"/>
    <s v="FUR-FU-10003829"/>
    <x v="0"/>
    <x v="3"/>
    <s v="Stackable Trays"/>
    <n v="6.16"/>
    <n v="2"/>
    <n v="1.9712000000000001"/>
    <x v="4"/>
    <x v="5"/>
  </r>
  <r>
    <s v="CA-2014-164742"/>
    <x v="137"/>
    <d v="2014-10-18T00:00:00"/>
    <x v="0"/>
    <s v="ML-17395"/>
    <s v="Marina Lichtenstein"/>
    <x v="1"/>
    <s v="United States"/>
    <x v="174"/>
    <x v="18"/>
    <x v="2"/>
    <s v="FUR-CH-10002880"/>
    <x v="0"/>
    <x v="1"/>
    <s v="Global High-Back Leather Tilter, Burgundy"/>
    <n v="245.98"/>
    <n v="2"/>
    <n v="27.0578"/>
    <x v="2"/>
    <x v="1"/>
  </r>
  <r>
    <s v="CA-2016-134516"/>
    <x v="649"/>
    <d v="2016-09-25T00:00:00"/>
    <x v="1"/>
    <s v="FM-14215"/>
    <s v="Filia McAdams"/>
    <x v="1"/>
    <s v="United States"/>
    <x v="224"/>
    <x v="30"/>
    <x v="0"/>
    <s v="FUR-FU-10001546"/>
    <x v="0"/>
    <x v="3"/>
    <s v="Dana Swing-Arm Lamps"/>
    <n v="17.088000000000001"/>
    <n v="2"/>
    <n v="1.0680000000000001"/>
    <x v="2"/>
    <x v="4"/>
  </r>
  <r>
    <s v="CA-2016-134516"/>
    <x v="649"/>
    <d v="2016-09-25T00:00:00"/>
    <x v="1"/>
    <s v="FM-14215"/>
    <s v="Filia McAdams"/>
    <x v="1"/>
    <s v="United States"/>
    <x v="224"/>
    <x v="30"/>
    <x v="0"/>
    <s v="FUR-CH-10002880"/>
    <x v="0"/>
    <x v="1"/>
    <s v="Global High-Back Leather Tilter, Burgundy"/>
    <n v="98.391999999999996"/>
    <n v="1"/>
    <n v="-11.069100000000001"/>
    <x v="2"/>
    <x v="4"/>
  </r>
  <r>
    <s v="CA-2017-125745"/>
    <x v="254"/>
    <d v="2017-07-04T00:00:00"/>
    <x v="1"/>
    <s v="DV-13045"/>
    <s v="Darrin Van Huff"/>
    <x v="1"/>
    <s v="United States"/>
    <x v="10"/>
    <x v="9"/>
    <x v="0"/>
    <s v="FUR-FU-10001591"/>
    <x v="0"/>
    <x v="3"/>
    <s v="Advantus Panel Wall Certificate Holder - 8.5x11"/>
    <n v="19.52"/>
    <n v="2"/>
    <n v="5.3680000000000003"/>
    <x v="4"/>
    <x v="2"/>
  </r>
  <r>
    <s v="US-2016-124163"/>
    <x v="228"/>
    <d v="2016-09-30T00:00:00"/>
    <x v="1"/>
    <s v="SC-20695"/>
    <s v="Steve Chapman"/>
    <x v="1"/>
    <s v="United States"/>
    <x v="276"/>
    <x v="16"/>
    <x v="3"/>
    <s v="FUR-CH-10004218"/>
    <x v="0"/>
    <x v="1"/>
    <s v="Global Fabric Manager's Chair, Dark Gray"/>
    <n v="201.96"/>
    <n v="2"/>
    <n v="50.49"/>
    <x v="2"/>
    <x v="4"/>
  </r>
  <r>
    <s v="US-2016-124163"/>
    <x v="228"/>
    <d v="2016-09-30T00:00:00"/>
    <x v="1"/>
    <s v="SC-20695"/>
    <s v="Steve Chapman"/>
    <x v="1"/>
    <s v="United States"/>
    <x v="276"/>
    <x v="16"/>
    <x v="3"/>
    <s v="FUR-FU-10000755"/>
    <x v="0"/>
    <x v="3"/>
    <s v="Eldon Expressions Mahogany Wood Desk Collection"/>
    <n v="68.64"/>
    <n v="11"/>
    <n v="17.16"/>
    <x v="2"/>
    <x v="4"/>
  </r>
  <r>
    <s v="CA-2014-126683"/>
    <x v="189"/>
    <d v="2014-10-01T00:00:00"/>
    <x v="0"/>
    <s v="PP-18955"/>
    <s v="Paul Prost"/>
    <x v="2"/>
    <s v="United States"/>
    <x v="15"/>
    <x v="13"/>
    <x v="1"/>
    <s v="FUR-FU-10001706"/>
    <x v="0"/>
    <x v="3"/>
    <s v="Longer-Life Soft White Bulbs"/>
    <n v="6.16"/>
    <n v="2"/>
    <n v="2.9567999999999999"/>
    <x v="3"/>
    <x v="4"/>
  </r>
  <r>
    <s v="CA-2014-126683"/>
    <x v="189"/>
    <d v="2014-10-01T00:00:00"/>
    <x v="0"/>
    <s v="PP-18955"/>
    <s v="Paul Prost"/>
    <x v="2"/>
    <s v="United States"/>
    <x v="15"/>
    <x v="13"/>
    <x v="1"/>
    <s v="FUR-TA-10002958"/>
    <x v="0"/>
    <x v="2"/>
    <s v="Bevis Oval Conference Table, Walnut"/>
    <n v="2348.8200000000002"/>
    <n v="9"/>
    <n v="399.29939999999999"/>
    <x v="3"/>
    <x v="4"/>
  </r>
  <r>
    <s v="CA-2017-148810"/>
    <x v="332"/>
    <d v="2017-07-01T00:00:00"/>
    <x v="1"/>
    <s v="DR-12880"/>
    <s v="Dan Reichenbach"/>
    <x v="1"/>
    <s v="United States"/>
    <x v="89"/>
    <x v="1"/>
    <x v="0"/>
    <s v="FUR-CH-10001545"/>
    <x v="0"/>
    <x v="1"/>
    <s v="Hon Comfortask Task/Swivel Chairs"/>
    <n v="273.55200000000002"/>
    <n v="3"/>
    <n v="-13.6776"/>
    <x v="2"/>
    <x v="2"/>
  </r>
  <r>
    <s v="US-2016-146066"/>
    <x v="650"/>
    <d v="2016-08-23T00:00:00"/>
    <x v="0"/>
    <s v="RB-19465"/>
    <s v="Rick Bensley"/>
    <x v="2"/>
    <s v="United States"/>
    <x v="3"/>
    <x v="3"/>
    <x v="2"/>
    <s v="FUR-TA-10002530"/>
    <x v="0"/>
    <x v="2"/>
    <s v="Iceberg OfficeWorks 42&quot; Round Tables"/>
    <n v="815.29200000000003"/>
    <n v="9"/>
    <n v="-339.70499999999998"/>
    <x v="3"/>
    <x v="10"/>
  </r>
  <r>
    <s v="CA-2014-127614"/>
    <x v="651"/>
    <d v="2014-02-15T00:00:00"/>
    <x v="1"/>
    <s v="NF-18385"/>
    <s v="Natalie Fritzler"/>
    <x v="0"/>
    <s v="United States"/>
    <x v="180"/>
    <x v="25"/>
    <x v="0"/>
    <s v="FUR-TA-10003715"/>
    <x v="0"/>
    <x v="2"/>
    <s v="Hon 2111 Invitation Series Corner Table"/>
    <n v="1256.22"/>
    <n v="6"/>
    <n v="75.373199999999997"/>
    <x v="4"/>
    <x v="11"/>
  </r>
  <r>
    <s v="CA-2017-113208"/>
    <x v="292"/>
    <d v="2017-04-02T00:00:00"/>
    <x v="1"/>
    <s v="ML-18040"/>
    <s v="Michelle Lonsdale"/>
    <x v="1"/>
    <s v="United States"/>
    <x v="54"/>
    <x v="17"/>
    <x v="3"/>
    <s v="FUR-FU-10004245"/>
    <x v="0"/>
    <x v="3"/>
    <s v="Career Cubicle Clock, 8 1/4&quot;, Black"/>
    <n v="60.84"/>
    <n v="3"/>
    <n v="23.119199999999999"/>
    <x v="1"/>
    <x v="9"/>
  </r>
  <r>
    <s v="CA-2014-154893"/>
    <x v="652"/>
    <d v="2014-12-27T00:00:00"/>
    <x v="1"/>
    <s v="GM-14440"/>
    <s v="Gary McGarr"/>
    <x v="0"/>
    <s v="United States"/>
    <x v="53"/>
    <x v="2"/>
    <x v="1"/>
    <s v="FUR-CH-10004287"/>
    <x v="0"/>
    <x v="1"/>
    <s v="SAFCO Arco Folding Chair"/>
    <n v="1325.76"/>
    <n v="6"/>
    <n v="149.148"/>
    <x v="6"/>
    <x v="5"/>
  </r>
  <r>
    <s v="CA-2014-154893"/>
    <x v="652"/>
    <d v="2014-12-27T00:00:00"/>
    <x v="1"/>
    <s v="GM-14440"/>
    <s v="Gary McGarr"/>
    <x v="0"/>
    <s v="United States"/>
    <x v="53"/>
    <x v="2"/>
    <x v="1"/>
    <s v="FUR-CH-10000595"/>
    <x v="0"/>
    <x v="1"/>
    <s v="Safco Contoured Stacking Chairs"/>
    <n v="572.16"/>
    <n v="3"/>
    <n v="35.76"/>
    <x v="6"/>
    <x v="5"/>
  </r>
  <r>
    <s v="CA-2016-127985"/>
    <x v="610"/>
    <d v="2016-04-05T00:00:00"/>
    <x v="0"/>
    <s v="DB-12910"/>
    <s v="Daniel Byrd"/>
    <x v="2"/>
    <s v="United States"/>
    <x v="29"/>
    <x v="24"/>
    <x v="0"/>
    <s v="FUR-FU-10003274"/>
    <x v="0"/>
    <x v="3"/>
    <s v="Regeneration Desk Collection"/>
    <n v="7.04"/>
    <n v="4"/>
    <n v="3.0975999999999999"/>
    <x v="4"/>
    <x v="6"/>
  </r>
  <r>
    <s v="CA-2017-127117"/>
    <x v="438"/>
    <d v="2017-04-19T00:00:00"/>
    <x v="1"/>
    <s v="HM-14860"/>
    <s v="Harry Marie"/>
    <x v="1"/>
    <s v="United States"/>
    <x v="277"/>
    <x v="18"/>
    <x v="2"/>
    <s v="FUR-FU-10004018"/>
    <x v="0"/>
    <x v="3"/>
    <s v="Tensor Computer Mounted Lamp"/>
    <n v="74.45"/>
    <n v="5"/>
    <n v="20.101500000000001"/>
    <x v="2"/>
    <x v="6"/>
  </r>
  <r>
    <s v="CA-2015-104241"/>
    <x v="653"/>
    <d v="2015-01-09T00:00:00"/>
    <x v="1"/>
    <s v="AG-10495"/>
    <s v="Andrew Gjertsen"/>
    <x v="1"/>
    <s v="United States"/>
    <x v="166"/>
    <x v="25"/>
    <x v="0"/>
    <s v="FUR-FU-10001473"/>
    <x v="0"/>
    <x v="3"/>
    <s v="DAX Wood Document Frame"/>
    <n v="192.22"/>
    <n v="14"/>
    <n v="69.199200000000005"/>
    <x v="2"/>
    <x v="8"/>
  </r>
  <r>
    <s v="CA-2017-142342"/>
    <x v="357"/>
    <d v="2017-07-19T00:00:00"/>
    <x v="0"/>
    <s v="AJ-10795"/>
    <s v="Anthony Johnson"/>
    <x v="1"/>
    <s v="United States"/>
    <x v="278"/>
    <x v="2"/>
    <x v="1"/>
    <s v="FUR-BO-10002613"/>
    <x v="0"/>
    <x v="0"/>
    <s v="Atlantic Metals Mobile 4-Shelf Bookcases, Custom Colors"/>
    <n v="1194.165"/>
    <n v="5"/>
    <n v="210.73500000000001"/>
    <x v="3"/>
    <x v="3"/>
  </r>
  <r>
    <s v="CA-2016-145261"/>
    <x v="105"/>
    <d v="2016-12-21T00:00:00"/>
    <x v="2"/>
    <s v="AH-10120"/>
    <s v="Adrian Hane"/>
    <x v="2"/>
    <s v="United States"/>
    <x v="279"/>
    <x v="36"/>
    <x v="1"/>
    <s v="FUR-TA-10002530"/>
    <x v="0"/>
    <x v="2"/>
    <s v="Iceberg OfficeWorks 42&quot; Round Tables"/>
    <n v="377.45"/>
    <n v="5"/>
    <n v="-264.21499999999997"/>
    <x v="0"/>
    <x v="5"/>
  </r>
  <r>
    <s v="CA-2016-108875"/>
    <x v="211"/>
    <d v="2016-10-01T00:00:00"/>
    <x v="1"/>
    <s v="CL-12700"/>
    <s v="Craig Leslie"/>
    <x v="2"/>
    <s v="United States"/>
    <x v="14"/>
    <x v="12"/>
    <x v="1"/>
    <s v="FUR-FU-10002671"/>
    <x v="0"/>
    <x v="3"/>
    <s v="Electrix 20W Halogen Replacement Bulb for Zoom-In Desk Lamp"/>
    <n v="21.44"/>
    <n v="2"/>
    <n v="7.5039999999999996"/>
    <x v="1"/>
    <x v="4"/>
  </r>
  <r>
    <s v="CA-2015-141012"/>
    <x v="654"/>
    <d v="2015-06-11T00:00:00"/>
    <x v="0"/>
    <s v="TG-21640"/>
    <s v="Trudy Glocke"/>
    <x v="0"/>
    <s v="United States"/>
    <x v="280"/>
    <x v="42"/>
    <x v="1"/>
    <s v="FUR-FU-10003192"/>
    <x v="0"/>
    <x v="3"/>
    <s v="Luxo Adjustable Task Clamp Lamp"/>
    <n v="355.36"/>
    <n v="4"/>
    <n v="92.393600000000006"/>
    <x v="3"/>
    <x v="2"/>
  </r>
  <r>
    <s v="CA-2014-126802"/>
    <x v="527"/>
    <d v="2015-01-05T00:00:00"/>
    <x v="1"/>
    <s v="ZC-21910"/>
    <s v="Zuschuss Carroll"/>
    <x v="0"/>
    <s v="United States"/>
    <x v="9"/>
    <x v="8"/>
    <x v="3"/>
    <s v="FUR-FU-10000193"/>
    <x v="0"/>
    <x v="3"/>
    <s v="Tenex Chairmats For Use with Hard Floors"/>
    <n v="38.975999999999999"/>
    <n v="3"/>
    <n v="-50.668799999999997"/>
    <x v="1"/>
    <x v="5"/>
  </r>
  <r>
    <s v="CA-2014-131541"/>
    <x v="655"/>
    <d v="2014-07-28T00:00:00"/>
    <x v="3"/>
    <s v="CK-12205"/>
    <s v="Chloris Kastensmidt"/>
    <x v="0"/>
    <s v="United States"/>
    <x v="281"/>
    <x v="1"/>
    <x v="0"/>
    <s v="FUR-FU-10003623"/>
    <x v="0"/>
    <x v="3"/>
    <s v="DataProducts Ampli Magnifier Task Lamp, Black,"/>
    <n v="129.88800000000001"/>
    <n v="6"/>
    <n v="12.988799999999999"/>
    <x v="7"/>
    <x v="3"/>
  </r>
  <r>
    <s v="CA-2015-119550"/>
    <x v="626"/>
    <d v="2015-12-31T00:00:00"/>
    <x v="1"/>
    <s v="RB-19705"/>
    <s v="Roger Barcio"/>
    <x v="2"/>
    <s v="United States"/>
    <x v="6"/>
    <x v="5"/>
    <x v="3"/>
    <s v="FUR-CH-10002044"/>
    <x v="0"/>
    <x v="1"/>
    <s v="Office Star - Contemporary Task Swivel chair with 2-way adjustable arms, Plum"/>
    <n v="275.05799999999999"/>
    <n v="3"/>
    <n v="-90.376199999999997"/>
    <x v="2"/>
    <x v="5"/>
  </r>
  <r>
    <s v="US-2015-138093"/>
    <x v="479"/>
    <d v="2015-12-16T00:00:00"/>
    <x v="1"/>
    <s v="KM-16225"/>
    <s v="Kalyca Meade"/>
    <x v="1"/>
    <s v="United States"/>
    <x v="237"/>
    <x v="32"/>
    <x v="2"/>
    <s v="FUR-CH-10000785"/>
    <x v="0"/>
    <x v="1"/>
    <s v="Global Ergonomic Managers Chair"/>
    <n v="542.94000000000005"/>
    <n v="3"/>
    <n v="141.1644"/>
    <x v="6"/>
    <x v="5"/>
  </r>
  <r>
    <s v="CA-2016-126165"/>
    <x v="399"/>
    <d v="2016-05-07T00:00:00"/>
    <x v="0"/>
    <s v="AH-10465"/>
    <s v="Amy Hunt"/>
    <x v="0"/>
    <s v="United States"/>
    <x v="28"/>
    <x v="2"/>
    <x v="1"/>
    <s v="FUR-TA-10001676"/>
    <x v="0"/>
    <x v="2"/>
    <s v="Hon 61000 Series Interactive Training Tables"/>
    <n v="71.087999999999994"/>
    <n v="2"/>
    <n v="-1.7771999999999999"/>
    <x v="3"/>
    <x v="7"/>
  </r>
  <r>
    <s v="US-2014-123519"/>
    <x v="609"/>
    <d v="2014-12-21T00:00:00"/>
    <x v="1"/>
    <s v="SS-20875"/>
    <s v="Sung Shariari"/>
    <x v="0"/>
    <s v="United States"/>
    <x v="149"/>
    <x v="15"/>
    <x v="2"/>
    <s v="FUR-TA-10002645"/>
    <x v="0"/>
    <x v="2"/>
    <s v="Hon Rectangular Conference Tables"/>
    <n v="136.53"/>
    <n v="1"/>
    <n v="-52.336500000000001"/>
    <x v="1"/>
    <x v="5"/>
  </r>
  <r>
    <s v="US-2015-160857"/>
    <x v="190"/>
    <d v="2015-05-15T00:00:00"/>
    <x v="1"/>
    <s v="NW-18400"/>
    <s v="Natalie Webber"/>
    <x v="0"/>
    <s v="United States"/>
    <x v="13"/>
    <x v="7"/>
    <x v="2"/>
    <s v="FUR-FU-10001095"/>
    <x v="0"/>
    <x v="3"/>
    <s v="DAX Black Cherry Wood-Tone Poster Frame"/>
    <n v="79.44"/>
    <n v="3"/>
    <n v="30.187200000000001"/>
    <x v="1"/>
    <x v="7"/>
  </r>
  <r>
    <s v="US-2015-160857"/>
    <x v="190"/>
    <d v="2015-05-15T00:00:00"/>
    <x v="1"/>
    <s v="NW-18400"/>
    <s v="Natalie Webber"/>
    <x v="0"/>
    <s v="United States"/>
    <x v="13"/>
    <x v="7"/>
    <x v="2"/>
    <s v="FUR-CH-10002647"/>
    <x v="0"/>
    <x v="1"/>
    <s v="Situations Contoured Folding Chairs, 4/Set"/>
    <n v="127.764"/>
    <n v="2"/>
    <n v="21.294"/>
    <x v="1"/>
    <x v="7"/>
  </r>
  <r>
    <s v="CA-2017-117324"/>
    <x v="64"/>
    <d v="2017-12-13T00:00:00"/>
    <x v="1"/>
    <s v="JP-15520"/>
    <s v="Jeremy Pistek"/>
    <x v="0"/>
    <s v="United States"/>
    <x v="123"/>
    <x v="16"/>
    <x v="3"/>
    <s v="FUR-BO-10003159"/>
    <x v="0"/>
    <x v="0"/>
    <s v="Sauder Camden County Collection Libraries, Planked Cherry Finish"/>
    <n v="459.92"/>
    <n v="4"/>
    <n v="41.392800000000001"/>
    <x v="2"/>
    <x v="5"/>
  </r>
  <r>
    <s v="CA-2017-143574"/>
    <x v="656"/>
    <d v="2017-07-02T00:00:00"/>
    <x v="2"/>
    <s v="DR-12880"/>
    <s v="Dan Reichenbach"/>
    <x v="1"/>
    <s v="United States"/>
    <x v="282"/>
    <x v="19"/>
    <x v="2"/>
    <s v="FUR-BO-10002598"/>
    <x v="0"/>
    <x v="0"/>
    <s v="Hon Metal Bookcases, Putty"/>
    <n v="638.82000000000005"/>
    <n v="9"/>
    <n v="185.2578"/>
    <x v="0"/>
    <x v="2"/>
  </r>
  <r>
    <s v="CA-2017-143574"/>
    <x v="656"/>
    <d v="2017-07-02T00:00:00"/>
    <x v="2"/>
    <s v="DR-12880"/>
    <s v="Dan Reichenbach"/>
    <x v="1"/>
    <s v="United States"/>
    <x v="282"/>
    <x v="19"/>
    <x v="2"/>
    <s v="FUR-FU-10003976"/>
    <x v="0"/>
    <x v="3"/>
    <s v="DAX Executive Solid Wood Document Frame, Desktop or Hang, Mahogany, 5 x 7"/>
    <n v="25.16"/>
    <n v="2"/>
    <n v="8.5543999999999993"/>
    <x v="0"/>
    <x v="2"/>
  </r>
  <r>
    <s v="CA-2014-148614"/>
    <x v="187"/>
    <d v="2014-01-25T00:00:00"/>
    <x v="1"/>
    <s v="MV-17485"/>
    <s v="Mark Van Huff"/>
    <x v="0"/>
    <s v="United States"/>
    <x v="2"/>
    <x v="2"/>
    <x v="1"/>
    <s v="FUR-FU-10003194"/>
    <x v="0"/>
    <x v="3"/>
    <s v="Eldon Expressions Desk Accessory, Wood Pencil Holder, Oak"/>
    <n v="19.3"/>
    <n v="2"/>
    <n v="5.79"/>
    <x v="2"/>
    <x v="8"/>
  </r>
  <r>
    <s v="US-2017-147886"/>
    <x v="657"/>
    <d v="2017-03-31T00:00:00"/>
    <x v="2"/>
    <s v="DH-13075"/>
    <s v="Dave Hallsten"/>
    <x v="1"/>
    <s v="United States"/>
    <x v="130"/>
    <x v="2"/>
    <x v="1"/>
    <s v="FUR-FU-10001095"/>
    <x v="0"/>
    <x v="3"/>
    <s v="DAX Black Cherry Wood-Tone Poster Frame"/>
    <n v="26.48"/>
    <n v="1"/>
    <n v="10.0624"/>
    <x v="0"/>
    <x v="9"/>
  </r>
  <r>
    <s v="US-2017-147886"/>
    <x v="657"/>
    <d v="2017-03-31T00:00:00"/>
    <x v="2"/>
    <s v="DH-13075"/>
    <s v="Dave Hallsten"/>
    <x v="1"/>
    <s v="United States"/>
    <x v="130"/>
    <x v="2"/>
    <x v="1"/>
    <s v="FUR-FU-10003829"/>
    <x v="0"/>
    <x v="3"/>
    <s v="Stackable Trays"/>
    <n v="21.56"/>
    <n v="7"/>
    <n v="6.8992000000000004"/>
    <x v="0"/>
    <x v="9"/>
  </r>
  <r>
    <s v="CA-2014-145800"/>
    <x v="658"/>
    <d v="2014-06-05T00:00:00"/>
    <x v="1"/>
    <s v="SS-20410"/>
    <s v="Shahid Shariari"/>
    <x v="0"/>
    <s v="United States"/>
    <x v="283"/>
    <x v="8"/>
    <x v="3"/>
    <s v="FUR-TA-10001539"/>
    <x v="0"/>
    <x v="2"/>
    <s v="Chromcraft Rectangular Conference Tables"/>
    <n v="355.45499999999998"/>
    <n v="3"/>
    <n v="-184.8366"/>
    <x v="6"/>
    <x v="7"/>
  </r>
  <r>
    <s v="CA-2016-118514"/>
    <x v="659"/>
    <d v="2016-02-10T00:00:00"/>
    <x v="1"/>
    <s v="LC-17050"/>
    <s v="Liz Carlisle"/>
    <x v="0"/>
    <s v="United States"/>
    <x v="52"/>
    <x v="0"/>
    <x v="0"/>
    <s v="FUR-CH-10000015"/>
    <x v="0"/>
    <x v="1"/>
    <s v="Hon Multipurpose Stacking Arm Chairs"/>
    <n v="866.4"/>
    <n v="4"/>
    <n v="225.26400000000001"/>
    <x v="1"/>
    <x v="11"/>
  </r>
  <r>
    <s v="CA-2015-119634"/>
    <x v="660"/>
    <d v="2015-08-16T00:00:00"/>
    <x v="1"/>
    <s v="BW-11065"/>
    <s v="Barry Weirich"/>
    <x v="0"/>
    <s v="United States"/>
    <x v="168"/>
    <x v="30"/>
    <x v="0"/>
    <s v="FUR-FU-10004270"/>
    <x v="0"/>
    <x v="3"/>
    <s v="Executive Impressions 13&quot; Clairmont Wall Clock"/>
    <n v="46.152000000000001"/>
    <n v="3"/>
    <n v="12.1149"/>
    <x v="2"/>
    <x v="10"/>
  </r>
  <r>
    <s v="CA-2017-158169"/>
    <x v="661"/>
    <d v="2017-08-15T00:00:00"/>
    <x v="2"/>
    <s v="JM-16195"/>
    <s v="Justin MacKendrick"/>
    <x v="0"/>
    <s v="United States"/>
    <x v="284"/>
    <x v="2"/>
    <x v="1"/>
    <s v="FUR-FU-10001473"/>
    <x v="0"/>
    <x v="3"/>
    <s v="DAX Wood Document Frame"/>
    <n v="54.92"/>
    <n v="4"/>
    <n v="19.7712"/>
    <x v="0"/>
    <x v="10"/>
  </r>
  <r>
    <s v="CA-2015-162047"/>
    <x v="240"/>
    <d v="2015-11-05T00:00:00"/>
    <x v="2"/>
    <s v="FH-14365"/>
    <s v="Fred Hopkins"/>
    <x v="1"/>
    <s v="United States"/>
    <x v="62"/>
    <x v="7"/>
    <x v="2"/>
    <s v="FUR-CH-10004983"/>
    <x v="0"/>
    <x v="1"/>
    <s v="Office Star - Mid Back Dual function Ergonomic High Back Chair with 2-Way Adjustable Arms"/>
    <n v="1448.82"/>
    <n v="10"/>
    <n v="209.274"/>
    <x v="3"/>
    <x v="0"/>
  </r>
  <r>
    <s v="CA-2015-103835"/>
    <x v="262"/>
    <d v="2015-09-28T00:00:00"/>
    <x v="1"/>
    <s v="SC-20440"/>
    <s v="Shaun Chance"/>
    <x v="1"/>
    <s v="United States"/>
    <x v="2"/>
    <x v="2"/>
    <x v="1"/>
    <s v="FUR-FU-10000010"/>
    <x v="0"/>
    <x v="3"/>
    <s v="DAX Value U-Channel Document Frames, Easel Back"/>
    <n v="14.91"/>
    <n v="3"/>
    <n v="4.6220999999999997"/>
    <x v="4"/>
    <x v="4"/>
  </r>
  <r>
    <s v="CA-2016-142398"/>
    <x v="188"/>
    <d v="2016-04-16T00:00:00"/>
    <x v="1"/>
    <s v="BP-11290"/>
    <s v="Beth Paige"/>
    <x v="0"/>
    <s v="United States"/>
    <x v="2"/>
    <x v="2"/>
    <x v="1"/>
    <s v="FUR-CH-10001545"/>
    <x v="0"/>
    <x v="1"/>
    <s v="Hon Comfortask Task/Swivel Chairs"/>
    <n v="638.28800000000001"/>
    <n v="7"/>
    <n v="-31.914400000000001"/>
    <x v="4"/>
    <x v="6"/>
  </r>
  <r>
    <s v="CA-2014-105270"/>
    <x v="163"/>
    <d v="2014-11-18T00:00:00"/>
    <x v="1"/>
    <s v="AP-10915"/>
    <s v="Arthur Prichep"/>
    <x v="0"/>
    <s v="United States"/>
    <x v="2"/>
    <x v="2"/>
    <x v="1"/>
    <s v="FUR-CH-10000988"/>
    <x v="0"/>
    <x v="1"/>
    <s v="Hon Olson Stacker Stools"/>
    <n v="112.648"/>
    <n v="1"/>
    <n v="11.264799999999999"/>
    <x v="1"/>
    <x v="0"/>
  </r>
  <r>
    <s v="CA-2017-141117"/>
    <x v="125"/>
    <d v="2017-10-08T00:00:00"/>
    <x v="1"/>
    <s v="JK-16090"/>
    <s v="Juliana Krohn"/>
    <x v="0"/>
    <s v="United States"/>
    <x v="76"/>
    <x v="36"/>
    <x v="1"/>
    <s v="FUR-BO-10001972"/>
    <x v="0"/>
    <x v="0"/>
    <s v="O'Sullivan 4-Shelf Bookcase in Odessa Pine"/>
    <n v="217.76400000000001"/>
    <n v="6"/>
    <n v="-384.71640000000002"/>
    <x v="6"/>
    <x v="1"/>
  </r>
  <r>
    <s v="CA-2017-115070"/>
    <x v="662"/>
    <d v="2017-04-14T00:00:00"/>
    <x v="0"/>
    <s v="MG-18205"/>
    <s v="Mitch Gastineau"/>
    <x v="1"/>
    <s v="United States"/>
    <x v="51"/>
    <x v="1"/>
    <x v="0"/>
    <s v="FUR-FU-10003829"/>
    <x v="0"/>
    <x v="3"/>
    <s v="Stackable Trays"/>
    <n v="12.32"/>
    <n v="5"/>
    <n v="1.8480000000000001"/>
    <x v="4"/>
    <x v="6"/>
  </r>
  <r>
    <s v="CA-2017-140186"/>
    <x v="560"/>
    <d v="2017-10-02T00:00:00"/>
    <x v="2"/>
    <s v="PG-18820"/>
    <s v="Patrick Gardner"/>
    <x v="0"/>
    <s v="United States"/>
    <x v="175"/>
    <x v="2"/>
    <x v="1"/>
    <s v="FUR-CH-10002961"/>
    <x v="0"/>
    <x v="1"/>
    <s v="Leather Task Chair, Black"/>
    <n v="72.784000000000006"/>
    <n v="1"/>
    <n v="0"/>
    <x v="0"/>
    <x v="4"/>
  </r>
  <r>
    <s v="CA-2017-140186"/>
    <x v="560"/>
    <d v="2017-10-02T00:00:00"/>
    <x v="2"/>
    <s v="PG-18820"/>
    <s v="Patrick Gardner"/>
    <x v="0"/>
    <s v="United States"/>
    <x v="175"/>
    <x v="2"/>
    <x v="1"/>
    <s v="FUR-FU-10004848"/>
    <x v="0"/>
    <x v="3"/>
    <s v="Howard Miller 13-3/4&quot; Diameter Brushed Chrome Round Wall Clock"/>
    <n v="51.75"/>
    <n v="1"/>
    <n v="15.525"/>
    <x v="0"/>
    <x v="4"/>
  </r>
  <r>
    <s v="CA-2014-124856"/>
    <x v="189"/>
    <d v="2014-10-03T00:00:00"/>
    <x v="0"/>
    <s v="LD-17005"/>
    <s v="Lisa DeCherney"/>
    <x v="0"/>
    <s v="United States"/>
    <x v="13"/>
    <x v="7"/>
    <x v="2"/>
    <s v="FUR-FU-10000521"/>
    <x v="0"/>
    <x v="3"/>
    <s v="Seth Thomas 14&quot; Putty-Colored Wall Clock"/>
    <n v="117.36"/>
    <n v="4"/>
    <n v="36.381599999999999"/>
    <x v="4"/>
    <x v="4"/>
  </r>
  <r>
    <s v="CA-2014-166716"/>
    <x v="663"/>
    <d v="2014-08-25T00:00:00"/>
    <x v="0"/>
    <s v="CR-12730"/>
    <s v="Craig Reiter"/>
    <x v="0"/>
    <s v="United States"/>
    <x v="9"/>
    <x v="8"/>
    <x v="3"/>
    <s v="FUR-CH-10004495"/>
    <x v="0"/>
    <x v="1"/>
    <s v="Global Leather and Oak Executive Chair, Black"/>
    <n v="421.37200000000001"/>
    <n v="2"/>
    <n v="-6.0195999999999996"/>
    <x v="2"/>
    <x v="10"/>
  </r>
  <r>
    <s v="CA-2017-113873"/>
    <x v="596"/>
    <d v="2017-11-19T00:00:00"/>
    <x v="1"/>
    <s v="KE-16420"/>
    <s v="Katrina Edelman"/>
    <x v="1"/>
    <s v="United States"/>
    <x v="144"/>
    <x v="5"/>
    <x v="3"/>
    <s v="FUR-BO-10003441"/>
    <x v="0"/>
    <x v="0"/>
    <s v="Bush Westfield Collection Bookcases, Fully Assembled"/>
    <n v="205.9992"/>
    <n v="3"/>
    <n v="-27.264600000000002"/>
    <x v="6"/>
    <x v="0"/>
  </r>
  <r>
    <s v="CA-2016-125017"/>
    <x v="664"/>
    <d v="2016-02-11T00:00:00"/>
    <x v="1"/>
    <s v="KB-16240"/>
    <s v="Karen Bern"/>
    <x v="1"/>
    <s v="United States"/>
    <x v="196"/>
    <x v="9"/>
    <x v="0"/>
    <s v="FUR-FU-10000723"/>
    <x v="0"/>
    <x v="3"/>
    <s v="Deflect-o EconoMat Studded, No Bevel Mat for Low Pile Carpeting"/>
    <n v="132.22399999999999"/>
    <n v="4"/>
    <n v="-18.180800000000001"/>
    <x v="2"/>
    <x v="11"/>
  </r>
  <r>
    <s v="US-2015-163279"/>
    <x v="665"/>
    <d v="2015-03-26T00:00:00"/>
    <x v="1"/>
    <s v="JD-16150"/>
    <s v="Justin Deggeller"/>
    <x v="1"/>
    <s v="United States"/>
    <x v="53"/>
    <x v="2"/>
    <x v="1"/>
    <s v="FUR-FU-10000747"/>
    <x v="0"/>
    <x v="3"/>
    <s v="Tenex B1-RE Series Chair Mats for Low Pile Carpets"/>
    <n v="91.96"/>
    <n v="2"/>
    <n v="15.6332"/>
    <x v="4"/>
    <x v="9"/>
  </r>
  <r>
    <s v="CA-2017-117632"/>
    <x v="666"/>
    <d v="2017-05-18T00:00:00"/>
    <x v="1"/>
    <s v="CS-12175"/>
    <s v="Charles Sheldon"/>
    <x v="1"/>
    <s v="United States"/>
    <x v="28"/>
    <x v="2"/>
    <x v="1"/>
    <s v="FUR-TA-10001520"/>
    <x v="0"/>
    <x v="2"/>
    <s v="Lesro Sheffield Collection Coffee Table, End Table, Center Table, Corner Table"/>
    <n v="285.48"/>
    <n v="5"/>
    <n v="-10.705500000000001"/>
    <x v="6"/>
    <x v="7"/>
  </r>
  <r>
    <s v="CA-2017-161067"/>
    <x v="667"/>
    <d v="2017-09-06T00:00:00"/>
    <x v="0"/>
    <s v="KB-16405"/>
    <s v="Katrina Bavinger"/>
    <x v="2"/>
    <s v="United States"/>
    <x v="13"/>
    <x v="7"/>
    <x v="2"/>
    <s v="FUR-CH-10004626"/>
    <x v="0"/>
    <x v="1"/>
    <s v="Office Star Flex Back Scooter Chair with Aluminum Finish Frame"/>
    <n v="90.801000000000002"/>
    <n v="1"/>
    <n v="14.124599999999999"/>
    <x v="0"/>
    <x v="4"/>
  </r>
  <r>
    <s v="CA-2017-161067"/>
    <x v="667"/>
    <d v="2017-09-06T00:00:00"/>
    <x v="0"/>
    <s v="KB-16405"/>
    <s v="Katrina Bavinger"/>
    <x v="2"/>
    <s v="United States"/>
    <x v="13"/>
    <x v="7"/>
    <x v="2"/>
    <s v="FUR-CH-10004860"/>
    <x v="0"/>
    <x v="1"/>
    <s v="Global Low Back Tilter Chair"/>
    <n v="181.76400000000001"/>
    <n v="2"/>
    <n v="-8.0784000000000002"/>
    <x v="0"/>
    <x v="4"/>
  </r>
  <r>
    <s v="CA-2016-122063"/>
    <x v="122"/>
    <d v="2016-12-07T00:00:00"/>
    <x v="1"/>
    <s v="MM-17920"/>
    <s v="Michael Moore"/>
    <x v="0"/>
    <s v="United States"/>
    <x v="52"/>
    <x v="6"/>
    <x v="3"/>
    <s v="FUR-TA-10004575"/>
    <x v="0"/>
    <x v="2"/>
    <s v="Hon 5100 Series Wood Tables"/>
    <n v="581.96"/>
    <n v="2"/>
    <n v="104.75279999999999"/>
    <x v="4"/>
    <x v="5"/>
  </r>
  <r>
    <s v="CA-2016-122063"/>
    <x v="122"/>
    <d v="2016-12-07T00:00:00"/>
    <x v="1"/>
    <s v="MM-17920"/>
    <s v="Michael Moore"/>
    <x v="0"/>
    <s v="United States"/>
    <x v="52"/>
    <x v="6"/>
    <x v="3"/>
    <s v="FUR-CH-10004754"/>
    <x v="0"/>
    <x v="1"/>
    <s v="Global Stack Chair with Arms, Black"/>
    <n v="29.98"/>
    <n v="1"/>
    <n v="8.0945999999999998"/>
    <x v="4"/>
    <x v="5"/>
  </r>
  <r>
    <s v="CA-2016-142895"/>
    <x v="668"/>
    <d v="2016-07-26T00:00:00"/>
    <x v="1"/>
    <s v="BP-11290"/>
    <s v="Beth Paige"/>
    <x v="0"/>
    <s v="United States"/>
    <x v="41"/>
    <x v="30"/>
    <x v="0"/>
    <s v="FUR-CH-10002961"/>
    <x v="0"/>
    <x v="1"/>
    <s v="Leather Task Chair, Black"/>
    <n v="363.92"/>
    <n v="5"/>
    <n v="0"/>
    <x v="2"/>
    <x v="3"/>
  </r>
  <r>
    <s v="CA-2015-134992"/>
    <x v="159"/>
    <d v="2015-09-26T00:00:00"/>
    <x v="0"/>
    <s v="MG-17875"/>
    <s v="Michael Grace"/>
    <x v="2"/>
    <s v="United States"/>
    <x v="58"/>
    <x v="25"/>
    <x v="0"/>
    <s v="FUR-FU-10002554"/>
    <x v="0"/>
    <x v="3"/>
    <s v="Westinghouse Floor Lamp with Metal Mesh Shade, Black"/>
    <n v="47.98"/>
    <n v="2"/>
    <n v="11.035399999999999"/>
    <x v="4"/>
    <x v="4"/>
  </r>
  <r>
    <s v="CA-2015-126725"/>
    <x v="669"/>
    <d v="2015-11-21T00:00:00"/>
    <x v="1"/>
    <s v="BS-11665"/>
    <s v="Brian Stugart"/>
    <x v="0"/>
    <s v="United States"/>
    <x v="53"/>
    <x v="2"/>
    <x v="1"/>
    <s v="FUR-FU-10002813"/>
    <x v="0"/>
    <x v="3"/>
    <s v="DAX Contemporary Wood Frame with Silver Metal Mat, Desktop, 11 x 14 Size"/>
    <n v="80.959999999999994"/>
    <n v="4"/>
    <n v="29.145600000000002"/>
    <x v="4"/>
    <x v="0"/>
  </r>
  <r>
    <s v="CA-2015-126725"/>
    <x v="669"/>
    <d v="2015-11-21T00:00:00"/>
    <x v="1"/>
    <s v="BS-11665"/>
    <s v="Brian Stugart"/>
    <x v="0"/>
    <s v="United States"/>
    <x v="53"/>
    <x v="2"/>
    <x v="1"/>
    <s v="FUR-CH-10001708"/>
    <x v="0"/>
    <x v="1"/>
    <s v="Office Star - Contemporary Swivel Chair with Padded Adjustable Arms and Flex Back"/>
    <n v="225.56800000000001"/>
    <n v="2"/>
    <n v="2.8195999999999999"/>
    <x v="4"/>
    <x v="0"/>
  </r>
  <r>
    <s v="CA-2015-126725"/>
    <x v="669"/>
    <d v="2015-11-21T00:00:00"/>
    <x v="1"/>
    <s v="BS-11665"/>
    <s v="Brian Stugart"/>
    <x v="0"/>
    <s v="United States"/>
    <x v="53"/>
    <x v="2"/>
    <x v="1"/>
    <s v="FUR-FU-10001591"/>
    <x v="0"/>
    <x v="3"/>
    <s v="Advantus Panel Wall Certificate Holder - 8.5x11"/>
    <n v="36.6"/>
    <n v="3"/>
    <n v="15.372"/>
    <x v="4"/>
    <x v="0"/>
  </r>
  <r>
    <s v="CA-2015-121783"/>
    <x v="670"/>
    <d v="2015-11-14T00:00:00"/>
    <x v="1"/>
    <s v="PO-19180"/>
    <s v="Philisse Overcash"/>
    <x v="2"/>
    <s v="United States"/>
    <x v="18"/>
    <x v="11"/>
    <x v="3"/>
    <s v="FUR-FU-10004351"/>
    <x v="0"/>
    <x v="3"/>
    <s v="Staple-based wall hangings"/>
    <n v="29.22"/>
    <n v="3"/>
    <n v="12.8568"/>
    <x v="4"/>
    <x v="0"/>
  </r>
  <r>
    <s v="CA-2015-112214"/>
    <x v="671"/>
    <d v="2015-08-11T00:00:00"/>
    <x v="1"/>
    <s v="AH-10690"/>
    <s v="Anna HŠberlin"/>
    <x v="1"/>
    <s v="United States"/>
    <x v="144"/>
    <x v="5"/>
    <x v="3"/>
    <s v="FUR-FU-10002364"/>
    <x v="0"/>
    <x v="3"/>
    <s v="Eldon Expressions Wood Desk Accessories, Oak"/>
    <n v="14.76"/>
    <n v="5"/>
    <n v="-11.439"/>
    <x v="6"/>
    <x v="10"/>
  </r>
  <r>
    <s v="US-2017-153255"/>
    <x v="667"/>
    <d v="2017-09-07T00:00:00"/>
    <x v="0"/>
    <s v="JK-15730"/>
    <s v="Joe Kamberova"/>
    <x v="0"/>
    <s v="United States"/>
    <x v="41"/>
    <x v="2"/>
    <x v="1"/>
    <s v="FUR-BO-10004218"/>
    <x v="0"/>
    <x v="0"/>
    <s v="Bush Heritage Pine Collection 5-Shelf Bookcase, Albany Pine Finish, *Special Order"/>
    <n v="239.666"/>
    <n v="2"/>
    <n v="14.098000000000001"/>
    <x v="4"/>
    <x v="4"/>
  </r>
  <r>
    <s v="CA-2015-108119"/>
    <x v="341"/>
    <d v="2015-11-08T00:00:00"/>
    <x v="1"/>
    <s v="MS-17530"/>
    <s v="MaryBeth Skach"/>
    <x v="0"/>
    <s v="United States"/>
    <x v="285"/>
    <x v="31"/>
    <x v="0"/>
    <s v="FUR-TA-10002530"/>
    <x v="0"/>
    <x v="2"/>
    <s v="Iceberg OfficeWorks 42&quot; Round Tables"/>
    <n v="301.95999999999998"/>
    <n v="2"/>
    <n v="45.293999999999997"/>
    <x v="1"/>
    <x v="0"/>
  </r>
  <r>
    <s v="US-2014-117968"/>
    <x v="31"/>
    <d v="2014-08-07T00:00:00"/>
    <x v="0"/>
    <s v="RS-19420"/>
    <s v="Ricardo Sperren"/>
    <x v="1"/>
    <s v="United States"/>
    <x v="286"/>
    <x v="19"/>
    <x v="2"/>
    <s v="FUR-CH-10002335"/>
    <x v="0"/>
    <x v="1"/>
    <s v="Hon GuestStacker Chair"/>
    <n v="1133.3499999999999"/>
    <n v="5"/>
    <n v="294.67099999999999"/>
    <x v="3"/>
    <x v="10"/>
  </r>
  <r>
    <s v="CA-2016-152247"/>
    <x v="267"/>
    <d v="2016-11-12T00:00:00"/>
    <x v="1"/>
    <s v="MA-17995"/>
    <s v="Michelle Arnett"/>
    <x v="2"/>
    <s v="United States"/>
    <x v="287"/>
    <x v="45"/>
    <x v="1"/>
    <s v="FUR-CH-10001215"/>
    <x v="0"/>
    <x v="1"/>
    <s v="Global Troy Executive Leather Low-Back Tilter"/>
    <n v="1603.136"/>
    <n v="4"/>
    <n v="100.196"/>
    <x v="2"/>
    <x v="0"/>
  </r>
  <r>
    <s v="CA-2016-128223"/>
    <x v="184"/>
    <d v="2016-06-14T00:00:00"/>
    <x v="3"/>
    <s v="EB-13705"/>
    <s v="Ed Braxton"/>
    <x v="1"/>
    <s v="United States"/>
    <x v="261"/>
    <x v="2"/>
    <x v="1"/>
    <s v="FUR-TA-10001771"/>
    <x v="0"/>
    <x v="2"/>
    <s v="Bush Cubix Conference Tables, Fully Assembled"/>
    <n v="1293.4880000000001"/>
    <n v="7"/>
    <n v="80.843000000000004"/>
    <x v="7"/>
    <x v="2"/>
  </r>
  <r>
    <s v="CA-2016-154235"/>
    <x v="211"/>
    <d v="2016-09-28T00:00:00"/>
    <x v="1"/>
    <s v="RD-19900"/>
    <s v="Ruben Dartt"/>
    <x v="0"/>
    <s v="United States"/>
    <x v="17"/>
    <x v="6"/>
    <x v="3"/>
    <s v="FUR-FU-10004006"/>
    <x v="0"/>
    <x v="3"/>
    <s v="Deflect-o DuraMat Lighweight, Studded, Beveled Mat for Low Pile Carpeting"/>
    <n v="127.95"/>
    <n v="3"/>
    <n v="21.7515"/>
    <x v="4"/>
    <x v="4"/>
  </r>
  <r>
    <s v="CA-2016-133935"/>
    <x v="126"/>
    <d v="2016-09-22T00:00:00"/>
    <x v="1"/>
    <s v="JW-15220"/>
    <s v="Jane Waco"/>
    <x v="1"/>
    <s v="United States"/>
    <x v="53"/>
    <x v="2"/>
    <x v="1"/>
    <s v="FUR-CH-10001215"/>
    <x v="0"/>
    <x v="1"/>
    <s v="Global Troy Executive Leather Low-Back Tilter"/>
    <n v="801.56799999999998"/>
    <n v="2"/>
    <n v="50.097999999999999"/>
    <x v="4"/>
    <x v="4"/>
  </r>
  <r>
    <s v="CA-2016-133935"/>
    <x v="126"/>
    <d v="2016-09-22T00:00:00"/>
    <x v="1"/>
    <s v="JW-15220"/>
    <s v="Jane Waco"/>
    <x v="1"/>
    <s v="United States"/>
    <x v="53"/>
    <x v="2"/>
    <x v="1"/>
    <s v="FUR-CH-10002880"/>
    <x v="0"/>
    <x v="1"/>
    <s v="Global High-Back Leather Tilter, Burgundy"/>
    <n v="885.52800000000002"/>
    <n v="9"/>
    <n v="-99.621899999999997"/>
    <x v="4"/>
    <x v="4"/>
  </r>
  <r>
    <s v="CA-2016-136301"/>
    <x v="345"/>
    <d v="2016-03-15T00:00:00"/>
    <x v="0"/>
    <s v="EH-13765"/>
    <s v="Edward Hooks"/>
    <x v="1"/>
    <s v="United States"/>
    <x v="28"/>
    <x v="2"/>
    <x v="1"/>
    <s v="FUR-FU-10004712"/>
    <x v="0"/>
    <x v="3"/>
    <s v="Westinghouse Mesh Shade Clip-On Gooseneck Lamp, Black"/>
    <n v="28.28"/>
    <n v="2"/>
    <n v="7.3528000000000002"/>
    <x v="3"/>
    <x v="9"/>
  </r>
  <r>
    <s v="CA-2016-167682"/>
    <x v="672"/>
    <d v="2016-04-09T00:00:00"/>
    <x v="1"/>
    <s v="ZD-21925"/>
    <s v="Zuschuss Donatelli"/>
    <x v="0"/>
    <s v="United States"/>
    <x v="52"/>
    <x v="6"/>
    <x v="3"/>
    <s v="FUR-FU-10003799"/>
    <x v="0"/>
    <x v="3"/>
    <s v="Seth Thomas 13 1/2&quot; Wall Clock"/>
    <n v="71.12"/>
    <n v="4"/>
    <n v="22.0472"/>
    <x v="6"/>
    <x v="6"/>
  </r>
  <r>
    <s v="CA-2016-159639"/>
    <x v="673"/>
    <d v="2016-12-02T00:00:00"/>
    <x v="1"/>
    <s v="PC-18745"/>
    <s v="Pamela Coakley"/>
    <x v="1"/>
    <s v="United States"/>
    <x v="162"/>
    <x v="18"/>
    <x v="2"/>
    <s v="FUR-FU-10001889"/>
    <x v="0"/>
    <x v="3"/>
    <s v="Ultra Door Pull Handle"/>
    <n v="31.56"/>
    <n v="3"/>
    <n v="10.4148"/>
    <x v="2"/>
    <x v="0"/>
  </r>
  <r>
    <s v="US-2016-113985"/>
    <x v="674"/>
    <d v="2016-12-07T00:00:00"/>
    <x v="1"/>
    <s v="KD-16495"/>
    <s v="Keith Dawkins"/>
    <x v="1"/>
    <s v="United States"/>
    <x v="124"/>
    <x v="2"/>
    <x v="1"/>
    <s v="FUR-FU-10003026"/>
    <x v="0"/>
    <x v="3"/>
    <s v="Eldon Regeneration Recycled Desk Accessories, Black"/>
    <n v="14.52"/>
    <n v="3"/>
    <n v="5.6627999999999998"/>
    <x v="2"/>
    <x v="5"/>
  </r>
  <r>
    <s v="US-2015-126977"/>
    <x v="5"/>
    <d v="2015-09-23T00:00:00"/>
    <x v="1"/>
    <s v="PF-19120"/>
    <s v="Peter Fuller"/>
    <x v="0"/>
    <s v="United States"/>
    <x v="13"/>
    <x v="7"/>
    <x v="2"/>
    <s v="FUR-CH-10001973"/>
    <x v="0"/>
    <x v="1"/>
    <s v="Office Star Flex Back Scooter Chair with White Frame"/>
    <n v="199.76400000000001"/>
    <n v="2"/>
    <n v="8.8783999999999992"/>
    <x v="6"/>
    <x v="4"/>
  </r>
  <r>
    <s v="US-2015-126977"/>
    <x v="5"/>
    <d v="2015-09-23T00:00:00"/>
    <x v="1"/>
    <s v="PF-19120"/>
    <s v="Peter Fuller"/>
    <x v="0"/>
    <s v="United States"/>
    <x v="13"/>
    <x v="7"/>
    <x v="2"/>
    <s v="FUR-BO-10004834"/>
    <x v="0"/>
    <x v="0"/>
    <s v="Riverside Palais Royal Lawyers Bookcase, Royale Cherry Finish"/>
    <n v="4228.7039999999997"/>
    <n v="6"/>
    <n v="158.57640000000001"/>
    <x v="6"/>
    <x v="4"/>
  </r>
  <r>
    <s v="US-2015-126977"/>
    <x v="5"/>
    <d v="2015-09-23T00:00:00"/>
    <x v="1"/>
    <s v="PF-19120"/>
    <s v="Peter Fuller"/>
    <x v="0"/>
    <s v="United States"/>
    <x v="13"/>
    <x v="7"/>
    <x v="2"/>
    <s v="FUR-BO-10002213"/>
    <x v="0"/>
    <x v="0"/>
    <s v="DMI Eclipse Executive Suite Bookcases"/>
    <n v="2003.92"/>
    <n v="5"/>
    <n v="-25.048999999999999"/>
    <x v="6"/>
    <x v="4"/>
  </r>
  <r>
    <s v="CA-2016-130288"/>
    <x v="675"/>
    <d v="2016-11-30T00:00:00"/>
    <x v="0"/>
    <s v="DK-13225"/>
    <s v="Dean Katz"/>
    <x v="1"/>
    <s v="United States"/>
    <x v="13"/>
    <x v="7"/>
    <x v="2"/>
    <s v="FUR-TA-10002958"/>
    <x v="0"/>
    <x v="2"/>
    <s v="Bevis Oval Conference Table, Walnut"/>
    <n v="313.17599999999999"/>
    <n v="2"/>
    <n v="-120.0508"/>
    <x v="4"/>
    <x v="0"/>
  </r>
  <r>
    <s v="US-2014-118997"/>
    <x v="676"/>
    <d v="2014-04-12T00:00:00"/>
    <x v="1"/>
    <s v="RA-19885"/>
    <s v="Ruben Ausman"/>
    <x v="1"/>
    <s v="United States"/>
    <x v="42"/>
    <x v="33"/>
    <x v="0"/>
    <s v="FUR-TA-10001086"/>
    <x v="0"/>
    <x v="2"/>
    <s v="SAFCO PlanMaster Boards, 60w x 37-1/2d, White Melamine"/>
    <n v="1215.92"/>
    <n v="8"/>
    <n v="316.13920000000002"/>
    <x v="4"/>
    <x v="6"/>
  </r>
  <r>
    <s v="CA-2014-114314"/>
    <x v="524"/>
    <d v="2014-10-15T00:00:00"/>
    <x v="1"/>
    <s v="DB-13555"/>
    <s v="Dorothy Badders"/>
    <x v="1"/>
    <s v="United States"/>
    <x v="160"/>
    <x v="31"/>
    <x v="0"/>
    <s v="FUR-FU-10002107"/>
    <x v="0"/>
    <x v="3"/>
    <s v="Eldon Pizzaz Desk Accessories"/>
    <n v="8.92"/>
    <n v="4"/>
    <n v="3.9247999999999998"/>
    <x v="4"/>
    <x v="1"/>
  </r>
  <r>
    <s v="US-2017-169551"/>
    <x v="677"/>
    <d v="2017-07-09T00:00:00"/>
    <x v="2"/>
    <s v="RL-19615"/>
    <s v="Rob Lucas"/>
    <x v="0"/>
    <s v="United States"/>
    <x v="3"/>
    <x v="3"/>
    <x v="2"/>
    <s v="FUR-BO-10001519"/>
    <x v="0"/>
    <x v="0"/>
    <s v="O'Sullivan 3-Shelf Heavy-Duty Bookcases"/>
    <n v="87.21"/>
    <n v="3"/>
    <n v="-45.349200000000003"/>
    <x v="3"/>
    <x v="3"/>
  </r>
  <r>
    <s v="CA-2016-103107"/>
    <x v="557"/>
    <d v="2016-07-04T00:00:00"/>
    <x v="3"/>
    <s v="RB-19465"/>
    <s v="Rick Bensley"/>
    <x v="2"/>
    <s v="United States"/>
    <x v="15"/>
    <x v="13"/>
    <x v="1"/>
    <s v="FUR-FU-10000221"/>
    <x v="0"/>
    <x v="3"/>
    <s v="Master Caster Door Stop, Brown"/>
    <n v="25.4"/>
    <n v="5"/>
    <n v="8.6359999999999992"/>
    <x v="7"/>
    <x v="3"/>
  </r>
  <r>
    <s v="CA-2014-104178"/>
    <x v="678"/>
    <d v="2014-08-29T00:00:00"/>
    <x v="1"/>
    <s v="JM-15265"/>
    <s v="Janet Molinari"/>
    <x v="1"/>
    <s v="United States"/>
    <x v="2"/>
    <x v="2"/>
    <x v="1"/>
    <s v="FUR-FU-10000771"/>
    <x v="0"/>
    <x v="3"/>
    <s v="Eldon 200 Class Desk Accessories, Smoke"/>
    <n v="6.28"/>
    <n v="1"/>
    <n v="2.6375999999999999"/>
    <x v="4"/>
    <x v="10"/>
  </r>
  <r>
    <s v="CA-2014-155796"/>
    <x v="163"/>
    <d v="2014-11-15T00:00:00"/>
    <x v="0"/>
    <s v="TS-21430"/>
    <s v="Tom Stivers"/>
    <x v="1"/>
    <s v="United States"/>
    <x v="288"/>
    <x v="3"/>
    <x v="2"/>
    <s v="FUR-FU-10000409"/>
    <x v="0"/>
    <x v="3"/>
    <s v="GE 4 Foot Flourescent Tube, 40 Watt"/>
    <n v="23.968"/>
    <n v="2"/>
    <n v="7.7896000000000001"/>
    <x v="4"/>
    <x v="0"/>
  </r>
  <r>
    <s v="CA-2014-155796"/>
    <x v="163"/>
    <d v="2014-11-15T00:00:00"/>
    <x v="0"/>
    <s v="TS-21430"/>
    <s v="Tom Stivers"/>
    <x v="1"/>
    <s v="United States"/>
    <x v="288"/>
    <x v="3"/>
    <x v="2"/>
    <s v="FUR-BO-10002545"/>
    <x v="0"/>
    <x v="0"/>
    <s v="Atlantic Metals Mobile 3-Shelf Bookcases, Custom Colors"/>
    <n v="521.96"/>
    <n v="4"/>
    <n v="-250.54079999999999"/>
    <x v="4"/>
    <x v="0"/>
  </r>
  <r>
    <s v="CA-2016-127138"/>
    <x v="679"/>
    <d v="2016-03-15T00:00:00"/>
    <x v="0"/>
    <s v="DK-13225"/>
    <s v="Dean Katz"/>
    <x v="1"/>
    <s v="United States"/>
    <x v="28"/>
    <x v="2"/>
    <x v="1"/>
    <s v="FUR-CH-10003746"/>
    <x v="0"/>
    <x v="1"/>
    <s v="Hon 4070 Series Pagoda Round Back Stacking Chairs"/>
    <n v="770.35199999999998"/>
    <n v="3"/>
    <n v="77.035200000000003"/>
    <x v="0"/>
    <x v="9"/>
  </r>
  <r>
    <s v="CA-2017-150602"/>
    <x v="436"/>
    <d v="2017-02-14T00:00:00"/>
    <x v="0"/>
    <s v="ML-17395"/>
    <s v="Marina Lichtenstein"/>
    <x v="1"/>
    <s v="United States"/>
    <x v="2"/>
    <x v="2"/>
    <x v="1"/>
    <s v="FUR-FU-10003142"/>
    <x v="0"/>
    <x v="3"/>
    <s v="Master Big Foot Doorstop, Beige"/>
    <n v="21.12"/>
    <n v="4"/>
    <n v="6.5472000000000001"/>
    <x v="2"/>
    <x v="11"/>
  </r>
  <r>
    <s v="CA-2014-141726"/>
    <x v="435"/>
    <d v="2014-07-22T00:00:00"/>
    <x v="2"/>
    <s v="CC-12145"/>
    <s v="Charles Crestani"/>
    <x v="0"/>
    <s v="United States"/>
    <x v="53"/>
    <x v="2"/>
    <x v="1"/>
    <s v="FUR-FU-10003577"/>
    <x v="0"/>
    <x v="3"/>
    <s v="Nu-Dell Leatherette Frames"/>
    <n v="43.02"/>
    <n v="3"/>
    <n v="15.4872"/>
    <x v="3"/>
    <x v="3"/>
  </r>
  <r>
    <s v="CA-2017-115105"/>
    <x v="335"/>
    <d v="2017-02-11T00:00:00"/>
    <x v="1"/>
    <s v="BD-11770"/>
    <s v="Bryan Davis"/>
    <x v="0"/>
    <s v="United States"/>
    <x v="13"/>
    <x v="7"/>
    <x v="2"/>
    <s v="FUR-BO-10001811"/>
    <x v="0"/>
    <x v="0"/>
    <s v="Atlantic Metals Mobile 5-Shelf Bookcases, Custom Colors"/>
    <n v="240.78399999999999"/>
    <n v="1"/>
    <n v="30.097999999999999"/>
    <x v="2"/>
    <x v="11"/>
  </r>
  <r>
    <s v="CA-2014-117765"/>
    <x v="266"/>
    <d v="2014-09-13T00:00:00"/>
    <x v="1"/>
    <s v="RB-19465"/>
    <s v="Rick Bensley"/>
    <x v="2"/>
    <s v="United States"/>
    <x v="169"/>
    <x v="37"/>
    <x v="3"/>
    <s v="FUR-TA-10001039"/>
    <x v="0"/>
    <x v="2"/>
    <s v="KI Adjustable-Height Table"/>
    <n v="429.9"/>
    <n v="5"/>
    <n v="111.774"/>
    <x v="6"/>
    <x v="4"/>
  </r>
  <r>
    <s v="CA-2014-117765"/>
    <x v="266"/>
    <d v="2014-09-13T00:00:00"/>
    <x v="1"/>
    <s v="RB-19465"/>
    <s v="Rick Bensley"/>
    <x v="2"/>
    <s v="United States"/>
    <x v="169"/>
    <x v="37"/>
    <x v="3"/>
    <s v="FUR-CH-10004698"/>
    <x v="0"/>
    <x v="1"/>
    <s v="Padded Folding Chairs, Black, 4/Carton"/>
    <n v="161.96"/>
    <n v="2"/>
    <n v="45.348799999999997"/>
    <x v="6"/>
    <x v="4"/>
  </r>
  <r>
    <s v="CA-2016-163776"/>
    <x v="680"/>
    <d v="2016-07-25T00:00:00"/>
    <x v="1"/>
    <s v="JS-16030"/>
    <s v="Joy Smith"/>
    <x v="0"/>
    <s v="United States"/>
    <x v="289"/>
    <x v="21"/>
    <x v="0"/>
    <s v="FUR-FU-10001185"/>
    <x v="0"/>
    <x v="3"/>
    <s v="Advantus Employee of the Month Certificate Frame, 11 x 13-1/2"/>
    <n v="185.58"/>
    <n v="6"/>
    <n v="76.087800000000001"/>
    <x v="6"/>
    <x v="3"/>
  </r>
  <r>
    <s v="CA-2016-163776"/>
    <x v="680"/>
    <d v="2016-07-25T00:00:00"/>
    <x v="1"/>
    <s v="JS-16030"/>
    <s v="Joy Smith"/>
    <x v="0"/>
    <s v="United States"/>
    <x v="289"/>
    <x v="21"/>
    <x v="0"/>
    <s v="FUR-BO-10003546"/>
    <x v="0"/>
    <x v="0"/>
    <s v="Hon 4-Shelf Metal Bookcases"/>
    <n v="504.9"/>
    <n v="5"/>
    <n v="126.22499999999999"/>
    <x v="6"/>
    <x v="3"/>
  </r>
  <r>
    <s v="US-2017-163300"/>
    <x v="102"/>
    <d v="2017-09-21T00:00:00"/>
    <x v="1"/>
    <s v="ES-14020"/>
    <s v="Erica Smith"/>
    <x v="0"/>
    <s v="United States"/>
    <x v="2"/>
    <x v="2"/>
    <x v="1"/>
    <s v="FUR-CH-10003396"/>
    <x v="0"/>
    <x v="1"/>
    <s v="Global Deluxe Steno Chair"/>
    <n v="184.75200000000001"/>
    <n v="3"/>
    <n v="-20.784600000000001"/>
    <x v="6"/>
    <x v="4"/>
  </r>
  <r>
    <s v="CA-2016-162187"/>
    <x v="106"/>
    <d v="2016-12-11T00:00:00"/>
    <x v="3"/>
    <s v="NS-18640"/>
    <s v="Noel Staavos"/>
    <x v="1"/>
    <s v="United States"/>
    <x v="29"/>
    <x v="15"/>
    <x v="2"/>
    <s v="FUR-CH-10003298"/>
    <x v="0"/>
    <x v="1"/>
    <s v="Office Star - Contemporary Task Swivel chair with Loop Arms, Charcoal"/>
    <n v="458.43"/>
    <n v="5"/>
    <n v="-137.529"/>
    <x v="7"/>
    <x v="5"/>
  </r>
  <r>
    <s v="CA-2016-162187"/>
    <x v="106"/>
    <d v="2016-12-11T00:00:00"/>
    <x v="3"/>
    <s v="NS-18640"/>
    <s v="Noel Staavos"/>
    <x v="1"/>
    <s v="United States"/>
    <x v="29"/>
    <x v="15"/>
    <x v="2"/>
    <s v="FUR-TA-10003008"/>
    <x v="0"/>
    <x v="2"/>
    <s v="Lesro Round Back Collection Coffee Table, End Table"/>
    <n v="328.59"/>
    <n v="3"/>
    <n v="-147.8655"/>
    <x v="7"/>
    <x v="5"/>
  </r>
  <r>
    <s v="US-2014-112991"/>
    <x v="681"/>
    <d v="2014-12-14T00:00:00"/>
    <x v="1"/>
    <s v="SH-19975"/>
    <s v="Sally Hughsby"/>
    <x v="1"/>
    <s v="United States"/>
    <x v="290"/>
    <x v="42"/>
    <x v="1"/>
    <s v="FUR-CH-10001708"/>
    <x v="0"/>
    <x v="1"/>
    <s v="Office Star - Contemporary Swivel Chair with Padded Adjustable Arms and Flex Back"/>
    <n v="338.35199999999998"/>
    <n v="3"/>
    <n v="4.2294"/>
    <x v="4"/>
    <x v="5"/>
  </r>
  <r>
    <s v="CA-2014-124079"/>
    <x v="536"/>
    <d v="2014-12-17T00:00:00"/>
    <x v="1"/>
    <s v="RF-19345"/>
    <s v="Randy Ferguson"/>
    <x v="1"/>
    <s v="United States"/>
    <x v="43"/>
    <x v="22"/>
    <x v="1"/>
    <s v="FUR-FU-10002553"/>
    <x v="0"/>
    <x v="3"/>
    <s v="Electrix Incandescent Magnifying Lamp, Black"/>
    <n v="87.96"/>
    <n v="3"/>
    <n v="7.6965000000000003"/>
    <x v="4"/>
    <x v="5"/>
  </r>
  <r>
    <s v="CA-2017-107244"/>
    <x v="87"/>
    <d v="2017-09-11T00:00:00"/>
    <x v="1"/>
    <s v="AG-10390"/>
    <s v="Allen Goldenen"/>
    <x v="0"/>
    <s v="United States"/>
    <x v="2"/>
    <x v="2"/>
    <x v="1"/>
    <s v="FUR-FU-10002597"/>
    <x v="0"/>
    <x v="3"/>
    <s v="C-Line Magnetic Cubicle Keepers, Clear Polypropylene"/>
    <n v="19.760000000000002"/>
    <n v="4"/>
    <n v="8.2992000000000008"/>
    <x v="4"/>
    <x v="4"/>
  </r>
  <r>
    <s v="CA-2015-100657"/>
    <x v="46"/>
    <d v="2015-11-07T00:00:00"/>
    <x v="1"/>
    <s v="SW-20245"/>
    <s v="Scot Wooten"/>
    <x v="0"/>
    <s v="United States"/>
    <x v="8"/>
    <x v="7"/>
    <x v="2"/>
    <s v="FUR-CH-10003535"/>
    <x v="0"/>
    <x v="1"/>
    <s v="Global Armless Task Chair, Royal Blue"/>
    <n v="109.764"/>
    <n v="2"/>
    <n v="8.5372000000000003"/>
    <x v="2"/>
    <x v="0"/>
  </r>
  <r>
    <s v="CA-2017-129028"/>
    <x v="535"/>
    <d v="2017-04-03T00:00:00"/>
    <x v="2"/>
    <s v="GB-14530"/>
    <s v="George Bell"/>
    <x v="1"/>
    <s v="United States"/>
    <x v="73"/>
    <x v="10"/>
    <x v="0"/>
    <s v="FUR-FU-10004006"/>
    <x v="0"/>
    <x v="3"/>
    <s v="Deflect-o DuraMat Lighweight, Studded, Beveled Mat for Low Pile Carpeting"/>
    <n v="127.95"/>
    <n v="3"/>
    <n v="21.7515"/>
    <x v="3"/>
    <x v="6"/>
  </r>
  <r>
    <s v="CA-2014-102652"/>
    <x v="226"/>
    <d v="2014-04-12T00:00:00"/>
    <x v="1"/>
    <s v="AY-10555"/>
    <s v="Andy Yotov"/>
    <x v="1"/>
    <s v="United States"/>
    <x v="2"/>
    <x v="2"/>
    <x v="1"/>
    <s v="FUR-FU-10000747"/>
    <x v="0"/>
    <x v="3"/>
    <s v="Tenex B1-RE Series Chair Mats for Low Pile Carpets"/>
    <n v="91.96"/>
    <n v="2"/>
    <n v="15.6332"/>
    <x v="6"/>
    <x v="6"/>
  </r>
  <r>
    <s v="CA-2014-102652"/>
    <x v="226"/>
    <d v="2014-04-12T00:00:00"/>
    <x v="1"/>
    <s v="AY-10555"/>
    <s v="Andy Yotov"/>
    <x v="1"/>
    <s v="United States"/>
    <x v="2"/>
    <x v="2"/>
    <x v="1"/>
    <s v="FUR-FU-10001918"/>
    <x v="0"/>
    <x v="3"/>
    <s v="C-Line Cubicle Keepers Polyproplyene Holder With Velcro Backings"/>
    <n v="33.11"/>
    <n v="7"/>
    <n v="12.9129"/>
    <x v="6"/>
    <x v="6"/>
  </r>
  <r>
    <s v="US-2017-152492"/>
    <x v="682"/>
    <d v="2017-07-06T00:00:00"/>
    <x v="3"/>
    <s v="AH-10585"/>
    <s v="Angele Hood"/>
    <x v="0"/>
    <s v="United States"/>
    <x v="89"/>
    <x v="1"/>
    <x v="0"/>
    <s v="FUR-CH-10000155"/>
    <x v="0"/>
    <x v="1"/>
    <s v="Global Comet Stacking Armless Chair"/>
    <n v="239.24"/>
    <n v="1"/>
    <n v="23.923999999999999"/>
    <x v="7"/>
    <x v="3"/>
  </r>
  <r>
    <s v="CA-2016-101168"/>
    <x v="683"/>
    <d v="2017-01-01T00:00:00"/>
    <x v="1"/>
    <s v="SS-20140"/>
    <s v="Saphhira Shifley"/>
    <x v="1"/>
    <s v="United States"/>
    <x v="291"/>
    <x v="28"/>
    <x v="2"/>
    <s v="FUR-FU-10003142"/>
    <x v="0"/>
    <x v="3"/>
    <s v="Master Big Foot Doorstop, Beige"/>
    <n v="21.12"/>
    <n v="4"/>
    <n v="6.5472000000000001"/>
    <x v="1"/>
    <x v="5"/>
  </r>
  <r>
    <s v="CA-2015-130253"/>
    <x v="646"/>
    <d v="2015-12-18T00:00:00"/>
    <x v="1"/>
    <s v="PP-18955"/>
    <s v="Paul Prost"/>
    <x v="2"/>
    <s v="United States"/>
    <x v="2"/>
    <x v="2"/>
    <x v="1"/>
    <s v="FUR-FU-10002963"/>
    <x v="0"/>
    <x v="3"/>
    <s v="Master Caster Door Stop, Gray"/>
    <n v="15.24"/>
    <n v="3"/>
    <n v="5.1816000000000004"/>
    <x v="4"/>
    <x v="5"/>
  </r>
  <r>
    <s v="CA-2016-131205"/>
    <x v="631"/>
    <d v="2016-09-08T00:00:00"/>
    <x v="1"/>
    <s v="AA-10645"/>
    <s v="Anna Andreadi"/>
    <x v="0"/>
    <s v="United States"/>
    <x v="292"/>
    <x v="0"/>
    <x v="0"/>
    <s v="FUR-FU-10003347"/>
    <x v="0"/>
    <x v="3"/>
    <s v="Coloredge Poster Frame"/>
    <n v="42.6"/>
    <n v="3"/>
    <n v="16.614000000000001"/>
    <x v="4"/>
    <x v="4"/>
  </r>
  <r>
    <s v="CA-2016-117912"/>
    <x v="684"/>
    <d v="2016-02-08T00:00:00"/>
    <x v="1"/>
    <s v="TB-21520"/>
    <s v="Tracy Blumstein"/>
    <x v="0"/>
    <s v="United States"/>
    <x v="293"/>
    <x v="22"/>
    <x v="1"/>
    <s v="FUR-FU-10002088"/>
    <x v="0"/>
    <x v="3"/>
    <s v="Nu-Dell Float Frame 11 x 14 1/2"/>
    <n v="14.368"/>
    <n v="2"/>
    <n v="3.9512"/>
    <x v="4"/>
    <x v="11"/>
  </r>
  <r>
    <s v="CA-2017-145702"/>
    <x v="405"/>
    <d v="2017-05-24T00:00:00"/>
    <x v="0"/>
    <s v="AH-10075"/>
    <s v="Adam Hart"/>
    <x v="1"/>
    <s v="United States"/>
    <x v="270"/>
    <x v="9"/>
    <x v="0"/>
    <s v="FUR-CH-10001482"/>
    <x v="0"/>
    <x v="1"/>
    <s v="Office Star - Mesh Screen back chair with Vinyl seat"/>
    <n v="314.35199999999998"/>
    <n v="3"/>
    <n v="-35.364600000000003"/>
    <x v="2"/>
    <x v="7"/>
  </r>
  <r>
    <s v="CA-2015-113215"/>
    <x v="558"/>
    <d v="2015-09-08T00:00:00"/>
    <x v="1"/>
    <s v="CP-12085"/>
    <s v="Cathy Prescott"/>
    <x v="1"/>
    <s v="United States"/>
    <x v="104"/>
    <x v="22"/>
    <x v="1"/>
    <s v="FUR-FU-10002937"/>
    <x v="0"/>
    <x v="3"/>
    <s v="GE 48&quot; Fluorescent Tube, Cool White Energy Saver, 34 Watts, 30/Box"/>
    <n v="238.15199999999999"/>
    <n v="3"/>
    <n v="89.307000000000002"/>
    <x v="2"/>
    <x v="4"/>
  </r>
  <r>
    <s v="CA-2016-154662"/>
    <x v="641"/>
    <d v="2016-06-16T00:00:00"/>
    <x v="1"/>
    <s v="BF-11215"/>
    <s v="Benjamin Farhat"/>
    <x v="2"/>
    <s v="United States"/>
    <x v="12"/>
    <x v="11"/>
    <x v="3"/>
    <s v="FUR-TA-10001771"/>
    <x v="0"/>
    <x v="2"/>
    <s v="Bush Cubix Conference Tables, Fully Assembled"/>
    <n v="692.94"/>
    <n v="3"/>
    <n v="173.23500000000001"/>
    <x v="1"/>
    <x v="2"/>
  </r>
  <r>
    <s v="CA-2016-124016"/>
    <x v="348"/>
    <d v="2016-09-26T00:00:00"/>
    <x v="0"/>
    <s v="JS-15940"/>
    <s v="Joni Sundaresam"/>
    <x v="2"/>
    <s v="United States"/>
    <x v="68"/>
    <x v="15"/>
    <x v="2"/>
    <s v="FUR-FU-10004963"/>
    <x v="0"/>
    <x v="3"/>
    <s v="Eldon 400 Class Desk Accessories, Black Carbon"/>
    <n v="28"/>
    <n v="4"/>
    <n v="7.7"/>
    <x v="0"/>
    <x v="4"/>
  </r>
  <r>
    <s v="CA-2017-166695"/>
    <x v="685"/>
    <d v="2017-05-24T00:00:00"/>
    <x v="1"/>
    <s v="CC-12430"/>
    <s v="Chuck Clark"/>
    <x v="2"/>
    <s v="United States"/>
    <x v="174"/>
    <x v="2"/>
    <x v="1"/>
    <s v="FUR-CH-10000225"/>
    <x v="0"/>
    <x v="1"/>
    <s v="Global Geo Office Task Chair, Gray"/>
    <n v="518.27200000000005"/>
    <n v="8"/>
    <n v="-97.176000000000002"/>
    <x v="4"/>
    <x v="7"/>
  </r>
  <r>
    <s v="CA-2017-166695"/>
    <x v="685"/>
    <d v="2017-05-24T00:00:00"/>
    <x v="1"/>
    <s v="CC-12430"/>
    <s v="Chuck Clark"/>
    <x v="2"/>
    <s v="United States"/>
    <x v="174"/>
    <x v="2"/>
    <x v="1"/>
    <s v="FUR-FU-10002191"/>
    <x v="0"/>
    <x v="3"/>
    <s v="G.E. Halogen Desk Lamp Bulbs"/>
    <n v="6.98"/>
    <n v="1"/>
    <n v="3.3504"/>
    <x v="4"/>
    <x v="7"/>
  </r>
  <r>
    <s v="CA-2016-151561"/>
    <x v="686"/>
    <d v="2016-09-07T00:00:00"/>
    <x v="1"/>
    <s v="PG-18820"/>
    <s v="Patrick Gardner"/>
    <x v="0"/>
    <s v="United States"/>
    <x v="13"/>
    <x v="7"/>
    <x v="2"/>
    <s v="FUR-FU-10004864"/>
    <x v="0"/>
    <x v="3"/>
    <s v="Howard Miller 14-1/2&quot; Diameter Chrome Round Wall Clock"/>
    <n v="191.82"/>
    <n v="3"/>
    <n v="61.382399999999997"/>
    <x v="6"/>
    <x v="4"/>
  </r>
  <r>
    <s v="US-2014-165589"/>
    <x v="687"/>
    <d v="2014-02-18T00:00:00"/>
    <x v="3"/>
    <s v="TB-21595"/>
    <s v="Troy Blackwell"/>
    <x v="0"/>
    <s v="United States"/>
    <x v="294"/>
    <x v="5"/>
    <x v="3"/>
    <s v="FUR-FU-10002396"/>
    <x v="0"/>
    <x v="3"/>
    <s v="DAX Copper Panel Document Frame, 5 x 7 Size"/>
    <n v="25.16"/>
    <n v="5"/>
    <n v="-11.321999999999999"/>
    <x v="7"/>
    <x v="11"/>
  </r>
  <r>
    <s v="CA-2015-114048"/>
    <x v="646"/>
    <d v="2015-12-18T00:00:00"/>
    <x v="1"/>
    <s v="EH-13945"/>
    <s v="Eric Hoffmann"/>
    <x v="0"/>
    <s v="United States"/>
    <x v="46"/>
    <x v="2"/>
    <x v="1"/>
    <s v="FUR-FU-10004351"/>
    <x v="0"/>
    <x v="3"/>
    <s v="Staple-based wall hangings"/>
    <n v="29.22"/>
    <n v="3"/>
    <n v="12.8568"/>
    <x v="4"/>
    <x v="5"/>
  </r>
  <r>
    <s v="CA-2017-100111"/>
    <x v="688"/>
    <d v="2017-09-26T00:00:00"/>
    <x v="1"/>
    <s v="SV-20365"/>
    <s v="Seth Vernon"/>
    <x v="0"/>
    <s v="United States"/>
    <x v="13"/>
    <x v="7"/>
    <x v="2"/>
    <s v="FUR-CH-10003846"/>
    <x v="0"/>
    <x v="1"/>
    <s v="Hon Valutask Swivel Chairs"/>
    <n v="272.64600000000002"/>
    <n v="3"/>
    <n v="18.176400000000001"/>
    <x v="6"/>
    <x v="4"/>
  </r>
  <r>
    <s v="CA-2017-100111"/>
    <x v="688"/>
    <d v="2017-09-26T00:00:00"/>
    <x v="1"/>
    <s v="SV-20365"/>
    <s v="Seth Vernon"/>
    <x v="0"/>
    <s v="United States"/>
    <x v="13"/>
    <x v="7"/>
    <x v="2"/>
    <s v="FUR-CH-10003061"/>
    <x v="0"/>
    <x v="1"/>
    <s v="Global Leather Task Chair, Black"/>
    <n v="80.991"/>
    <n v="1"/>
    <n v="8.0991"/>
    <x v="6"/>
    <x v="4"/>
  </r>
  <r>
    <s v="CA-2017-100111"/>
    <x v="688"/>
    <d v="2017-09-26T00:00:00"/>
    <x v="1"/>
    <s v="SV-20365"/>
    <s v="Seth Vernon"/>
    <x v="0"/>
    <s v="United States"/>
    <x v="13"/>
    <x v="7"/>
    <x v="2"/>
    <s v="FUR-CH-10004086"/>
    <x v="0"/>
    <x v="1"/>
    <s v="Hon 4070 Series Pagoda Armless Upholstered Stacking Chairs"/>
    <n v="2888.127"/>
    <n v="11"/>
    <n v="609.71569999999997"/>
    <x v="6"/>
    <x v="4"/>
  </r>
  <r>
    <s v="CA-2017-100111"/>
    <x v="688"/>
    <d v="2017-09-26T00:00:00"/>
    <x v="1"/>
    <s v="SV-20365"/>
    <s v="Seth Vernon"/>
    <x v="0"/>
    <s v="United States"/>
    <x v="13"/>
    <x v="7"/>
    <x v="2"/>
    <s v="FUR-CH-10001215"/>
    <x v="0"/>
    <x v="1"/>
    <s v="Global Troy Executive Leather Low-Back Tilter"/>
    <n v="2254.41"/>
    <n v="5"/>
    <n v="375.73500000000001"/>
    <x v="6"/>
    <x v="4"/>
  </r>
  <r>
    <s v="US-2017-132381"/>
    <x v="621"/>
    <d v="2017-08-24T00:00:00"/>
    <x v="2"/>
    <s v="Dp-13240"/>
    <s v="Dean percer"/>
    <x v="2"/>
    <s v="United States"/>
    <x v="3"/>
    <x v="3"/>
    <x v="2"/>
    <s v="FUR-TA-10002356"/>
    <x v="0"/>
    <x v="2"/>
    <s v="Bevis Boat-Shaped Conference Table"/>
    <n v="314.53199999999998"/>
    <n v="2"/>
    <n v="-83.875200000000007"/>
    <x v="3"/>
    <x v="10"/>
  </r>
  <r>
    <s v="CA-2016-124590"/>
    <x v="689"/>
    <d v="2016-11-16T00:00:00"/>
    <x v="1"/>
    <s v="SP-20920"/>
    <s v="Susan Pistek"/>
    <x v="0"/>
    <s v="United States"/>
    <x v="255"/>
    <x v="15"/>
    <x v="2"/>
    <s v="FUR-CH-10004495"/>
    <x v="0"/>
    <x v="1"/>
    <s v="Global Leather and Oak Executive Chair, Black"/>
    <n v="1474.8019999999999"/>
    <n v="7"/>
    <n v="-21.0686"/>
    <x v="4"/>
    <x v="0"/>
  </r>
  <r>
    <s v="CA-2016-124590"/>
    <x v="689"/>
    <d v="2016-11-16T00:00:00"/>
    <x v="1"/>
    <s v="SP-20920"/>
    <s v="Susan Pistek"/>
    <x v="0"/>
    <s v="United States"/>
    <x v="255"/>
    <x v="15"/>
    <x v="2"/>
    <s v="FUR-CH-10000454"/>
    <x v="0"/>
    <x v="1"/>
    <s v="Hon Deluxe Fabric Upholstered Stacking Chairs, Rounded Back"/>
    <n v="1537.0740000000001"/>
    <n v="9"/>
    <n v="0"/>
    <x v="4"/>
    <x v="0"/>
  </r>
  <r>
    <s v="CA-2016-124590"/>
    <x v="689"/>
    <d v="2016-11-16T00:00:00"/>
    <x v="1"/>
    <s v="SP-20920"/>
    <s v="Susan Pistek"/>
    <x v="0"/>
    <s v="United States"/>
    <x v="255"/>
    <x v="15"/>
    <x v="2"/>
    <s v="FUR-CH-10003746"/>
    <x v="0"/>
    <x v="1"/>
    <s v="Hon 4070 Series Pagoda Round Back Stacking Chairs"/>
    <n v="449.37200000000001"/>
    <n v="2"/>
    <n v="-12.8392"/>
    <x v="4"/>
    <x v="0"/>
  </r>
  <r>
    <s v="CA-2017-143378"/>
    <x v="690"/>
    <d v="2017-09-25T00:00:00"/>
    <x v="1"/>
    <s v="JR-16210"/>
    <s v="Justin Ritter"/>
    <x v="1"/>
    <s v="United States"/>
    <x v="76"/>
    <x v="36"/>
    <x v="1"/>
    <s v="FUR-FU-10004864"/>
    <x v="0"/>
    <x v="3"/>
    <s v="Howard Miller 14-1/2&quot; Diameter Chrome Round Wall Clock"/>
    <n v="409.21600000000001"/>
    <n v="8"/>
    <n v="61.382399999999997"/>
    <x v="6"/>
    <x v="4"/>
  </r>
  <r>
    <s v="CA-2017-143378"/>
    <x v="690"/>
    <d v="2017-09-25T00:00:00"/>
    <x v="1"/>
    <s v="JR-16210"/>
    <s v="Justin Ritter"/>
    <x v="1"/>
    <s v="United States"/>
    <x v="76"/>
    <x v="36"/>
    <x v="1"/>
    <s v="FUR-BO-10001972"/>
    <x v="0"/>
    <x v="0"/>
    <s v="O'Sullivan 4-Shelf Bookcase in Odessa Pine"/>
    <n v="72.587999999999994"/>
    <n v="2"/>
    <n v="-128.2388"/>
    <x v="6"/>
    <x v="4"/>
  </r>
  <r>
    <s v="CA-2016-124100"/>
    <x v="691"/>
    <d v="2016-04-06T00:00:00"/>
    <x v="1"/>
    <s v="EH-13990"/>
    <s v="Erica Hackney"/>
    <x v="0"/>
    <s v="United States"/>
    <x v="13"/>
    <x v="7"/>
    <x v="2"/>
    <s v="FUR-CH-10003817"/>
    <x v="0"/>
    <x v="1"/>
    <s v="Global Value Steno Chair, Gray"/>
    <n v="327.99599999999998"/>
    <n v="6"/>
    <n v="54.665999999999997"/>
    <x v="6"/>
    <x v="9"/>
  </r>
  <r>
    <s v="CA-2014-163447"/>
    <x v="421"/>
    <d v="2014-12-31T00:00:00"/>
    <x v="1"/>
    <s v="TB-21190"/>
    <s v="Thomas Brumley"/>
    <x v="2"/>
    <s v="United States"/>
    <x v="13"/>
    <x v="7"/>
    <x v="2"/>
    <s v="FUR-CH-10004477"/>
    <x v="0"/>
    <x v="1"/>
    <s v="Global Push Button Manager's Chair, Indigo"/>
    <n v="767.21400000000006"/>
    <n v="14"/>
    <n v="161.9674"/>
    <x v="4"/>
    <x v="5"/>
  </r>
  <r>
    <s v="CA-2016-148096"/>
    <x v="692"/>
    <d v="2016-08-19T00:00:00"/>
    <x v="2"/>
    <s v="AO-10810"/>
    <s v="Anthony O'Donnell"/>
    <x v="1"/>
    <s v="United States"/>
    <x v="2"/>
    <x v="2"/>
    <x v="1"/>
    <s v="FUR-TA-10004152"/>
    <x v="0"/>
    <x v="2"/>
    <s v="Barricks 18&quot; x 48&quot; Non-Folding Utility Table with Bottom Storage Shelf"/>
    <n v="161.28"/>
    <n v="2"/>
    <n v="12.096"/>
    <x v="0"/>
    <x v="10"/>
  </r>
  <r>
    <s v="CA-2014-131247"/>
    <x v="693"/>
    <d v="2014-04-04T00:00:00"/>
    <x v="1"/>
    <s v="GA-14725"/>
    <s v="Guy Armstrong"/>
    <x v="0"/>
    <s v="United States"/>
    <x v="28"/>
    <x v="2"/>
    <x v="1"/>
    <s v="FUR-BO-10001337"/>
    <x v="0"/>
    <x v="0"/>
    <s v="O'Sullivan Living Dimensions 2-Shelf Bookcases"/>
    <n v="205.666"/>
    <n v="2"/>
    <n v="-12.098000000000001"/>
    <x v="2"/>
    <x v="9"/>
  </r>
  <r>
    <s v="CA-2017-101322"/>
    <x v="158"/>
    <d v="2017-12-31T00:00:00"/>
    <x v="2"/>
    <s v="JG-15310"/>
    <s v="Jason Gross"/>
    <x v="1"/>
    <s v="United States"/>
    <x v="62"/>
    <x v="2"/>
    <x v="1"/>
    <s v="FUR-CH-10003968"/>
    <x v="0"/>
    <x v="1"/>
    <s v="Novimex Turbo Task Chair"/>
    <n v="340.70400000000001"/>
    <n v="6"/>
    <n v="-34.070399999999999"/>
    <x v="0"/>
    <x v="5"/>
  </r>
  <r>
    <s v="US-2016-106600"/>
    <x v="57"/>
    <d v="2016-04-11T00:00:00"/>
    <x v="2"/>
    <s v="RM-19375"/>
    <s v="Raymond Messe"/>
    <x v="0"/>
    <s v="United States"/>
    <x v="29"/>
    <x v="24"/>
    <x v="0"/>
    <s v="FUR-BO-10001608"/>
    <x v="0"/>
    <x v="0"/>
    <s v="Hon Metal Bookcases, Black"/>
    <n v="354.9"/>
    <n v="5"/>
    <n v="88.724999999999994"/>
    <x v="0"/>
    <x v="6"/>
  </r>
  <r>
    <s v="CA-2014-111871"/>
    <x v="385"/>
    <d v="2014-03-21T00:00:00"/>
    <x v="0"/>
    <s v="EK-13795"/>
    <s v="Eileen Kiefer"/>
    <x v="2"/>
    <s v="United States"/>
    <x v="28"/>
    <x v="2"/>
    <x v="1"/>
    <s v="FUR-BO-10004218"/>
    <x v="0"/>
    <x v="0"/>
    <s v="Bush Heritage Pine Collection 5-Shelf Bookcase, Albany Pine Finish, *Special Order"/>
    <n v="1198.33"/>
    <n v="10"/>
    <n v="70.489999999999995"/>
    <x v="0"/>
    <x v="9"/>
  </r>
  <r>
    <s v="CA-2017-151484"/>
    <x v="333"/>
    <d v="2017-04-23T00:00:00"/>
    <x v="2"/>
    <s v="CV-12805"/>
    <s v="Cynthia Voltz"/>
    <x v="1"/>
    <s v="United States"/>
    <x v="3"/>
    <x v="3"/>
    <x v="2"/>
    <s v="FUR-FU-10001876"/>
    <x v="0"/>
    <x v="3"/>
    <s v="Computer Room Manger, 14&quot;"/>
    <n v="51.968000000000004"/>
    <n v="2"/>
    <n v="10.393599999999999"/>
    <x v="0"/>
    <x v="6"/>
  </r>
  <r>
    <s v="CA-2017-151484"/>
    <x v="333"/>
    <d v="2017-04-23T00:00:00"/>
    <x v="2"/>
    <s v="CV-12805"/>
    <s v="Cynthia Voltz"/>
    <x v="1"/>
    <s v="United States"/>
    <x v="3"/>
    <x v="3"/>
    <x v="2"/>
    <s v="FUR-FU-10004671"/>
    <x v="0"/>
    <x v="3"/>
    <s v="Executive Impressions 12&quot; Wall Clock"/>
    <n v="42.408000000000001"/>
    <n v="3"/>
    <n v="9.5418000000000003"/>
    <x v="0"/>
    <x v="6"/>
  </r>
  <r>
    <s v="CA-2014-103989"/>
    <x v="694"/>
    <d v="2014-03-21T00:00:00"/>
    <x v="2"/>
    <s v="MC-17605"/>
    <s v="Matt Connell"/>
    <x v="1"/>
    <s v="United States"/>
    <x v="49"/>
    <x v="1"/>
    <x v="0"/>
    <s v="FUR-FU-10003981"/>
    <x v="0"/>
    <x v="3"/>
    <s v="Eldon Wave Desk Accessories"/>
    <n v="4.992"/>
    <n v="3"/>
    <n v="1.3728"/>
    <x v="3"/>
    <x v="9"/>
  </r>
  <r>
    <s v="CA-2014-103989"/>
    <x v="694"/>
    <d v="2014-03-21T00:00:00"/>
    <x v="2"/>
    <s v="MC-17605"/>
    <s v="Matt Connell"/>
    <x v="1"/>
    <s v="United States"/>
    <x v="49"/>
    <x v="1"/>
    <x v="0"/>
    <s v="FUR-FU-10002508"/>
    <x v="0"/>
    <x v="3"/>
    <s v="Document Clip Frames"/>
    <n v="20.015999999999998"/>
    <n v="3"/>
    <n v="5.5044000000000004"/>
    <x v="3"/>
    <x v="9"/>
  </r>
  <r>
    <s v="CA-2015-158421"/>
    <x v="231"/>
    <d v="2015-09-26T00:00:00"/>
    <x v="1"/>
    <s v="GB-14575"/>
    <s v="Giulietta Baptist"/>
    <x v="0"/>
    <s v="United States"/>
    <x v="11"/>
    <x v="10"/>
    <x v="0"/>
    <s v="FUR-CH-10000309"/>
    <x v="0"/>
    <x v="1"/>
    <s v="Global Comet Stacking Arm Chair"/>
    <n v="1690.04"/>
    <n v="4"/>
    <n v="422.51"/>
    <x v="2"/>
    <x v="4"/>
  </r>
  <r>
    <s v="CA-2016-143609"/>
    <x v="106"/>
    <d v="2016-12-13T00:00:00"/>
    <x v="2"/>
    <s v="DB-13270"/>
    <s v="Deborah Brumfield"/>
    <x v="2"/>
    <s v="United States"/>
    <x v="295"/>
    <x v="36"/>
    <x v="1"/>
    <s v="FUR-CH-10004218"/>
    <x v="0"/>
    <x v="1"/>
    <s v="Global Fabric Manager's Chair, Dark Gray"/>
    <n v="403.92"/>
    <n v="5"/>
    <n v="25.245000000000001"/>
    <x v="3"/>
    <x v="5"/>
  </r>
  <r>
    <s v="CA-2016-157259"/>
    <x v="695"/>
    <d v="2016-12-28T00:00:00"/>
    <x v="1"/>
    <s v="JM-15535"/>
    <s v="Jessica Myrick"/>
    <x v="0"/>
    <s v="United States"/>
    <x v="13"/>
    <x v="7"/>
    <x v="2"/>
    <s v="FUR-FU-10003192"/>
    <x v="0"/>
    <x v="3"/>
    <s v="Luxo Adjustable Task Clamp Lamp"/>
    <n v="799.56"/>
    <n v="9"/>
    <n v="207.88560000000001"/>
    <x v="4"/>
    <x v="5"/>
  </r>
  <r>
    <s v="CA-2016-118332"/>
    <x v="696"/>
    <d v="2016-12-23T00:00:00"/>
    <x v="1"/>
    <s v="PK-19075"/>
    <s v="Pete Kriz"/>
    <x v="0"/>
    <s v="United States"/>
    <x v="278"/>
    <x v="2"/>
    <x v="1"/>
    <s v="FUR-CH-10001708"/>
    <x v="0"/>
    <x v="1"/>
    <s v="Office Star - Contemporary Swivel Chair with Padded Adjustable Arms and Flex Back"/>
    <n v="563.91999999999996"/>
    <n v="5"/>
    <n v="7.0490000000000004"/>
    <x v="1"/>
    <x v="5"/>
  </r>
  <r>
    <s v="CA-2017-145660"/>
    <x v="451"/>
    <d v="2017-12-03T00:00:00"/>
    <x v="2"/>
    <s v="MG-17650"/>
    <s v="Matthew Grinstein"/>
    <x v="2"/>
    <s v="United States"/>
    <x v="149"/>
    <x v="15"/>
    <x v="2"/>
    <s v="FUR-FU-10002885"/>
    <x v="0"/>
    <x v="3"/>
    <s v="Magna Visual Magnetic Picture Hangers"/>
    <n v="7.7119999999999997"/>
    <n v="2"/>
    <n v="1.7352000000000001"/>
    <x v="3"/>
    <x v="5"/>
  </r>
  <r>
    <s v="CA-2016-133697"/>
    <x v="697"/>
    <d v="2016-10-24T00:00:00"/>
    <x v="0"/>
    <s v="CM-12445"/>
    <s v="Chuck Magee"/>
    <x v="0"/>
    <s v="United States"/>
    <x v="6"/>
    <x v="5"/>
    <x v="3"/>
    <s v="FUR-CH-10002372"/>
    <x v="0"/>
    <x v="1"/>
    <s v="Office Star - Ergonomically Designed Knee Chair"/>
    <n v="56.686"/>
    <n v="1"/>
    <n v="-14.5764"/>
    <x v="4"/>
    <x v="1"/>
  </r>
  <r>
    <s v="CA-2017-119809"/>
    <x v="100"/>
    <d v="2017-08-25T00:00:00"/>
    <x v="1"/>
    <s v="YS-21880"/>
    <s v="Yana Sorensen"/>
    <x v="1"/>
    <s v="United States"/>
    <x v="15"/>
    <x v="13"/>
    <x v="1"/>
    <s v="FUR-FU-10001475"/>
    <x v="0"/>
    <x v="3"/>
    <s v="Contract Clock, 14&quot;, Brown"/>
    <n v="65.94"/>
    <n v="3"/>
    <n v="22.419599999999999"/>
    <x v="1"/>
    <x v="10"/>
  </r>
  <r>
    <s v="CA-2015-161711"/>
    <x v="44"/>
    <d v="2015-12-03T00:00:00"/>
    <x v="1"/>
    <s v="MC-17425"/>
    <s v="Mark Cousins"/>
    <x v="1"/>
    <s v="United States"/>
    <x v="13"/>
    <x v="7"/>
    <x v="2"/>
    <s v="FUR-FU-10000087"/>
    <x v="0"/>
    <x v="3"/>
    <s v="Executive Impressions 14&quot; Two-Color Numerals Wall Clock"/>
    <n v="68.16"/>
    <n v="3"/>
    <n v="27.945599999999999"/>
    <x v="2"/>
    <x v="0"/>
  </r>
  <r>
    <s v="CA-2017-140627"/>
    <x v="340"/>
    <d v="2017-12-27T00:00:00"/>
    <x v="1"/>
    <s v="DK-12985"/>
    <s v="Darren Koutras"/>
    <x v="0"/>
    <s v="United States"/>
    <x v="296"/>
    <x v="9"/>
    <x v="0"/>
    <s v="FUR-FU-10000087"/>
    <x v="0"/>
    <x v="3"/>
    <s v="Executive Impressions 14&quot; Two-Color Numerals Wall Clock"/>
    <n v="72.703999999999994"/>
    <n v="4"/>
    <n v="19.084800000000001"/>
    <x v="4"/>
    <x v="5"/>
  </r>
  <r>
    <s v="CA-2015-133445"/>
    <x v="698"/>
    <d v="2015-10-09T00:00:00"/>
    <x v="1"/>
    <s v="JF-15490"/>
    <s v="Jeremy Farry"/>
    <x v="0"/>
    <s v="United States"/>
    <x v="295"/>
    <x v="36"/>
    <x v="1"/>
    <s v="FUR-BO-10003660"/>
    <x v="0"/>
    <x v="0"/>
    <s v="Bush Cubix Collection Bookcases, Fully Assembled"/>
    <n v="66.293999999999997"/>
    <n v="1"/>
    <n v="-103.86060000000001"/>
    <x v="4"/>
    <x v="1"/>
  </r>
  <r>
    <s v="CA-2015-133445"/>
    <x v="698"/>
    <d v="2015-10-09T00:00:00"/>
    <x v="1"/>
    <s v="JF-15490"/>
    <s v="Jeremy Farry"/>
    <x v="0"/>
    <s v="United States"/>
    <x v="295"/>
    <x v="36"/>
    <x v="1"/>
    <s v="FUR-CH-10000422"/>
    <x v="0"/>
    <x v="1"/>
    <s v="Global Highback Leather Tilter in Burgundy"/>
    <n v="291.16800000000001"/>
    <n v="4"/>
    <n v="-14.558400000000001"/>
    <x v="4"/>
    <x v="1"/>
  </r>
  <r>
    <s v="US-2017-142188"/>
    <x v="91"/>
    <d v="2017-09-11T00:00:00"/>
    <x v="3"/>
    <s v="JF-15415"/>
    <s v="Jennifer Ferguson"/>
    <x v="0"/>
    <s v="United States"/>
    <x v="15"/>
    <x v="13"/>
    <x v="1"/>
    <s v="FUR-CH-10003199"/>
    <x v="0"/>
    <x v="1"/>
    <s v="Office Star - Contemporary Task Swivel Chair"/>
    <n v="177.56800000000001"/>
    <n v="2"/>
    <n v="8.8783999999999992"/>
    <x v="7"/>
    <x v="4"/>
  </r>
  <r>
    <s v="CA-2015-134075"/>
    <x v="132"/>
    <d v="2015-12-16T00:00:00"/>
    <x v="1"/>
    <s v="HA-14905"/>
    <s v="Helen Abelman"/>
    <x v="0"/>
    <s v="United States"/>
    <x v="124"/>
    <x v="2"/>
    <x v="1"/>
    <s v="FUR-FU-10004597"/>
    <x v="0"/>
    <x v="3"/>
    <s v="Eldon Cleatmat Chair Mats for Medium Pile Carpets"/>
    <n v="166.5"/>
    <n v="3"/>
    <n v="21.645"/>
    <x v="4"/>
    <x v="5"/>
  </r>
  <r>
    <s v="CA-2017-141572"/>
    <x v="15"/>
    <d v="2017-05-31T00:00:00"/>
    <x v="0"/>
    <s v="LO-17170"/>
    <s v="Lori Olson"/>
    <x v="1"/>
    <s v="United States"/>
    <x v="41"/>
    <x v="28"/>
    <x v="2"/>
    <s v="FUR-FU-10001185"/>
    <x v="0"/>
    <x v="3"/>
    <s v="Advantus Employee of the Month Certificate Frame, 11 x 13-1/2"/>
    <n v="247.44"/>
    <n v="8"/>
    <n v="101.4504"/>
    <x v="0"/>
    <x v="7"/>
  </r>
  <r>
    <s v="CA-2015-112305"/>
    <x v="141"/>
    <d v="2015-11-25T00:00:00"/>
    <x v="1"/>
    <s v="KB-16405"/>
    <s v="Katrina Bavinger"/>
    <x v="2"/>
    <s v="United States"/>
    <x v="15"/>
    <x v="13"/>
    <x v="1"/>
    <s v="FUR-FU-10002364"/>
    <x v="0"/>
    <x v="3"/>
    <s v="Eldon Expressions Wood Desk Accessories, Oak"/>
    <n v="22.14"/>
    <n v="3"/>
    <n v="6.4206000000000003"/>
    <x v="2"/>
    <x v="0"/>
  </r>
  <r>
    <s v="CA-2017-121580"/>
    <x v="464"/>
    <d v="2017-06-04T00:00:00"/>
    <x v="1"/>
    <s v="ML-17410"/>
    <s v="Maris LaWare"/>
    <x v="0"/>
    <s v="United States"/>
    <x v="29"/>
    <x v="6"/>
    <x v="3"/>
    <s v="FUR-FU-10003981"/>
    <x v="0"/>
    <x v="3"/>
    <s v="Eldon Wave Desk Accessories"/>
    <n v="6.24"/>
    <n v="3"/>
    <n v="2.6208"/>
    <x v="6"/>
    <x v="7"/>
  </r>
  <r>
    <s v="CA-2015-151624"/>
    <x v="699"/>
    <d v="2015-09-14T00:00:00"/>
    <x v="1"/>
    <s v="VW-21775"/>
    <s v="Victoria Wilson"/>
    <x v="1"/>
    <s v="United States"/>
    <x v="132"/>
    <x v="33"/>
    <x v="0"/>
    <s v="FUR-FU-10001731"/>
    <x v="0"/>
    <x v="3"/>
    <s v="Acrylic Self-Standing Desk Frames"/>
    <n v="21.36"/>
    <n v="8"/>
    <n v="8.1167999999999996"/>
    <x v="6"/>
    <x v="4"/>
  </r>
  <r>
    <s v="CA-2017-102379"/>
    <x v="308"/>
    <d v="2017-12-06T00:00:00"/>
    <x v="1"/>
    <s v="BB-11545"/>
    <s v="Brenda Bowman"/>
    <x v="1"/>
    <s v="United States"/>
    <x v="121"/>
    <x v="2"/>
    <x v="1"/>
    <s v="FUR-CH-10004983"/>
    <x v="0"/>
    <x v="1"/>
    <s v="Office Star - Mid Back Dual function Ergonomic High Back Chair with 2-Way Adjustable Arms"/>
    <n v="1159.056"/>
    <n v="9"/>
    <n v="43.464599999999997"/>
    <x v="4"/>
    <x v="5"/>
  </r>
  <r>
    <s v="US-2016-139087"/>
    <x v="700"/>
    <d v="2016-07-22T00:00:00"/>
    <x v="0"/>
    <s v="DK-13375"/>
    <s v="Dennis Kane"/>
    <x v="0"/>
    <s v="United States"/>
    <x v="15"/>
    <x v="13"/>
    <x v="1"/>
    <s v="FUR-FU-10001847"/>
    <x v="0"/>
    <x v="3"/>
    <s v="Eldon Image Series Black Desk Accessories"/>
    <n v="12.42"/>
    <n v="3"/>
    <n v="4.4711999999999996"/>
    <x v="2"/>
    <x v="3"/>
  </r>
  <r>
    <s v="US-2016-139087"/>
    <x v="700"/>
    <d v="2016-07-22T00:00:00"/>
    <x v="0"/>
    <s v="DK-13375"/>
    <s v="Dennis Kane"/>
    <x v="0"/>
    <s v="United States"/>
    <x v="15"/>
    <x v="13"/>
    <x v="1"/>
    <s v="FUR-FU-10004164"/>
    <x v="0"/>
    <x v="3"/>
    <s v="Eldon 300 Class Desk Accessories, Black"/>
    <n v="24.75"/>
    <n v="5"/>
    <n v="10.89"/>
    <x v="2"/>
    <x v="3"/>
  </r>
  <r>
    <s v="CA-2015-116484"/>
    <x v="141"/>
    <d v="2015-11-26T00:00:00"/>
    <x v="1"/>
    <s v="JK-15205"/>
    <s v="Jamie Kunitz"/>
    <x v="0"/>
    <s v="United States"/>
    <x v="149"/>
    <x v="15"/>
    <x v="2"/>
    <s v="FUR-FU-10002874"/>
    <x v="0"/>
    <x v="3"/>
    <s v="Ultra Commercial Grade Dual Valve Door Closer"/>
    <n v="63.823999999999998"/>
    <n v="2"/>
    <n v="9.5736000000000008"/>
    <x v="6"/>
    <x v="0"/>
  </r>
  <r>
    <s v="CA-2016-100944"/>
    <x v="211"/>
    <d v="2016-09-28T00:00:00"/>
    <x v="1"/>
    <s v="EH-13765"/>
    <s v="Edward Hooks"/>
    <x v="1"/>
    <s v="United States"/>
    <x v="2"/>
    <x v="2"/>
    <x v="1"/>
    <s v="FUR-CH-10000988"/>
    <x v="0"/>
    <x v="1"/>
    <s v="Hon Olson Stacker Stools"/>
    <n v="563.24"/>
    <n v="5"/>
    <n v="56.323999999999998"/>
    <x v="4"/>
    <x v="4"/>
  </r>
  <r>
    <s v="CA-2016-125080"/>
    <x v="59"/>
    <d v="2016-10-26T00:00:00"/>
    <x v="1"/>
    <s v="VW-21775"/>
    <s v="Victoria Wilson"/>
    <x v="1"/>
    <s v="United States"/>
    <x v="174"/>
    <x v="15"/>
    <x v="2"/>
    <s v="FUR-TA-10003238"/>
    <x v="0"/>
    <x v="2"/>
    <s v="Chromcraft Bull-Nose Wood 48&quot; x 96&quot; Rectangular Conference Tables"/>
    <n v="661.17600000000004"/>
    <n v="2"/>
    <n v="-231.41159999999999"/>
    <x v="2"/>
    <x v="1"/>
  </r>
  <r>
    <s v="CA-2014-100090"/>
    <x v="591"/>
    <d v="2014-07-12T00:00:00"/>
    <x v="1"/>
    <s v="EB-13705"/>
    <s v="Ed Braxton"/>
    <x v="1"/>
    <s v="United States"/>
    <x v="28"/>
    <x v="2"/>
    <x v="1"/>
    <s v="FUR-TA-10003715"/>
    <x v="0"/>
    <x v="2"/>
    <s v="Hon 2111 Invitation Series Corner Table"/>
    <n v="502.488"/>
    <n v="3"/>
    <n v="-87.935400000000001"/>
    <x v="4"/>
    <x v="3"/>
  </r>
  <r>
    <s v="US-2015-139675"/>
    <x v="310"/>
    <d v="2015-03-18T00:00:00"/>
    <x v="0"/>
    <s v="NF-18595"/>
    <s v="Nicole Fjeld"/>
    <x v="2"/>
    <s v="United States"/>
    <x v="297"/>
    <x v="2"/>
    <x v="1"/>
    <s v="FUR-CH-10004063"/>
    <x v="0"/>
    <x v="1"/>
    <s v="Global Deluxe High-Back Manager's Chair"/>
    <n v="915.13599999999997"/>
    <n v="4"/>
    <n v="102.9528"/>
    <x v="2"/>
    <x v="9"/>
  </r>
  <r>
    <s v="US-2015-139675"/>
    <x v="310"/>
    <d v="2015-03-18T00:00:00"/>
    <x v="0"/>
    <s v="NF-18595"/>
    <s v="Nicole Fjeld"/>
    <x v="2"/>
    <s v="United States"/>
    <x v="297"/>
    <x v="2"/>
    <x v="1"/>
    <s v="FUR-FU-10001979"/>
    <x v="0"/>
    <x v="3"/>
    <s v="Dana Halogen Swing-Arm Architect Lamp"/>
    <n v="327.76"/>
    <n v="8"/>
    <n v="91.772800000000004"/>
    <x v="2"/>
    <x v="9"/>
  </r>
  <r>
    <s v="CA-2017-143756"/>
    <x v="308"/>
    <d v="2017-12-05T00:00:00"/>
    <x v="2"/>
    <s v="ME-17725"/>
    <s v="Max Engle"/>
    <x v="0"/>
    <s v="United States"/>
    <x v="279"/>
    <x v="25"/>
    <x v="0"/>
    <s v="FUR-CH-10001854"/>
    <x v="0"/>
    <x v="1"/>
    <s v="Office Star - Professional Matrix Back Chair with 2-to-1 Synchro Tilt and Mesh Fabric Seat"/>
    <n v="701.96"/>
    <n v="2"/>
    <n v="168.47040000000001"/>
    <x v="0"/>
    <x v="5"/>
  </r>
  <r>
    <s v="CA-2017-107314"/>
    <x v="147"/>
    <d v="2017-12-03T00:00:00"/>
    <x v="2"/>
    <s v="MZ-17335"/>
    <s v="Maria Zettner"/>
    <x v="2"/>
    <s v="United States"/>
    <x v="28"/>
    <x v="2"/>
    <x v="1"/>
    <s v="FUR-FU-10003489"/>
    <x v="0"/>
    <x v="3"/>
    <s v="Contemporary Borderless Frame"/>
    <n v="25.83"/>
    <n v="3"/>
    <n v="9.5571000000000002"/>
    <x v="0"/>
    <x v="0"/>
  </r>
  <r>
    <s v="CA-2016-163328"/>
    <x v="114"/>
    <d v="2016-11-06T00:00:00"/>
    <x v="0"/>
    <s v="TP-21565"/>
    <s v="Tracy Poddar"/>
    <x v="1"/>
    <s v="United States"/>
    <x v="298"/>
    <x v="36"/>
    <x v="1"/>
    <s v="FUR-CH-10003298"/>
    <x v="0"/>
    <x v="1"/>
    <s v="Office Star - Contemporary Task Swivel chair with Loop Arms, Charcoal"/>
    <n v="104.78400000000001"/>
    <n v="1"/>
    <n v="-14.4078"/>
    <x v="3"/>
    <x v="0"/>
  </r>
  <r>
    <s v="CA-2016-163328"/>
    <x v="114"/>
    <d v="2016-11-06T00:00:00"/>
    <x v="0"/>
    <s v="TP-21565"/>
    <s v="Tracy Poddar"/>
    <x v="1"/>
    <s v="United States"/>
    <x v="298"/>
    <x v="36"/>
    <x v="1"/>
    <s v="FUR-CH-10000229"/>
    <x v="0"/>
    <x v="1"/>
    <s v="Global Enterprise Series Seating High-Back Swivel/Tilt Chairs"/>
    <n v="650.35199999999998"/>
    <n v="3"/>
    <n v="-97.552800000000005"/>
    <x v="3"/>
    <x v="0"/>
  </r>
  <r>
    <s v="CA-2014-112837"/>
    <x v="701"/>
    <d v="2014-09-16T00:00:00"/>
    <x v="1"/>
    <s v="LW-17125"/>
    <s v="Liz Willingham"/>
    <x v="0"/>
    <s v="United States"/>
    <x v="299"/>
    <x v="2"/>
    <x v="1"/>
    <s v="FUR-FU-10004006"/>
    <x v="0"/>
    <x v="3"/>
    <s v="Deflect-o DuraMat Lighweight, Studded, Beveled Mat for Low Pile Carpeting"/>
    <n v="127.95"/>
    <n v="3"/>
    <n v="21.7515"/>
    <x v="2"/>
    <x v="4"/>
  </r>
  <r>
    <s v="CA-2014-167927"/>
    <x v="187"/>
    <d v="2014-01-26T00:00:00"/>
    <x v="1"/>
    <s v="XP-21865"/>
    <s v="Xylona Preis"/>
    <x v="0"/>
    <s v="United States"/>
    <x v="300"/>
    <x v="17"/>
    <x v="3"/>
    <s v="FUR-FU-10002918"/>
    <x v="0"/>
    <x v="3"/>
    <s v="Eldon ClusterMat Chair Mat with Cordless Antistatic Protection"/>
    <n v="272.94"/>
    <n v="3"/>
    <n v="30.023399999999999"/>
    <x v="6"/>
    <x v="8"/>
  </r>
  <r>
    <s v="CA-2014-167927"/>
    <x v="187"/>
    <d v="2014-01-26T00:00:00"/>
    <x v="1"/>
    <s v="XP-21865"/>
    <s v="Xylona Preis"/>
    <x v="0"/>
    <s v="United States"/>
    <x v="300"/>
    <x v="17"/>
    <x v="3"/>
    <s v="FUR-FU-10002268"/>
    <x v="0"/>
    <x v="3"/>
    <s v="Ultra Door Push Plate"/>
    <n v="14.73"/>
    <n v="3"/>
    <n v="4.8609"/>
    <x v="6"/>
    <x v="8"/>
  </r>
  <r>
    <s v="CA-2016-165995"/>
    <x v="55"/>
    <d v="2016-09-06T00:00:00"/>
    <x v="1"/>
    <s v="BG-11740"/>
    <s v="Bruce Geld"/>
    <x v="0"/>
    <s v="United States"/>
    <x v="2"/>
    <x v="2"/>
    <x v="1"/>
    <s v="FUR-FU-10000672"/>
    <x v="0"/>
    <x v="3"/>
    <s v="Executive Impressions 10&quot; Spectator Wall Clock"/>
    <n v="47.04"/>
    <n v="4"/>
    <n v="15.993600000000001"/>
    <x v="1"/>
    <x v="10"/>
  </r>
  <r>
    <s v="CA-2017-143112"/>
    <x v="702"/>
    <d v="2017-10-09T00:00:00"/>
    <x v="1"/>
    <s v="TS-21370"/>
    <s v="Todd Sumrall"/>
    <x v="1"/>
    <s v="United States"/>
    <x v="13"/>
    <x v="7"/>
    <x v="2"/>
    <s v="FUR-CH-10002880"/>
    <x v="0"/>
    <x v="1"/>
    <s v="Global High-Back Leather Tilter, Burgundy"/>
    <n v="221.38200000000001"/>
    <n v="2"/>
    <n v="2.4598"/>
    <x v="4"/>
    <x v="1"/>
  </r>
  <r>
    <s v="CA-2017-161557"/>
    <x v="667"/>
    <d v="2017-09-08T00:00:00"/>
    <x v="1"/>
    <s v="AG-10900"/>
    <s v="Arthur Gainer"/>
    <x v="0"/>
    <s v="United States"/>
    <x v="144"/>
    <x v="5"/>
    <x v="3"/>
    <s v="FUR-FU-10004622"/>
    <x v="0"/>
    <x v="3"/>
    <s v="Eldon Advantage Foldable Chair Mats for Low Pile Carpets"/>
    <n v="108.4"/>
    <n v="5"/>
    <n v="-105.69"/>
    <x v="2"/>
    <x v="4"/>
  </r>
  <r>
    <s v="CA-2016-103919"/>
    <x v="162"/>
    <d v="2016-10-07T00:00:00"/>
    <x v="1"/>
    <s v="TP-21565"/>
    <s v="Tracy Poddar"/>
    <x v="1"/>
    <s v="United States"/>
    <x v="141"/>
    <x v="5"/>
    <x v="3"/>
    <s v="FUR-FU-10001756"/>
    <x v="0"/>
    <x v="3"/>
    <s v="Eldon Expressions Desk Accessory, Wood Photo Frame, Mahogany"/>
    <n v="38.08"/>
    <n v="5"/>
    <n v="-29.512"/>
    <x v="4"/>
    <x v="1"/>
  </r>
  <r>
    <s v="CA-2016-113425"/>
    <x v="431"/>
    <d v="2016-11-21T00:00:00"/>
    <x v="3"/>
    <s v="JK-16120"/>
    <s v="Julie Kriz"/>
    <x v="2"/>
    <s v="United States"/>
    <x v="13"/>
    <x v="7"/>
    <x v="2"/>
    <s v="FUR-BO-10002598"/>
    <x v="0"/>
    <x v="0"/>
    <s v="Hon Metal Bookcases, Putty"/>
    <n v="113.568"/>
    <n v="2"/>
    <n v="12.776400000000001"/>
    <x v="7"/>
    <x v="0"/>
  </r>
  <r>
    <s v="CA-2017-143035"/>
    <x v="433"/>
    <d v="2017-10-05T00:00:00"/>
    <x v="0"/>
    <s v="CC-12430"/>
    <s v="Chuck Clark"/>
    <x v="2"/>
    <s v="United States"/>
    <x v="13"/>
    <x v="7"/>
    <x v="2"/>
    <s v="FUR-FU-10001934"/>
    <x v="0"/>
    <x v="3"/>
    <s v="Magnifier Swing Arm Lamp"/>
    <n v="83.92"/>
    <n v="4"/>
    <n v="21.819199999999999"/>
    <x v="3"/>
    <x v="1"/>
  </r>
  <r>
    <s v="CA-2014-107811"/>
    <x v="149"/>
    <d v="2014-05-03T00:00:00"/>
    <x v="1"/>
    <s v="LA-16780"/>
    <s v="Laura Armstrong"/>
    <x v="1"/>
    <s v="United States"/>
    <x v="10"/>
    <x v="9"/>
    <x v="0"/>
    <s v="FUR-CH-10001394"/>
    <x v="0"/>
    <x v="1"/>
    <s v="Global Leather Executive Chair"/>
    <n v="561.58399999999995"/>
    <n v="2"/>
    <n v="70.197999999999993"/>
    <x v="4"/>
    <x v="6"/>
  </r>
  <r>
    <s v="US-2016-116442"/>
    <x v="120"/>
    <d v="2016-12-22T00:00:00"/>
    <x v="1"/>
    <s v="BP-11230"/>
    <s v="Benjamin Patterson"/>
    <x v="0"/>
    <s v="United States"/>
    <x v="2"/>
    <x v="2"/>
    <x v="1"/>
    <s v="FUR-FU-10002364"/>
    <x v="0"/>
    <x v="3"/>
    <s v="Eldon Expressions Wood Desk Accessories, Oak"/>
    <n v="14.76"/>
    <n v="2"/>
    <n v="4.2804000000000002"/>
    <x v="1"/>
    <x v="5"/>
  </r>
  <r>
    <s v="CA-2016-127236"/>
    <x v="477"/>
    <d v="2016-04-02T00:00:00"/>
    <x v="1"/>
    <s v="TB-21595"/>
    <s v="Troy Blackwell"/>
    <x v="0"/>
    <s v="United States"/>
    <x v="76"/>
    <x v="15"/>
    <x v="2"/>
    <s v="FUR-BO-10004015"/>
    <x v="0"/>
    <x v="0"/>
    <s v="Bush Andora Bookcase, Maple/Graphite Gray Finish"/>
    <n v="299.97500000000002"/>
    <n v="5"/>
    <n v="-167.98599999999999"/>
    <x v="4"/>
    <x v="9"/>
  </r>
  <r>
    <s v="CA-2016-129126"/>
    <x v="469"/>
    <d v="2016-12-19T00:00:00"/>
    <x v="1"/>
    <s v="PK-19075"/>
    <s v="Pete Kriz"/>
    <x v="0"/>
    <s v="United States"/>
    <x v="13"/>
    <x v="7"/>
    <x v="2"/>
    <s v="FUR-FU-10002937"/>
    <x v="0"/>
    <x v="3"/>
    <s v="GE 48&quot; Fluorescent Tube, Cool White Energy Saver, 34 Watts, 30/Box"/>
    <n v="396.92"/>
    <n v="4"/>
    <n v="198.46"/>
    <x v="2"/>
    <x v="5"/>
  </r>
  <r>
    <s v="CA-2017-125472"/>
    <x v="703"/>
    <d v="2017-05-31T00:00:00"/>
    <x v="2"/>
    <s v="BD-11725"/>
    <s v="Bruce Degenhardt"/>
    <x v="0"/>
    <s v="United States"/>
    <x v="120"/>
    <x v="35"/>
    <x v="0"/>
    <s v="FUR-BO-10000330"/>
    <x v="0"/>
    <x v="0"/>
    <s v="Sauder Camden County Barrister Bookcase, Planked Cherry Finish"/>
    <n v="241.96"/>
    <n v="2"/>
    <n v="33.874400000000001"/>
    <x v="5"/>
    <x v="7"/>
  </r>
  <r>
    <s v="CA-2017-125472"/>
    <x v="703"/>
    <d v="2017-05-31T00:00:00"/>
    <x v="2"/>
    <s v="BD-11725"/>
    <s v="Bruce Degenhardt"/>
    <x v="0"/>
    <s v="United States"/>
    <x v="120"/>
    <x v="35"/>
    <x v="0"/>
    <s v="FUR-FU-10001731"/>
    <x v="0"/>
    <x v="3"/>
    <s v="Acrylic Self-Standing Desk Frames"/>
    <n v="8.01"/>
    <n v="3"/>
    <n v="3.0438000000000001"/>
    <x v="5"/>
    <x v="7"/>
  </r>
  <r>
    <s v="CA-2017-154074"/>
    <x v="704"/>
    <d v="2017-09-02T00:00:00"/>
    <x v="0"/>
    <s v="BW-11110"/>
    <s v="Bart Watters"/>
    <x v="1"/>
    <s v="United States"/>
    <x v="129"/>
    <x v="13"/>
    <x v="1"/>
    <s v="FUR-CH-10002331"/>
    <x v="0"/>
    <x v="1"/>
    <s v="Hon 4700 Series Mobuis Mid-Back Task Chairs with Adjustable Arms"/>
    <n v="569.56799999999998"/>
    <n v="2"/>
    <n v="7.1196000000000002"/>
    <x v="3"/>
    <x v="10"/>
  </r>
  <r>
    <s v="CA-2017-161774"/>
    <x v="138"/>
    <d v="2017-05-15T00:00:00"/>
    <x v="2"/>
    <s v="GT-14710"/>
    <s v="Greg Tran"/>
    <x v="0"/>
    <s v="United States"/>
    <x v="6"/>
    <x v="5"/>
    <x v="3"/>
    <s v="FUR-CH-10003981"/>
    <x v="0"/>
    <x v="1"/>
    <s v="Global Commerce Series Low-Back Swivel/Tilt Chairs"/>
    <n v="899.43"/>
    <n v="5"/>
    <n v="-12.849"/>
    <x v="5"/>
    <x v="7"/>
  </r>
  <r>
    <s v="CA-2016-140130"/>
    <x v="359"/>
    <d v="2016-11-05T00:00:00"/>
    <x v="1"/>
    <s v="HW-14935"/>
    <s v="Helen Wasserman"/>
    <x v="1"/>
    <s v="United States"/>
    <x v="169"/>
    <x v="37"/>
    <x v="3"/>
    <s v="FUR-CH-10002084"/>
    <x v="0"/>
    <x v="1"/>
    <s v="Hon Mobius Operator's Chair"/>
    <n v="368.97"/>
    <n v="3"/>
    <n v="81.173400000000001"/>
    <x v="2"/>
    <x v="1"/>
  </r>
  <r>
    <s v="CA-2015-149650"/>
    <x v="634"/>
    <d v="2015-10-27T00:00:00"/>
    <x v="2"/>
    <s v="RD-19660"/>
    <s v="Robert Dilbeck"/>
    <x v="2"/>
    <s v="United States"/>
    <x v="121"/>
    <x v="2"/>
    <x v="1"/>
    <s v="FUR-CH-10003956"/>
    <x v="0"/>
    <x v="1"/>
    <s v="Novimex High-Tech Fabric Mesh Task Chair"/>
    <n v="454.27199999999999"/>
    <n v="8"/>
    <n v="-73.819199999999995"/>
    <x v="0"/>
    <x v="1"/>
  </r>
  <r>
    <s v="CA-2014-165764"/>
    <x v="705"/>
    <d v="2014-11-07T00:00:00"/>
    <x v="1"/>
    <s v="SH-20395"/>
    <s v="Shahid Hopkins"/>
    <x v="0"/>
    <s v="United States"/>
    <x v="51"/>
    <x v="30"/>
    <x v="0"/>
    <s v="FUR-TA-10001768"/>
    <x v="0"/>
    <x v="2"/>
    <s v="Hon Racetrack Conference Tables"/>
    <n v="945.03599999999994"/>
    <n v="6"/>
    <n v="-299.26139999999998"/>
    <x v="4"/>
    <x v="0"/>
  </r>
  <r>
    <s v="CA-2014-165764"/>
    <x v="705"/>
    <d v="2014-11-07T00:00:00"/>
    <x v="1"/>
    <s v="SH-20395"/>
    <s v="Shahid Hopkins"/>
    <x v="0"/>
    <s v="United States"/>
    <x v="51"/>
    <x v="30"/>
    <x v="0"/>
    <s v="FUR-FU-10001468"/>
    <x v="0"/>
    <x v="3"/>
    <s v="Tenex Antistatic Computer Chair Mats"/>
    <n v="410.35199999999998"/>
    <n v="3"/>
    <n v="-51.293999999999997"/>
    <x v="4"/>
    <x v="0"/>
  </r>
  <r>
    <s v="US-2017-116897"/>
    <x v="706"/>
    <d v="2017-05-29T00:00:00"/>
    <x v="2"/>
    <s v="JG-15160"/>
    <s v="James Galang"/>
    <x v="0"/>
    <s v="United States"/>
    <x v="280"/>
    <x v="42"/>
    <x v="1"/>
    <s v="FUR-FU-10004963"/>
    <x v="0"/>
    <x v="3"/>
    <s v="Eldon 400 Class Desk Accessories, Black Carbon"/>
    <n v="35"/>
    <n v="4"/>
    <n v="14.7"/>
    <x v="3"/>
    <x v="7"/>
  </r>
  <r>
    <s v="US-2017-113992"/>
    <x v="417"/>
    <d v="2017-12-19T00:00:00"/>
    <x v="1"/>
    <s v="LC-16885"/>
    <s v="Lena Creighton"/>
    <x v="0"/>
    <s v="United States"/>
    <x v="215"/>
    <x v="5"/>
    <x v="3"/>
    <s v="FUR-TA-10000577"/>
    <x v="0"/>
    <x v="2"/>
    <s v="Bretford CR4500 Series Slim Rectangular Table"/>
    <n v="974.98800000000006"/>
    <n v="4"/>
    <n v="-97.498800000000003"/>
    <x v="2"/>
    <x v="5"/>
  </r>
  <r>
    <s v="CA-2014-166891"/>
    <x v="707"/>
    <d v="2014-10-06T00:00:00"/>
    <x v="2"/>
    <s v="CC-12220"/>
    <s v="Chris Cortes"/>
    <x v="0"/>
    <s v="United States"/>
    <x v="13"/>
    <x v="7"/>
    <x v="2"/>
    <s v="FUR-CH-10003298"/>
    <x v="0"/>
    <x v="1"/>
    <s v="Office Star - Contemporary Task Swivel chair with Loop Arms, Charcoal"/>
    <n v="589.41"/>
    <n v="5"/>
    <n v="-6.5490000000000004"/>
    <x v="3"/>
    <x v="1"/>
  </r>
  <r>
    <s v="CA-2016-101161"/>
    <x v="25"/>
    <d v="2016-10-20T00:00:00"/>
    <x v="1"/>
    <s v="BW-11110"/>
    <s v="Bart Watters"/>
    <x v="1"/>
    <s v="United States"/>
    <x v="13"/>
    <x v="7"/>
    <x v="2"/>
    <s v="FUR-FU-10003535"/>
    <x v="0"/>
    <x v="3"/>
    <s v="Howard Miller Distant Time Traveler Alarm Clock"/>
    <n v="82.26"/>
    <n v="3"/>
    <n v="33.726599999999998"/>
    <x v="1"/>
    <x v="1"/>
  </r>
  <r>
    <s v="US-2017-119816"/>
    <x v="708"/>
    <d v="2017-03-06T00:00:00"/>
    <x v="0"/>
    <s v="TT-21460"/>
    <s v="Tonja Turnell"/>
    <x v="2"/>
    <s v="United States"/>
    <x v="6"/>
    <x v="5"/>
    <x v="3"/>
    <s v="FUR-FU-10004848"/>
    <x v="0"/>
    <x v="3"/>
    <s v="Howard Miller 13-3/4&quot; Diameter Brushed Chrome Round Wall Clock"/>
    <n v="103.5"/>
    <n v="5"/>
    <n v="-77.625"/>
    <x v="3"/>
    <x v="9"/>
  </r>
  <r>
    <s v="CA-2017-161102"/>
    <x v="709"/>
    <d v="2017-08-03T00:00:00"/>
    <x v="2"/>
    <s v="EC-14050"/>
    <s v="Erin Creighton"/>
    <x v="0"/>
    <s v="United States"/>
    <x v="28"/>
    <x v="2"/>
    <x v="1"/>
    <s v="FUR-FU-10003142"/>
    <x v="0"/>
    <x v="3"/>
    <s v="Master Big Foot Doorstop, Beige"/>
    <n v="36.96"/>
    <n v="7"/>
    <n v="11.457599999999999"/>
    <x v="0"/>
    <x v="3"/>
  </r>
  <r>
    <s v="US-2017-133361"/>
    <x v="138"/>
    <d v="2017-05-17T00:00:00"/>
    <x v="2"/>
    <s v="AJ-10780"/>
    <s v="Anthony Jacobs"/>
    <x v="1"/>
    <s v="United States"/>
    <x v="237"/>
    <x v="32"/>
    <x v="2"/>
    <s v="FUR-CH-10003298"/>
    <x v="0"/>
    <x v="1"/>
    <s v="Office Star - Contemporary Task Swivel chair with Loop Arms, Charcoal"/>
    <n v="261.95999999999998"/>
    <n v="2"/>
    <n v="23.5764"/>
    <x v="0"/>
    <x v="7"/>
  </r>
  <r>
    <s v="US-2016-155404"/>
    <x v="710"/>
    <d v="2016-09-28T00:00:00"/>
    <x v="1"/>
    <s v="AS-10630"/>
    <s v="Ann Steele"/>
    <x v="2"/>
    <s v="United States"/>
    <x v="74"/>
    <x v="0"/>
    <x v="0"/>
    <s v="FUR-FU-10004586"/>
    <x v="0"/>
    <x v="3"/>
    <s v="G.E. Longer-Life Indoor Recessed Floodlight Bulbs"/>
    <n v="13.28"/>
    <n v="2"/>
    <n v="6.3743999999999996"/>
    <x v="6"/>
    <x v="4"/>
  </r>
  <r>
    <s v="CA-2016-163804"/>
    <x v="674"/>
    <d v="2016-12-08T00:00:00"/>
    <x v="1"/>
    <s v="DB-13270"/>
    <s v="Deborah Brumfield"/>
    <x v="2"/>
    <s v="United States"/>
    <x v="134"/>
    <x v="38"/>
    <x v="2"/>
    <s v="FUR-FU-10004864"/>
    <x v="0"/>
    <x v="3"/>
    <s v="Eldon 500 Class Desk Accessories"/>
    <n v="72.42"/>
    <n v="6"/>
    <n v="23.898599999999998"/>
    <x v="6"/>
    <x v="5"/>
  </r>
  <r>
    <s v="CA-2014-149524"/>
    <x v="711"/>
    <d v="2014-01-15T00:00:00"/>
    <x v="2"/>
    <s v="BS-11590"/>
    <s v="Brendan Sweed"/>
    <x v="1"/>
    <s v="United States"/>
    <x v="3"/>
    <x v="3"/>
    <x v="2"/>
    <s v="FUR-BO-10003433"/>
    <x v="0"/>
    <x v="0"/>
    <s v="Sauder Cornerstone Collection Library"/>
    <n v="61.96"/>
    <n v="4"/>
    <n v="-53.285600000000002"/>
    <x v="5"/>
    <x v="8"/>
  </r>
  <r>
    <s v="CA-2017-140872"/>
    <x v="35"/>
    <d v="2017-06-10T00:00:00"/>
    <x v="1"/>
    <s v="NR-18550"/>
    <s v="Nick Radford"/>
    <x v="0"/>
    <s v="United States"/>
    <x v="36"/>
    <x v="1"/>
    <x v="0"/>
    <s v="FUR-BO-10002824"/>
    <x v="0"/>
    <x v="0"/>
    <s v="Bush Mission Pointe Library"/>
    <n v="241.56800000000001"/>
    <n v="2"/>
    <n v="0"/>
    <x v="1"/>
    <x v="2"/>
  </r>
  <r>
    <s v="CA-2017-113908"/>
    <x v="35"/>
    <d v="2017-06-09T00:00:00"/>
    <x v="1"/>
    <s v="KN-16390"/>
    <s v="Katherine Nockton"/>
    <x v="1"/>
    <s v="United States"/>
    <x v="13"/>
    <x v="7"/>
    <x v="2"/>
    <s v="FUR-TA-10001932"/>
    <x v="0"/>
    <x v="2"/>
    <s v="Chromcraft 48&quot; x 96&quot; Racetrack Double Pedestal Table"/>
    <n v="384.76799999999997"/>
    <n v="2"/>
    <n v="-115.43040000000001"/>
    <x v="6"/>
    <x v="2"/>
  </r>
  <r>
    <s v="CA-2014-149594"/>
    <x v="712"/>
    <d v="2014-09-19T00:00:00"/>
    <x v="1"/>
    <s v="MF-18250"/>
    <s v="Monica Federle"/>
    <x v="1"/>
    <s v="United States"/>
    <x v="3"/>
    <x v="3"/>
    <x v="2"/>
    <s v="FUR-FU-10000222"/>
    <x v="0"/>
    <x v="3"/>
    <s v="Seth Thomas 16&quot; Steel Case Clock"/>
    <n v="103.93600000000001"/>
    <n v="4"/>
    <n v="16.889600000000002"/>
    <x v="4"/>
    <x v="4"/>
  </r>
  <r>
    <s v="CA-2016-113845"/>
    <x v="47"/>
    <d v="2016-11-25T00:00:00"/>
    <x v="1"/>
    <s v="FA-14230"/>
    <s v="Frank Atkinson"/>
    <x v="1"/>
    <s v="United States"/>
    <x v="301"/>
    <x v="1"/>
    <x v="0"/>
    <s v="FUR-BO-10004695"/>
    <x v="0"/>
    <x v="0"/>
    <s v="O'Sullivan 2-Door Barrister Bookcase in Odessa Pine"/>
    <n v="289.56799999999998"/>
    <n v="2"/>
    <n v="10.8588"/>
    <x v="2"/>
    <x v="0"/>
  </r>
  <r>
    <s v="CA-2015-103135"/>
    <x v="713"/>
    <d v="2015-07-28T00:00:00"/>
    <x v="1"/>
    <s v="SS-20515"/>
    <s v="Shirley Schmidt"/>
    <x v="2"/>
    <s v="United States"/>
    <x v="74"/>
    <x v="0"/>
    <x v="0"/>
    <s v="FUR-FU-10001487"/>
    <x v="0"/>
    <x v="3"/>
    <s v="Eldon Expressions Wood and Plastic Desk Accessories, Cherry Wood"/>
    <n v="20.94"/>
    <n v="3"/>
    <n v="6.0726000000000004"/>
    <x v="4"/>
    <x v="3"/>
  </r>
  <r>
    <s v="US-2016-128909"/>
    <x v="714"/>
    <d v="2016-10-11T00:00:00"/>
    <x v="0"/>
    <s v="SP-20545"/>
    <s v="Sibella Parks"/>
    <x v="1"/>
    <s v="United States"/>
    <x v="3"/>
    <x v="3"/>
    <x v="2"/>
    <s v="FUR-FU-10004071"/>
    <x v="0"/>
    <x v="3"/>
    <s v="Luxo Professional Magnifying Clamp-On Fluorescent Lamps"/>
    <n v="332.83199999999999"/>
    <n v="4"/>
    <n v="-24.962399999999999"/>
    <x v="3"/>
    <x v="1"/>
  </r>
  <r>
    <s v="US-2017-116652"/>
    <x v="102"/>
    <d v="2017-09-19T00:00:00"/>
    <x v="1"/>
    <s v="RD-19480"/>
    <s v="Rick Duston"/>
    <x v="0"/>
    <s v="United States"/>
    <x v="28"/>
    <x v="2"/>
    <x v="1"/>
    <s v="FUR-CH-10002961"/>
    <x v="0"/>
    <x v="1"/>
    <s v="Leather Task Chair, Black"/>
    <n v="218.352"/>
    <n v="3"/>
    <n v="0"/>
    <x v="4"/>
    <x v="4"/>
  </r>
  <r>
    <s v="US-2017-116652"/>
    <x v="102"/>
    <d v="2017-09-19T00:00:00"/>
    <x v="1"/>
    <s v="RD-19480"/>
    <s v="Rick Duston"/>
    <x v="0"/>
    <s v="United States"/>
    <x v="28"/>
    <x v="2"/>
    <x v="1"/>
    <s v="FUR-FU-10001488"/>
    <x v="0"/>
    <x v="3"/>
    <s v="Tenex 46&quot; x 60&quot; Computer Anti-Static Chairmat, Rectangular Shaped"/>
    <n v="529.9"/>
    <n v="5"/>
    <n v="105.98"/>
    <x v="4"/>
    <x v="4"/>
  </r>
  <r>
    <s v="CA-2017-138289"/>
    <x v="623"/>
    <d v="2017-01-18T00:00:00"/>
    <x v="0"/>
    <s v="AR-10540"/>
    <s v="Andy Reiter"/>
    <x v="0"/>
    <s v="United States"/>
    <x v="38"/>
    <x v="17"/>
    <x v="3"/>
    <s v="FUR-CH-10004626"/>
    <x v="0"/>
    <x v="1"/>
    <s v="Office Star Flex Back Scooter Chair with Aluminum Finish Frame"/>
    <n v="302.67"/>
    <n v="3"/>
    <n v="72.640799999999999"/>
    <x v="3"/>
    <x v="8"/>
  </r>
  <r>
    <s v="CA-2014-128209"/>
    <x v="317"/>
    <d v="2014-11-22T00:00:00"/>
    <x v="1"/>
    <s v="GT-14710"/>
    <s v="Greg Tran"/>
    <x v="0"/>
    <s v="United States"/>
    <x v="252"/>
    <x v="7"/>
    <x v="2"/>
    <s v="FUR-BO-10002213"/>
    <x v="0"/>
    <x v="0"/>
    <s v="DMI Eclipse Executive Suite Bookcases"/>
    <n v="4007.84"/>
    <n v="10"/>
    <n v="-50.097999999999999"/>
    <x v="2"/>
    <x v="0"/>
  </r>
  <r>
    <s v="CA-2014-169684"/>
    <x v="715"/>
    <d v="2014-10-23T00:00:00"/>
    <x v="2"/>
    <s v="FH-14365"/>
    <s v="Fred Hopkins"/>
    <x v="1"/>
    <s v="United States"/>
    <x v="270"/>
    <x v="9"/>
    <x v="0"/>
    <s v="FUR-TA-10003008"/>
    <x v="0"/>
    <x v="2"/>
    <s v="Lesro Round Back Collection Coffee Table, End Table"/>
    <n v="328.59"/>
    <n v="3"/>
    <n v="-147.8655"/>
    <x v="0"/>
    <x v="1"/>
  </r>
  <r>
    <s v="CA-2015-109862"/>
    <x v="551"/>
    <d v="2015-10-30T00:00:00"/>
    <x v="1"/>
    <s v="HK-14890"/>
    <s v="Heather Kirkland"/>
    <x v="1"/>
    <s v="United States"/>
    <x v="19"/>
    <x v="14"/>
    <x v="2"/>
    <s v="FUR-CH-10002439"/>
    <x v="0"/>
    <x v="1"/>
    <s v="Iceberg Nesting Folding Chair, 19w x 6d x 43h"/>
    <n v="291.10000000000002"/>
    <n v="5"/>
    <n v="75.686000000000007"/>
    <x v="2"/>
    <x v="1"/>
  </r>
  <r>
    <s v="US-2017-107888"/>
    <x v="716"/>
    <d v="2017-11-19T00:00:00"/>
    <x v="2"/>
    <s v="CC-12220"/>
    <s v="Chris Cortes"/>
    <x v="0"/>
    <s v="United States"/>
    <x v="15"/>
    <x v="13"/>
    <x v="1"/>
    <s v="FUR-FU-10003394"/>
    <x v="0"/>
    <x v="3"/>
    <s v="Tenex &quot;The Solids&quot; Textured Chair Mats"/>
    <n v="139.91999999999999"/>
    <n v="2"/>
    <n v="23.7864"/>
    <x v="0"/>
    <x v="0"/>
  </r>
  <r>
    <s v="CA-2014-113880"/>
    <x v="29"/>
    <d v="2014-03-05T00:00:00"/>
    <x v="1"/>
    <s v="VF-21715"/>
    <s v="Vicky Freymann"/>
    <x v="2"/>
    <s v="United States"/>
    <x v="302"/>
    <x v="8"/>
    <x v="3"/>
    <s v="FUR-CH-10000863"/>
    <x v="0"/>
    <x v="1"/>
    <s v="Novimex Swivel Fabric Task Chair"/>
    <n v="634.11599999999999"/>
    <n v="6"/>
    <n v="-172.1172"/>
    <x v="4"/>
    <x v="9"/>
  </r>
  <r>
    <s v="US-2015-164966"/>
    <x v="45"/>
    <d v="2015-08-01T00:00:00"/>
    <x v="2"/>
    <s v="GH-14410"/>
    <s v="Gary Hansen"/>
    <x v="2"/>
    <s v="United States"/>
    <x v="27"/>
    <x v="11"/>
    <x v="3"/>
    <s v="FUR-CH-10002304"/>
    <x v="0"/>
    <x v="1"/>
    <s v="Global Stack Chair without Arms, Black"/>
    <n v="155.88"/>
    <n v="6"/>
    <n v="38.97"/>
    <x v="3"/>
    <x v="3"/>
  </r>
  <r>
    <s v="CA-2015-126739"/>
    <x v="341"/>
    <d v="2015-11-03T00:00:00"/>
    <x v="0"/>
    <s v="JH-16180"/>
    <s v="Justin Hirsh"/>
    <x v="0"/>
    <s v="United States"/>
    <x v="13"/>
    <x v="7"/>
    <x v="2"/>
    <s v="FUR-CH-10000422"/>
    <x v="0"/>
    <x v="1"/>
    <s v="Global Highback Leather Tilter in Burgundy"/>
    <n v="327.56400000000002"/>
    <n v="4"/>
    <n v="21.837599999999998"/>
    <x v="3"/>
    <x v="0"/>
  </r>
  <r>
    <s v="CA-2015-166947"/>
    <x v="717"/>
    <d v="2015-06-10T00:00:00"/>
    <x v="1"/>
    <s v="EB-13750"/>
    <s v="Edward Becker"/>
    <x v="1"/>
    <s v="United States"/>
    <x v="252"/>
    <x v="7"/>
    <x v="2"/>
    <s v="FUR-CH-10004997"/>
    <x v="0"/>
    <x v="1"/>
    <s v="Hon Every-Day Series Multi-Task Chairs"/>
    <n v="1522.6379999999999"/>
    <n v="9"/>
    <n v="169.18199999999999"/>
    <x v="2"/>
    <x v="2"/>
  </r>
  <r>
    <s v="CA-2014-166086"/>
    <x v="718"/>
    <d v="2014-05-12T00:00:00"/>
    <x v="1"/>
    <s v="CT-11995"/>
    <s v="Carol Triggs"/>
    <x v="0"/>
    <s v="United States"/>
    <x v="37"/>
    <x v="20"/>
    <x v="2"/>
    <s v="FUR-TA-10003469"/>
    <x v="0"/>
    <x v="2"/>
    <s v="Balt Split Level Computer Training Table"/>
    <n v="194.25"/>
    <n v="2"/>
    <n v="-38.85"/>
    <x v="2"/>
    <x v="7"/>
  </r>
  <r>
    <s v="CA-2014-166086"/>
    <x v="718"/>
    <d v="2014-05-12T00:00:00"/>
    <x v="1"/>
    <s v="CT-11995"/>
    <s v="Carol Triggs"/>
    <x v="0"/>
    <s v="United States"/>
    <x v="37"/>
    <x v="20"/>
    <x v="2"/>
    <s v="FUR-CH-10004675"/>
    <x v="0"/>
    <x v="1"/>
    <s v="Lifetime Advantage Folding Chairs, 4/Carton"/>
    <n v="872.32"/>
    <n v="4"/>
    <n v="244.24959999999999"/>
    <x v="2"/>
    <x v="7"/>
  </r>
  <r>
    <s v="CA-2014-100678"/>
    <x v="719"/>
    <d v="2014-04-22T00:00:00"/>
    <x v="1"/>
    <s v="KM-16720"/>
    <s v="Kunst Miller"/>
    <x v="0"/>
    <s v="United States"/>
    <x v="6"/>
    <x v="5"/>
    <x v="3"/>
    <s v="FUR-CH-10002602"/>
    <x v="0"/>
    <x v="1"/>
    <s v="DMI Arturo Collection Mission-style Design Wood Chair"/>
    <n v="317.05799999999999"/>
    <n v="3"/>
    <n v="-18.117599999999999"/>
    <x v="4"/>
    <x v="6"/>
  </r>
  <r>
    <s v="CA-2017-123085"/>
    <x v="470"/>
    <d v="2017-03-08T00:00:00"/>
    <x v="1"/>
    <s v="EJ-13720"/>
    <s v="Ed Jacobs"/>
    <x v="0"/>
    <s v="United States"/>
    <x v="2"/>
    <x v="2"/>
    <x v="1"/>
    <s v="FUR-CH-10003968"/>
    <x v="0"/>
    <x v="1"/>
    <s v="Novimex Turbo Task Chair"/>
    <n v="170.352"/>
    <n v="3"/>
    <n v="-17.0352"/>
    <x v="2"/>
    <x v="9"/>
  </r>
  <r>
    <s v="CA-2016-169887"/>
    <x v="148"/>
    <d v="2016-10-22T00:00:00"/>
    <x v="3"/>
    <s v="MS-17530"/>
    <s v="MaryBeth Skach"/>
    <x v="0"/>
    <s v="United States"/>
    <x v="15"/>
    <x v="13"/>
    <x v="1"/>
    <s v="FUR-FU-10003095"/>
    <x v="0"/>
    <x v="3"/>
    <s v="Linden 12&quot; Wall Clock With Oak Frame"/>
    <n v="101.94"/>
    <n v="3"/>
    <n v="30.582000000000001"/>
    <x v="7"/>
    <x v="1"/>
  </r>
  <r>
    <s v="CA-2017-104731"/>
    <x v="720"/>
    <d v="2017-07-27T00:00:00"/>
    <x v="1"/>
    <s v="AM-10705"/>
    <s v="Anne McFarland"/>
    <x v="0"/>
    <s v="United States"/>
    <x v="279"/>
    <x v="25"/>
    <x v="0"/>
    <s v="FUR-FU-10003274"/>
    <x v="0"/>
    <x v="3"/>
    <s v="Regeneration Desk Collection"/>
    <n v="8.8000000000000007"/>
    <n v="5"/>
    <n v="3.8719999999999999"/>
    <x v="6"/>
    <x v="3"/>
  </r>
  <r>
    <s v="CA-2017-104731"/>
    <x v="720"/>
    <d v="2017-07-27T00:00:00"/>
    <x v="1"/>
    <s v="AM-10705"/>
    <s v="Anne McFarland"/>
    <x v="0"/>
    <s v="United States"/>
    <x v="279"/>
    <x v="25"/>
    <x v="0"/>
    <s v="FUR-BO-10003441"/>
    <x v="0"/>
    <x v="0"/>
    <s v="Bush Westfield Collection Bookcases, Fully Assembled"/>
    <n v="302.94"/>
    <n v="3"/>
    <n v="69.676199999999994"/>
    <x v="6"/>
    <x v="3"/>
  </r>
  <r>
    <s v="CA-2014-154095"/>
    <x v="116"/>
    <d v="2014-12-07T00:00:00"/>
    <x v="1"/>
    <s v="ON-18715"/>
    <s v="Odella Nelson"/>
    <x v="1"/>
    <s v="United States"/>
    <x v="218"/>
    <x v="32"/>
    <x v="2"/>
    <s v="FUR-FU-10003849"/>
    <x v="0"/>
    <x v="3"/>
    <s v="DAX Metal Frame, Desktop, Stepped-Edge"/>
    <n v="60.72"/>
    <n v="3"/>
    <n v="23.680800000000001"/>
    <x v="2"/>
    <x v="5"/>
  </r>
  <r>
    <s v="CA-2014-154095"/>
    <x v="116"/>
    <d v="2014-12-07T00:00:00"/>
    <x v="1"/>
    <s v="ON-18715"/>
    <s v="Odella Nelson"/>
    <x v="1"/>
    <s v="United States"/>
    <x v="218"/>
    <x v="32"/>
    <x v="2"/>
    <s v="FUR-CH-10004754"/>
    <x v="0"/>
    <x v="1"/>
    <s v="Global Stack Chair with Arms, Black"/>
    <n v="239.84"/>
    <n v="8"/>
    <n v="64.756799999999998"/>
    <x v="2"/>
    <x v="5"/>
  </r>
  <r>
    <s v="CA-2016-148852"/>
    <x v="205"/>
    <d v="2016-05-31T00:00:00"/>
    <x v="1"/>
    <s v="SV-20785"/>
    <s v="Stewart Visinsky"/>
    <x v="0"/>
    <s v="United States"/>
    <x v="72"/>
    <x v="2"/>
    <x v="1"/>
    <s v="FUR-CH-10004860"/>
    <x v="0"/>
    <x v="1"/>
    <s v="Global Low Back Tilter Chair"/>
    <n v="484.70400000000001"/>
    <n v="6"/>
    <n v="-84.8232"/>
    <x v="2"/>
    <x v="7"/>
  </r>
  <r>
    <s v="CA-2015-107678"/>
    <x v="721"/>
    <d v="2015-04-28T00:00:00"/>
    <x v="1"/>
    <s v="JK-16090"/>
    <s v="Juliana Krohn"/>
    <x v="0"/>
    <s v="United States"/>
    <x v="74"/>
    <x v="0"/>
    <x v="0"/>
    <s v="FUR-CH-10001891"/>
    <x v="0"/>
    <x v="1"/>
    <s v="Global Deluxe Office Fabric Chairs"/>
    <n v="191.96"/>
    <n v="2"/>
    <n v="51.8292"/>
    <x v="1"/>
    <x v="6"/>
  </r>
  <r>
    <s v="CA-2015-107678"/>
    <x v="721"/>
    <d v="2015-04-28T00:00:00"/>
    <x v="1"/>
    <s v="JK-16090"/>
    <s v="Juliana Krohn"/>
    <x v="0"/>
    <s v="United States"/>
    <x v="74"/>
    <x v="0"/>
    <x v="0"/>
    <s v="FUR-FU-10003394"/>
    <x v="0"/>
    <x v="3"/>
    <s v="Tenex &quot;The Solids&quot; Textured Chair Mats"/>
    <n v="209.88"/>
    <n v="3"/>
    <n v="35.679600000000001"/>
    <x v="1"/>
    <x v="6"/>
  </r>
  <r>
    <s v="CA-2016-123512"/>
    <x v="9"/>
    <d v="2016-06-19T00:00:00"/>
    <x v="2"/>
    <s v="MV-18190"/>
    <s v="Mike Vittorini"/>
    <x v="0"/>
    <s v="United States"/>
    <x v="2"/>
    <x v="2"/>
    <x v="1"/>
    <s v="FUR-BO-10004218"/>
    <x v="0"/>
    <x v="0"/>
    <s v="Bush Heritage Pine Collection 5-Shelf Bookcase, Albany Pine Finish, *Special Order"/>
    <n v="239.666"/>
    <n v="2"/>
    <n v="14.098000000000001"/>
    <x v="3"/>
    <x v="2"/>
  </r>
  <r>
    <s v="US-2017-167402"/>
    <x v="722"/>
    <d v="2017-01-18T00:00:00"/>
    <x v="0"/>
    <s v="CP-12085"/>
    <s v="Cathy Prescott"/>
    <x v="1"/>
    <s v="United States"/>
    <x v="76"/>
    <x v="23"/>
    <x v="3"/>
    <s v="FUR-BO-10001608"/>
    <x v="0"/>
    <x v="0"/>
    <s v="Hon Metal Bookcases, Black"/>
    <n v="212.94"/>
    <n v="3"/>
    <n v="53.234999999999999"/>
    <x v="2"/>
    <x v="8"/>
  </r>
  <r>
    <s v="CA-2014-130449"/>
    <x v="723"/>
    <d v="2014-09-09T00:00:00"/>
    <x v="2"/>
    <s v="VP-21760"/>
    <s v="Victoria Pisteka"/>
    <x v="1"/>
    <s v="United States"/>
    <x v="28"/>
    <x v="2"/>
    <x v="1"/>
    <s v="FUR-FU-10001487"/>
    <x v="0"/>
    <x v="3"/>
    <s v="Eldon Expressions Wood and Plastic Desk Accessories, Cherry Wood"/>
    <n v="41.88"/>
    <n v="6"/>
    <n v="12.145200000000001"/>
    <x v="0"/>
    <x v="4"/>
  </r>
  <r>
    <s v="CA-2015-141250"/>
    <x v="724"/>
    <d v="2015-01-23T00:00:00"/>
    <x v="1"/>
    <s v="PM-18940"/>
    <s v="Paul MacIntyre"/>
    <x v="0"/>
    <s v="United States"/>
    <x v="303"/>
    <x v="5"/>
    <x v="3"/>
    <s v="FUR-TA-10002855"/>
    <x v="0"/>
    <x v="2"/>
    <s v="Bevis Round Conference Table Top &amp; Single Column Base"/>
    <n v="102.438"/>
    <n v="1"/>
    <n v="-13.1706"/>
    <x v="4"/>
    <x v="8"/>
  </r>
  <r>
    <s v="CA-2015-141250"/>
    <x v="724"/>
    <d v="2015-01-23T00:00:00"/>
    <x v="1"/>
    <s v="PM-18940"/>
    <s v="Paul MacIntyre"/>
    <x v="0"/>
    <s v="United States"/>
    <x v="303"/>
    <x v="5"/>
    <x v="3"/>
    <s v="FUR-CH-10004875"/>
    <x v="0"/>
    <x v="1"/>
    <s v="Harbour Creations 67200 Series Stacking Chairs"/>
    <n v="199.304"/>
    <n v="4"/>
    <n v="-8.5416000000000007"/>
    <x v="4"/>
    <x v="8"/>
  </r>
  <r>
    <s v="CA-2016-105081"/>
    <x v="683"/>
    <d v="2016-12-30T00:00:00"/>
    <x v="1"/>
    <s v="JE-15715"/>
    <s v="Joe Elijah"/>
    <x v="0"/>
    <s v="United States"/>
    <x v="15"/>
    <x v="13"/>
    <x v="1"/>
    <s v="FUR-CH-10000847"/>
    <x v="0"/>
    <x v="1"/>
    <s v="Global Executive Mid-Back Manager's Chair"/>
    <n v="698.35199999999998"/>
    <n v="3"/>
    <n v="52.376399999999997"/>
    <x v="2"/>
    <x v="5"/>
  </r>
  <r>
    <s v="CA-2016-105081"/>
    <x v="683"/>
    <d v="2016-12-30T00:00:00"/>
    <x v="1"/>
    <s v="JE-15715"/>
    <s v="Joe Elijah"/>
    <x v="0"/>
    <s v="United States"/>
    <x v="15"/>
    <x v="13"/>
    <x v="1"/>
    <s v="FUR-TA-10001307"/>
    <x v="0"/>
    <x v="2"/>
    <s v="SAFCO PlanMaster Heigh-Adjustable Drafting Table Base, 43w x 30d x 30-37h, Black"/>
    <n v="1747.25"/>
    <n v="5"/>
    <n v="629.01"/>
    <x v="2"/>
    <x v="5"/>
  </r>
  <r>
    <s v="CA-2014-108609"/>
    <x v="314"/>
    <d v="2014-11-02T00:00:00"/>
    <x v="0"/>
    <s v="AJ-10780"/>
    <s v="Anthony Jacobs"/>
    <x v="1"/>
    <s v="United States"/>
    <x v="75"/>
    <x v="15"/>
    <x v="2"/>
    <s v="FUR-TA-10003954"/>
    <x v="0"/>
    <x v="2"/>
    <s v="Hon 94000 Series Round Tables"/>
    <n v="1421.664"/>
    <n v="8"/>
    <n v="-734.52639999999997"/>
    <x v="3"/>
    <x v="1"/>
  </r>
  <r>
    <s v="US-2016-127334"/>
    <x v="120"/>
    <d v="2016-12-21T00:00:00"/>
    <x v="1"/>
    <s v="MP-18175"/>
    <s v="Mike Pelletier"/>
    <x v="2"/>
    <s v="United States"/>
    <x v="76"/>
    <x v="36"/>
    <x v="1"/>
    <s v="FUR-TA-10003473"/>
    <x v="0"/>
    <x v="2"/>
    <s v="Bretford Rectangular Conference Table Tops"/>
    <n v="564.19500000000005"/>
    <n v="3"/>
    <n v="-304.6653"/>
    <x v="6"/>
    <x v="5"/>
  </r>
  <r>
    <s v="US-2017-124779"/>
    <x v="272"/>
    <d v="2017-09-11T00:00:00"/>
    <x v="2"/>
    <s v="BF-11020"/>
    <s v="Barry Franzšsisch"/>
    <x v="1"/>
    <s v="United States"/>
    <x v="58"/>
    <x v="5"/>
    <x v="3"/>
    <s v="FUR-FU-10001095"/>
    <x v="0"/>
    <x v="3"/>
    <s v="DAX Black Cherry Wood-Tone Poster Frame"/>
    <n v="21.184000000000001"/>
    <n v="2"/>
    <n v="-11.651199999999999"/>
    <x v="0"/>
    <x v="4"/>
  </r>
  <r>
    <s v="US-2017-124779"/>
    <x v="272"/>
    <d v="2017-09-11T00:00:00"/>
    <x v="2"/>
    <s v="BF-11020"/>
    <s v="Barry Franzšsisch"/>
    <x v="1"/>
    <s v="United States"/>
    <x v="58"/>
    <x v="5"/>
    <x v="3"/>
    <s v="FUR-CH-10003535"/>
    <x v="0"/>
    <x v="1"/>
    <s v="Global Armless Task Chair, Royal Blue"/>
    <n v="213.43"/>
    <n v="5"/>
    <n v="-39.637"/>
    <x v="0"/>
    <x v="4"/>
  </r>
  <r>
    <s v="CA-2017-135937"/>
    <x v="134"/>
    <d v="2017-02-27T00:00:00"/>
    <x v="1"/>
    <s v="KM-16375"/>
    <s v="Katherine Murray"/>
    <x v="2"/>
    <s v="United States"/>
    <x v="171"/>
    <x v="22"/>
    <x v="1"/>
    <s v="FUR-FU-10002253"/>
    <x v="0"/>
    <x v="3"/>
    <s v="Howard Miller 13&quot; Diameter Pewter Finish Round Wall Clock"/>
    <n v="68.703999999999994"/>
    <n v="2"/>
    <n v="16.3172"/>
    <x v="1"/>
    <x v="11"/>
  </r>
  <r>
    <s v="CA-2017-135937"/>
    <x v="134"/>
    <d v="2017-02-27T00:00:00"/>
    <x v="1"/>
    <s v="KM-16375"/>
    <s v="Katherine Murray"/>
    <x v="2"/>
    <s v="United States"/>
    <x v="171"/>
    <x v="22"/>
    <x v="1"/>
    <s v="FUR-TA-10001039"/>
    <x v="0"/>
    <x v="2"/>
    <s v="KI Adjustable-Height Table"/>
    <n v="386.91"/>
    <n v="9"/>
    <n v="-185.71680000000001"/>
    <x v="1"/>
    <x v="11"/>
  </r>
  <r>
    <s v="CA-2017-162173"/>
    <x v="725"/>
    <d v="2017-11-01T00:00:00"/>
    <x v="1"/>
    <s v="OT-18730"/>
    <s v="Olvera Toch"/>
    <x v="0"/>
    <s v="United States"/>
    <x v="304"/>
    <x v="25"/>
    <x v="0"/>
    <s v="FUR-TA-10001520"/>
    <x v="0"/>
    <x v="2"/>
    <s v="Lesro Sheffield Collection Coffee Table, End Table, Center Table, Corner Table"/>
    <n v="356.85"/>
    <n v="5"/>
    <n v="60.664499999999997"/>
    <x v="6"/>
    <x v="1"/>
  </r>
  <r>
    <s v="CA-2017-122175"/>
    <x v="666"/>
    <d v="2017-05-14T00:00:00"/>
    <x v="0"/>
    <s v="CA-12775"/>
    <s v="Cynthia Arntzen"/>
    <x v="0"/>
    <s v="United States"/>
    <x v="109"/>
    <x v="18"/>
    <x v="2"/>
    <s v="FUR-FU-10000719"/>
    <x v="0"/>
    <x v="3"/>
    <s v="DAX Cubicle Frames, 8-1/2 x 11"/>
    <n v="42.85"/>
    <n v="5"/>
    <n v="15.426"/>
    <x v="3"/>
    <x v="7"/>
  </r>
  <r>
    <s v="CA-2015-135510"/>
    <x v="278"/>
    <d v="2015-09-12T00:00:00"/>
    <x v="1"/>
    <s v="TW-21025"/>
    <s v="Tamara Willingham"/>
    <x v="2"/>
    <s v="United States"/>
    <x v="305"/>
    <x v="25"/>
    <x v="0"/>
    <s v="FUR-FU-10000820"/>
    <x v="0"/>
    <x v="3"/>
    <s v="Tensor Brushed Steel Torchiere Floor Lamp"/>
    <n v="67.959999999999994"/>
    <n v="4"/>
    <n v="12.232799999999999"/>
    <x v="1"/>
    <x v="4"/>
  </r>
  <r>
    <s v="CA-2014-150329"/>
    <x v="567"/>
    <d v="2014-10-14T00:00:00"/>
    <x v="1"/>
    <s v="SD-20485"/>
    <s v="Shirley Daniels"/>
    <x v="2"/>
    <s v="United States"/>
    <x v="43"/>
    <x v="22"/>
    <x v="1"/>
    <s v="FUR-FU-10003724"/>
    <x v="0"/>
    <x v="3"/>
    <s v="Westinghouse Clip-On Gooseneck Lamps"/>
    <n v="46.872"/>
    <n v="7"/>
    <n v="3.5154000000000001"/>
    <x v="4"/>
    <x v="1"/>
  </r>
  <r>
    <s v="CA-2014-109134"/>
    <x v="726"/>
    <d v="2014-11-10T00:00:00"/>
    <x v="1"/>
    <s v="DE-13255"/>
    <s v="Deanra Eno"/>
    <x v="2"/>
    <s v="United States"/>
    <x v="2"/>
    <x v="2"/>
    <x v="1"/>
    <s v="FUR-FU-10000320"/>
    <x v="0"/>
    <x v="3"/>
    <s v="OIC Stacking Trays"/>
    <n v="20.04"/>
    <n v="6"/>
    <n v="8.8176000000000005"/>
    <x v="2"/>
    <x v="0"/>
  </r>
  <r>
    <s v="US-2015-129637"/>
    <x v="584"/>
    <d v="2015-12-22T00:00:00"/>
    <x v="1"/>
    <s v="MC-18100"/>
    <s v="Mick Crebagga"/>
    <x v="0"/>
    <s v="United States"/>
    <x v="17"/>
    <x v="8"/>
    <x v="3"/>
    <s v="FUR-FU-10000965"/>
    <x v="0"/>
    <x v="3"/>
    <s v="Howard Miller 11-1/2&quot; Diameter Ridgewood Wall Clock"/>
    <n v="41.552"/>
    <n v="2"/>
    <n v="-19.737200000000001"/>
    <x v="2"/>
    <x v="5"/>
  </r>
  <r>
    <s v="CA-2017-145429"/>
    <x v="720"/>
    <d v="2017-07-25T00:00:00"/>
    <x v="1"/>
    <s v="SW-20455"/>
    <s v="Shaun Weien"/>
    <x v="0"/>
    <s v="United States"/>
    <x v="53"/>
    <x v="2"/>
    <x v="1"/>
    <s v="FUR-CH-10000988"/>
    <x v="0"/>
    <x v="1"/>
    <s v="Hon Olson Stacker Stools"/>
    <n v="225.29599999999999"/>
    <n v="2"/>
    <n v="22.529599999999999"/>
    <x v="4"/>
    <x v="3"/>
  </r>
  <r>
    <s v="CA-2015-153535"/>
    <x v="727"/>
    <d v="2015-05-24T00:00:00"/>
    <x v="1"/>
    <s v="SG-20470"/>
    <s v="Sheri Gordon"/>
    <x v="0"/>
    <s v="United States"/>
    <x v="306"/>
    <x v="30"/>
    <x v="0"/>
    <s v="FUR-FU-10001986"/>
    <x v="0"/>
    <x v="3"/>
    <s v="Dana Fluorescent Magnifying Lamp, White, 36&quot;"/>
    <n v="163.136"/>
    <n v="4"/>
    <n v="20.391999999999999"/>
    <x v="4"/>
    <x v="7"/>
  </r>
  <r>
    <s v="CA-2015-123141"/>
    <x v="502"/>
    <d v="2015-11-19T00:00:00"/>
    <x v="1"/>
    <s v="GZ-14470"/>
    <s v="Gary Zandusky"/>
    <x v="0"/>
    <s v="United States"/>
    <x v="307"/>
    <x v="41"/>
    <x v="1"/>
    <s v="FUR-CH-10004287"/>
    <x v="0"/>
    <x v="1"/>
    <s v="SAFCO Arco Folding Chair"/>
    <n v="883.84"/>
    <n v="4"/>
    <n v="99.432000000000002"/>
    <x v="2"/>
    <x v="0"/>
  </r>
  <r>
    <s v="CA-2015-123141"/>
    <x v="502"/>
    <d v="2015-11-19T00:00:00"/>
    <x v="1"/>
    <s v="GZ-14470"/>
    <s v="Gary Zandusky"/>
    <x v="0"/>
    <s v="United States"/>
    <x v="307"/>
    <x v="41"/>
    <x v="1"/>
    <s v="FUR-CH-10001891"/>
    <x v="0"/>
    <x v="1"/>
    <s v="Global Deluxe Office Fabric Chairs"/>
    <n v="230.352"/>
    <n v="3"/>
    <n v="20.155799999999999"/>
    <x v="2"/>
    <x v="0"/>
  </r>
  <r>
    <s v="CA-2017-107629"/>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s v="CA-2017-107629"/>
    <x v="417"/>
    <d v="2017-12-14T00:00:00"/>
    <x v="3"/>
    <s v="DB-13060"/>
    <s v="Dave Brooks"/>
    <x v="0"/>
    <s v="United States"/>
    <x v="187"/>
    <x v="8"/>
    <x v="3"/>
    <s v="FUR-FU-10004091"/>
    <x v="0"/>
    <x v="3"/>
    <s v="Howard Miller 13&quot; Diameter Goldtone Round Wall Clock"/>
    <n v="56.328000000000003"/>
    <n v="3"/>
    <n v="-26.755800000000001"/>
    <x v="7"/>
    <x v="5"/>
  </r>
  <r>
    <s v="CA-2016-134789"/>
    <x v="57"/>
    <d v="2016-04-15T00:00:00"/>
    <x v="1"/>
    <s v="CK-12325"/>
    <s v="Christine Kargatis"/>
    <x v="2"/>
    <s v="United States"/>
    <x v="308"/>
    <x v="31"/>
    <x v="0"/>
    <s v="FUR-FU-10003268"/>
    <x v="0"/>
    <x v="3"/>
    <s v="Eldon Radial Chair Mat for Low to Medium Pile Carpets"/>
    <n v="159.91999999999999"/>
    <n v="4"/>
    <n v="31.984000000000002"/>
    <x v="1"/>
    <x v="6"/>
  </r>
  <r>
    <s v="CA-2016-165827"/>
    <x v="114"/>
    <d v="2016-11-09T00:00:00"/>
    <x v="1"/>
    <s v="MF-17665"/>
    <s v="Maureen Fritzler"/>
    <x v="1"/>
    <s v="United States"/>
    <x v="89"/>
    <x v="1"/>
    <x v="0"/>
    <s v="FUR-FU-10001889"/>
    <x v="0"/>
    <x v="3"/>
    <s v="Ultra Door Pull Handle"/>
    <n v="50.496000000000002"/>
    <n v="6"/>
    <n v="8.2056000000000004"/>
    <x v="2"/>
    <x v="0"/>
  </r>
  <r>
    <s v="CA-2015-156734"/>
    <x v="311"/>
    <d v="2015-06-20T00:00:00"/>
    <x v="2"/>
    <s v="BV-11245"/>
    <s v="Benjamin Venier"/>
    <x v="1"/>
    <s v="United States"/>
    <x v="107"/>
    <x v="9"/>
    <x v="0"/>
    <s v="FUR-CH-10002965"/>
    <x v="0"/>
    <x v="1"/>
    <s v="Global Leather Highback Executive Chair with Pneumatic Height Adjustment, Black"/>
    <n v="643.13599999999997"/>
    <n v="4"/>
    <n v="56.2744"/>
    <x v="3"/>
    <x v="2"/>
  </r>
  <r>
    <s v="CA-2014-144029"/>
    <x v="261"/>
    <d v="2014-05-31T00:00:00"/>
    <x v="1"/>
    <s v="MM-18055"/>
    <s v="Michelle Moray"/>
    <x v="0"/>
    <s v="United States"/>
    <x v="9"/>
    <x v="8"/>
    <x v="3"/>
    <s v="FUR-CH-10003981"/>
    <x v="0"/>
    <x v="1"/>
    <s v="Global Commerce Series Low-Back Swivel/Tilt Chairs"/>
    <n v="359.77199999999999"/>
    <n v="2"/>
    <n v="-5.1395999999999997"/>
    <x v="2"/>
    <x v="7"/>
  </r>
  <r>
    <s v="US-2017-101784"/>
    <x v="682"/>
    <d v="2017-07-11T00:00:00"/>
    <x v="1"/>
    <s v="PO-18850"/>
    <s v="Patrick O'Brill"/>
    <x v="0"/>
    <s v="United States"/>
    <x v="2"/>
    <x v="2"/>
    <x v="1"/>
    <s v="FUR-CH-10001146"/>
    <x v="0"/>
    <x v="1"/>
    <s v="Global Task Chair, Black"/>
    <n v="122.136"/>
    <n v="3"/>
    <n v="-13.7403"/>
    <x v="2"/>
    <x v="3"/>
  </r>
  <r>
    <s v="CA-2016-154767"/>
    <x v="728"/>
    <d v="2016-06-30T00:00:00"/>
    <x v="0"/>
    <s v="BP-11155"/>
    <s v="Becky Pak"/>
    <x v="0"/>
    <s v="United States"/>
    <x v="309"/>
    <x v="18"/>
    <x v="2"/>
    <s v="FUR-CH-10003535"/>
    <x v="0"/>
    <x v="1"/>
    <s v="Global Armless Task Chair, Royal Blue"/>
    <n v="121.96"/>
    <n v="2"/>
    <n v="20.7332"/>
    <x v="3"/>
    <x v="2"/>
  </r>
  <r>
    <s v="CA-2017-124205"/>
    <x v="102"/>
    <d v="2017-09-19T00:00:00"/>
    <x v="1"/>
    <s v="TC-21145"/>
    <s v="Theresa Coyne"/>
    <x v="1"/>
    <s v="United States"/>
    <x v="174"/>
    <x v="18"/>
    <x v="2"/>
    <s v="FUR-FU-10002445"/>
    <x v="0"/>
    <x v="3"/>
    <s v="DAX Two-Tone Rosewood/Black Document Frame, Desktop, 5 x 7"/>
    <n v="47.4"/>
    <n v="5"/>
    <n v="18.96"/>
    <x v="4"/>
    <x v="4"/>
  </r>
  <r>
    <s v="CA-2017-124205"/>
    <x v="102"/>
    <d v="2017-09-19T00:00:00"/>
    <x v="1"/>
    <s v="TC-21145"/>
    <s v="Theresa Coyne"/>
    <x v="1"/>
    <s v="United States"/>
    <x v="174"/>
    <x v="18"/>
    <x v="2"/>
    <s v="FUR-CH-10003606"/>
    <x v="0"/>
    <x v="1"/>
    <s v="SAFCO Folding Chair Trolley"/>
    <n v="512.96"/>
    <n v="4"/>
    <n v="143.62880000000001"/>
    <x v="4"/>
    <x v="4"/>
  </r>
  <r>
    <s v="CA-2016-162943"/>
    <x v="729"/>
    <d v="2016-07-26T00:00:00"/>
    <x v="0"/>
    <s v="DB-12970"/>
    <s v="Darren Budd"/>
    <x v="1"/>
    <s v="United States"/>
    <x v="13"/>
    <x v="7"/>
    <x v="2"/>
    <s v="FUR-CH-10001708"/>
    <x v="0"/>
    <x v="1"/>
    <s v="Office Star - Contemporary Swivel Chair with Padded Adjustable Arms and Flex Back"/>
    <n v="253.76400000000001"/>
    <n v="2"/>
    <n v="31.015599999999999"/>
    <x v="3"/>
    <x v="3"/>
  </r>
  <r>
    <s v="CA-2017-100615"/>
    <x v="333"/>
    <d v="2017-04-24T00:00:00"/>
    <x v="1"/>
    <s v="SJ-20215"/>
    <s v="Sarah Jordon"/>
    <x v="0"/>
    <s v="United States"/>
    <x v="9"/>
    <x v="8"/>
    <x v="3"/>
    <s v="FUR-CH-10002602"/>
    <x v="0"/>
    <x v="1"/>
    <s v="DMI Arturo Collection Mission-style Design Wood Chair"/>
    <n v="317.05799999999999"/>
    <n v="3"/>
    <n v="-18.117599999999999"/>
    <x v="4"/>
    <x v="6"/>
  </r>
  <r>
    <s v="CA-2017-100615"/>
    <x v="333"/>
    <d v="2017-04-24T00:00:00"/>
    <x v="1"/>
    <s v="SJ-20215"/>
    <s v="Sarah Jordon"/>
    <x v="0"/>
    <s v="United States"/>
    <x v="9"/>
    <x v="8"/>
    <x v="3"/>
    <s v="FUR-FU-10002456"/>
    <x v="0"/>
    <x v="3"/>
    <s v="Master Caster Door Stop, Large Neon Orange"/>
    <n v="14.56"/>
    <n v="5"/>
    <n v="-6.1879999999999997"/>
    <x v="4"/>
    <x v="6"/>
  </r>
  <r>
    <s v="US-2016-147711"/>
    <x v="222"/>
    <d v="2016-09-08T00:00:00"/>
    <x v="0"/>
    <s v="HF-14995"/>
    <s v="Herbert Flentye"/>
    <x v="0"/>
    <s v="United States"/>
    <x v="237"/>
    <x v="32"/>
    <x v="2"/>
    <s v="FUR-BO-10003159"/>
    <x v="0"/>
    <x v="0"/>
    <s v="Sauder Camden County Collection Libraries, Planked Cherry Finish"/>
    <n v="344.94"/>
    <n v="3"/>
    <n v="31.044599999999999"/>
    <x v="2"/>
    <x v="4"/>
  </r>
  <r>
    <s v="US-2016-147711"/>
    <x v="222"/>
    <d v="2016-09-08T00:00:00"/>
    <x v="0"/>
    <s v="HF-14995"/>
    <s v="Herbert Flentye"/>
    <x v="0"/>
    <s v="United States"/>
    <x v="237"/>
    <x v="32"/>
    <x v="2"/>
    <s v="FUR-FU-10002364"/>
    <x v="0"/>
    <x v="3"/>
    <s v="Eldon Expressions Wood Desk Accessories, Oak"/>
    <n v="14.76"/>
    <n v="2"/>
    <n v="4.2804000000000002"/>
    <x v="2"/>
    <x v="4"/>
  </r>
  <r>
    <s v="CA-2017-121293"/>
    <x v="730"/>
    <d v="2017-07-28T00:00:00"/>
    <x v="0"/>
    <s v="JC-15775"/>
    <s v="John Castell"/>
    <x v="0"/>
    <s v="United States"/>
    <x v="3"/>
    <x v="3"/>
    <x v="2"/>
    <s v="FUR-FU-10000732"/>
    <x v="0"/>
    <x v="3"/>
    <s v="Eldon 200 Class Desk Accessories"/>
    <n v="20.096"/>
    <n v="4"/>
    <n v="3.0144000000000002"/>
    <x v="0"/>
    <x v="3"/>
  </r>
  <r>
    <s v="CA-2017-121293"/>
    <x v="730"/>
    <d v="2017-07-28T00:00:00"/>
    <x v="0"/>
    <s v="JC-15775"/>
    <s v="John Castell"/>
    <x v="0"/>
    <s v="United States"/>
    <x v="3"/>
    <x v="3"/>
    <x v="2"/>
    <s v="FUR-TA-10001771"/>
    <x v="0"/>
    <x v="2"/>
    <s v="Bush Cubix Conference Tables, Fully Assembled"/>
    <n v="138.58799999999999"/>
    <n v="1"/>
    <n v="-34.646999999999998"/>
    <x v="0"/>
    <x v="3"/>
  </r>
  <r>
    <s v="CA-2015-118843"/>
    <x v="615"/>
    <d v="2015-09-20T00:00:00"/>
    <x v="1"/>
    <s v="JH-15910"/>
    <s v="Jonathan Howell"/>
    <x v="0"/>
    <s v="United States"/>
    <x v="182"/>
    <x v="24"/>
    <x v="0"/>
    <s v="FUR-FU-10003975"/>
    <x v="0"/>
    <x v="3"/>
    <s v="Eldon Advantage Chair Mats for Low to Medium Pile Carpets"/>
    <n v="129.93"/>
    <n v="3"/>
    <n v="12.993"/>
    <x v="1"/>
    <x v="4"/>
  </r>
  <r>
    <s v="CA-2016-162348"/>
    <x v="480"/>
    <d v="2016-11-15T00:00:00"/>
    <x v="1"/>
    <s v="BF-11170"/>
    <s v="Ben Ferrer"/>
    <x v="2"/>
    <s v="United States"/>
    <x v="155"/>
    <x v="2"/>
    <x v="1"/>
    <s v="FUR-FU-10003731"/>
    <x v="0"/>
    <x v="3"/>
    <s v="Eldon Expressions Wood and Plastic Desk Accessories, Oak"/>
    <n v="9.98"/>
    <n v="1"/>
    <n v="2.7944"/>
    <x v="2"/>
    <x v="0"/>
  </r>
  <r>
    <s v="CA-2015-145394"/>
    <x v="397"/>
    <d v="2015-11-20T00:00:00"/>
    <x v="1"/>
    <s v="MC-17605"/>
    <s v="Matt Connell"/>
    <x v="1"/>
    <s v="United States"/>
    <x v="9"/>
    <x v="8"/>
    <x v="3"/>
    <s v="FUR-FU-10001215"/>
    <x v="0"/>
    <x v="3"/>
    <s v="Howard Miller 11-1/2&quot; Diameter Brentwood Wall Clock"/>
    <n v="34.503999999999998"/>
    <n v="2"/>
    <n v="-15.5268"/>
    <x v="4"/>
    <x v="0"/>
  </r>
  <r>
    <s v="CA-2015-168809"/>
    <x v="382"/>
    <d v="2015-08-25T00:00:00"/>
    <x v="3"/>
    <s v="MC-18100"/>
    <s v="Mick Crebagga"/>
    <x v="0"/>
    <s v="United States"/>
    <x v="6"/>
    <x v="5"/>
    <x v="3"/>
    <s v="FUR-FU-10001473"/>
    <x v="0"/>
    <x v="3"/>
    <s v="Eldon Executive Woodline II Desk Accessories, Mahogany"/>
    <n v="20.103999999999999"/>
    <n v="2"/>
    <n v="-16.585799999999999"/>
    <x v="7"/>
    <x v="10"/>
  </r>
  <r>
    <s v="CA-2015-168809"/>
    <x v="382"/>
    <d v="2015-08-25T00:00:00"/>
    <x v="3"/>
    <s v="MC-18100"/>
    <s v="Mick Crebagga"/>
    <x v="0"/>
    <s v="United States"/>
    <x v="6"/>
    <x v="5"/>
    <x v="3"/>
    <s v="FUR-FU-10002240"/>
    <x v="0"/>
    <x v="3"/>
    <s v="Nu-Dell EZ-Mount Plastic Wall Frames"/>
    <n v="7.88"/>
    <n v="5"/>
    <n v="-3.94"/>
    <x v="7"/>
    <x v="10"/>
  </r>
  <r>
    <s v="CA-2016-109827"/>
    <x v="683"/>
    <d v="2017-01-01T00:00:00"/>
    <x v="1"/>
    <s v="LW-16825"/>
    <s v="Laurel Workman"/>
    <x v="1"/>
    <s v="United States"/>
    <x v="43"/>
    <x v="22"/>
    <x v="1"/>
    <s v="FUR-TA-10002607"/>
    <x v="0"/>
    <x v="2"/>
    <s v="KI Conference Tables"/>
    <n v="35.445"/>
    <n v="1"/>
    <n v="-24.102599999999999"/>
    <x v="1"/>
    <x v="5"/>
  </r>
  <r>
    <s v="CA-2016-109827"/>
    <x v="683"/>
    <d v="2017-01-01T00:00:00"/>
    <x v="1"/>
    <s v="LW-16825"/>
    <s v="Laurel Workman"/>
    <x v="1"/>
    <s v="United States"/>
    <x v="43"/>
    <x v="22"/>
    <x v="1"/>
    <s v="FUR-CH-10004754"/>
    <x v="0"/>
    <x v="1"/>
    <s v="Global Stack Chair with Arms, Black"/>
    <n v="47.968000000000004"/>
    <n v="2"/>
    <n v="4.1971999999999996"/>
    <x v="1"/>
    <x v="5"/>
  </r>
  <r>
    <s v="CA-2015-128125"/>
    <x v="731"/>
    <d v="2015-04-05T00:00:00"/>
    <x v="1"/>
    <s v="EB-13705"/>
    <s v="Ed Braxton"/>
    <x v="1"/>
    <s v="United States"/>
    <x v="6"/>
    <x v="5"/>
    <x v="3"/>
    <s v="FUR-FU-10001085"/>
    <x v="0"/>
    <x v="3"/>
    <s v="3M Polarizing Light Filter Sleeves"/>
    <n v="22.38"/>
    <n v="3"/>
    <n v="-7.8330000000000002"/>
    <x v="2"/>
    <x v="9"/>
  </r>
  <r>
    <s v="CA-2017-156237"/>
    <x v="732"/>
    <d v="2017-09-15T00:00:00"/>
    <x v="2"/>
    <s v="PS-18760"/>
    <s v="Pamela Stobb"/>
    <x v="0"/>
    <s v="United States"/>
    <x v="3"/>
    <x v="3"/>
    <x v="2"/>
    <s v="FUR-CH-10002372"/>
    <x v="0"/>
    <x v="1"/>
    <s v="Office Star - Ergonomically Designed Knee Chair"/>
    <n v="113.372"/>
    <n v="2"/>
    <n v="-29.152799999999999"/>
    <x v="5"/>
    <x v="4"/>
  </r>
  <r>
    <s v="CA-2017-156237"/>
    <x v="732"/>
    <d v="2017-09-15T00:00:00"/>
    <x v="2"/>
    <s v="PS-18760"/>
    <s v="Pamela Stobb"/>
    <x v="0"/>
    <s v="United States"/>
    <x v="3"/>
    <x v="3"/>
    <x v="2"/>
    <s v="FUR-FU-10001057"/>
    <x v="0"/>
    <x v="3"/>
    <s v="Tensor Track Tree Floor Lamp"/>
    <n v="127.93600000000001"/>
    <n v="8"/>
    <n v="4.7976000000000001"/>
    <x v="5"/>
    <x v="4"/>
  </r>
  <r>
    <s v="CA-2014-144414"/>
    <x v="733"/>
    <d v="2014-06-21T00:00:00"/>
    <x v="1"/>
    <s v="GH-14425"/>
    <s v="Gary Hwang"/>
    <x v="0"/>
    <s v="United States"/>
    <x v="15"/>
    <x v="13"/>
    <x v="1"/>
    <s v="FUR-FU-10003981"/>
    <x v="0"/>
    <x v="3"/>
    <s v="Eldon Wave Desk Accessories"/>
    <n v="6.24"/>
    <n v="3"/>
    <n v="2.6208"/>
    <x v="4"/>
    <x v="2"/>
  </r>
  <r>
    <s v="CA-2017-163860"/>
    <x v="158"/>
    <d v="2018-01-01T00:00:00"/>
    <x v="1"/>
    <s v="LO-17170"/>
    <s v="Lori Olson"/>
    <x v="1"/>
    <s v="United States"/>
    <x v="117"/>
    <x v="8"/>
    <x v="3"/>
    <s v="FUR-FU-10004586"/>
    <x v="0"/>
    <x v="3"/>
    <s v="G.E. Longer-Life Indoor Recessed Floodlight Bulbs"/>
    <n v="7.968"/>
    <n v="3"/>
    <n v="-2.3904000000000001"/>
    <x v="4"/>
    <x v="5"/>
  </r>
  <r>
    <s v="CA-2017-163860"/>
    <x v="158"/>
    <d v="2018-01-01T00:00:00"/>
    <x v="1"/>
    <s v="LO-17170"/>
    <s v="Lori Olson"/>
    <x v="1"/>
    <s v="United States"/>
    <x v="117"/>
    <x v="8"/>
    <x v="3"/>
    <s v="FUR-CH-10004698"/>
    <x v="0"/>
    <x v="1"/>
    <s v="Padded Folding Chairs, Black, 4/Carton"/>
    <n v="113.372"/>
    <n v="2"/>
    <n v="-3.2391999999999999"/>
    <x v="4"/>
    <x v="5"/>
  </r>
  <r>
    <s v="CA-2017-163860"/>
    <x v="158"/>
    <d v="2018-01-01T00:00:00"/>
    <x v="1"/>
    <s v="LO-17170"/>
    <s v="Lori Olson"/>
    <x v="1"/>
    <s v="United States"/>
    <x v="117"/>
    <x v="8"/>
    <x v="3"/>
    <s v="FUR-FU-10001935"/>
    <x v="0"/>
    <x v="3"/>
    <s v="3M Hangers With Command Adhesive"/>
    <n v="2.96"/>
    <n v="2"/>
    <n v="-1.4059999999999999"/>
    <x v="4"/>
    <x v="5"/>
  </r>
  <r>
    <s v="CA-2015-154291"/>
    <x v="396"/>
    <d v="2015-07-29T00:00:00"/>
    <x v="1"/>
    <s v="YS-21880"/>
    <s v="Yana Sorensen"/>
    <x v="1"/>
    <s v="United States"/>
    <x v="132"/>
    <x v="33"/>
    <x v="0"/>
    <s v="FUR-TA-10002041"/>
    <x v="0"/>
    <x v="2"/>
    <s v="Bevis Round Conference Table Top, X-Base"/>
    <n v="358.58"/>
    <n v="2"/>
    <n v="39.443800000000003"/>
    <x v="4"/>
    <x v="3"/>
  </r>
  <r>
    <s v="CA-2016-153101"/>
    <x v="63"/>
    <d v="2016-09-08T00:00:00"/>
    <x v="3"/>
    <s v="PJ-19015"/>
    <s v="Pauline Johnson"/>
    <x v="0"/>
    <s v="United States"/>
    <x v="72"/>
    <x v="2"/>
    <x v="1"/>
    <s v="FUR-TA-10003008"/>
    <x v="0"/>
    <x v="2"/>
    <s v="Lesro Round Back Collection Coffee Table, End Table"/>
    <n v="146.04"/>
    <n v="1"/>
    <n v="-12.778499999999999"/>
    <x v="7"/>
    <x v="4"/>
  </r>
  <r>
    <s v="CA-2017-142643"/>
    <x v="487"/>
    <d v="2017-10-20T00:00:00"/>
    <x v="1"/>
    <s v="DL-13495"/>
    <s v="Dionis Lloyd"/>
    <x v="1"/>
    <s v="United States"/>
    <x v="310"/>
    <x v="2"/>
    <x v="1"/>
    <s v="FUR-FU-10000087"/>
    <x v="0"/>
    <x v="3"/>
    <s v="Executive Impressions 14&quot; Two-Color Numerals Wall Clock"/>
    <n v="22.72"/>
    <n v="1"/>
    <n v="9.3152000000000008"/>
    <x v="2"/>
    <x v="1"/>
  </r>
  <r>
    <s v="CA-2016-123946"/>
    <x v="51"/>
    <d v="2016-09-17T00:00:00"/>
    <x v="1"/>
    <s v="AJ-10795"/>
    <s v="Anthony Johnson"/>
    <x v="1"/>
    <s v="United States"/>
    <x v="76"/>
    <x v="25"/>
    <x v="0"/>
    <s v="FUR-CH-10002073"/>
    <x v="0"/>
    <x v="1"/>
    <s v="Hon Olson Stacker Chairs"/>
    <n v="1059.1199999999999"/>
    <n v="4"/>
    <n v="307.14479999999998"/>
    <x v="2"/>
    <x v="4"/>
  </r>
  <r>
    <s v="CA-2014-147543"/>
    <x v="734"/>
    <d v="2014-07-12T00:00:00"/>
    <x v="1"/>
    <s v="BC-11125"/>
    <s v="Becky Castell"/>
    <x v="2"/>
    <s v="United States"/>
    <x v="311"/>
    <x v="2"/>
    <x v="1"/>
    <s v="FUR-CH-10000155"/>
    <x v="0"/>
    <x v="1"/>
    <s v="Global Comet Stacking Armless Chair"/>
    <n v="478.48"/>
    <n v="2"/>
    <n v="47.847999999999999"/>
    <x v="6"/>
    <x v="3"/>
  </r>
  <r>
    <s v="CA-2014-101462"/>
    <x v="607"/>
    <d v="2014-04-25T00:00:00"/>
    <x v="1"/>
    <s v="BP-11230"/>
    <s v="Benjamin Patterson"/>
    <x v="0"/>
    <s v="United States"/>
    <x v="2"/>
    <x v="2"/>
    <x v="1"/>
    <s v="FUR-FU-10000409"/>
    <x v="0"/>
    <x v="3"/>
    <s v="GE 4 Foot Flourescent Tube, 40 Watt"/>
    <n v="59.92"/>
    <n v="4"/>
    <n v="27.563199999999998"/>
    <x v="2"/>
    <x v="6"/>
  </r>
  <r>
    <s v="US-2016-100461"/>
    <x v="735"/>
    <d v="2016-01-12T00:00:00"/>
    <x v="1"/>
    <s v="JO-15145"/>
    <s v="Jack O'Briant"/>
    <x v="1"/>
    <s v="United States"/>
    <x v="20"/>
    <x v="16"/>
    <x v="3"/>
    <s v="FUR-BO-10002545"/>
    <x v="0"/>
    <x v="0"/>
    <s v="Atlantic Metals Mobile 3-Shelf Bookcases, Custom Colors"/>
    <n v="1565.88"/>
    <n v="6"/>
    <n v="407.12880000000001"/>
    <x v="4"/>
    <x v="8"/>
  </r>
  <r>
    <s v="CA-2017-128965"/>
    <x v="452"/>
    <d v="2017-04-22T00:00:00"/>
    <x v="1"/>
    <s v="PS-18760"/>
    <s v="Pamela Stobb"/>
    <x v="0"/>
    <s v="United States"/>
    <x v="2"/>
    <x v="2"/>
    <x v="1"/>
    <s v="FUR-CH-10003774"/>
    <x v="0"/>
    <x v="1"/>
    <s v="Global Wood Trimmed Manager's Task Chair, Khaki"/>
    <n v="218.352"/>
    <n v="3"/>
    <n v="-19.105799999999999"/>
    <x v="2"/>
    <x v="6"/>
  </r>
  <r>
    <s v="US-2016-126452"/>
    <x v="650"/>
    <d v="2016-08-28T00:00:00"/>
    <x v="1"/>
    <s v="SC-20230"/>
    <s v="Scot Coram"/>
    <x v="1"/>
    <s v="United States"/>
    <x v="2"/>
    <x v="2"/>
    <x v="1"/>
    <s v="FUR-TA-10003569"/>
    <x v="0"/>
    <x v="2"/>
    <s v="Bretford CR8500 Series Meeting Room Furniture"/>
    <n v="2887.056"/>
    <n v="9"/>
    <n v="180.441"/>
    <x v="1"/>
    <x v="10"/>
  </r>
  <r>
    <s v="US-2016-121013"/>
    <x v="26"/>
    <d v="2016-09-10T00:00:00"/>
    <x v="1"/>
    <s v="MM-17920"/>
    <s v="Michael Moore"/>
    <x v="0"/>
    <s v="United States"/>
    <x v="180"/>
    <x v="25"/>
    <x v="0"/>
    <s v="FUR-TA-10003238"/>
    <x v="0"/>
    <x v="2"/>
    <s v="Chromcraft Bull-Nose Wood 48&quot; x 96&quot; Rectangular Conference Tables"/>
    <n v="1652.94"/>
    <n v="3"/>
    <n v="314.05860000000001"/>
    <x v="2"/>
    <x v="4"/>
  </r>
  <r>
    <s v="US-2015-123918"/>
    <x v="233"/>
    <d v="2015-10-15T00:00:00"/>
    <x v="3"/>
    <s v="CG-12520"/>
    <s v="Claire Gute"/>
    <x v="0"/>
    <s v="United States"/>
    <x v="144"/>
    <x v="5"/>
    <x v="3"/>
    <s v="FUR-FU-10004952"/>
    <x v="0"/>
    <x v="3"/>
    <s v="C-Line Cubicle Keepers Polyproplyene Holder w/Velcro Back, 8-1/2x11, 25/Bx"/>
    <n v="131.376"/>
    <n v="6"/>
    <n v="-95.247600000000006"/>
    <x v="7"/>
    <x v="1"/>
  </r>
  <r>
    <s v="CA-2015-137113"/>
    <x v="239"/>
    <d v="2015-12-05T00:00:00"/>
    <x v="0"/>
    <s v="TW-21025"/>
    <s v="Tamara Willingham"/>
    <x v="2"/>
    <s v="United States"/>
    <x v="15"/>
    <x v="13"/>
    <x v="1"/>
    <s v="FUR-CH-10001215"/>
    <x v="0"/>
    <x v="1"/>
    <s v="Global Troy Executive Leather Low-Back Tilter"/>
    <n v="2003.92"/>
    <n v="5"/>
    <n v="125.245"/>
    <x v="4"/>
    <x v="5"/>
  </r>
  <r>
    <s v="CA-2015-137113"/>
    <x v="239"/>
    <d v="2015-12-05T00:00:00"/>
    <x v="0"/>
    <s v="TW-21025"/>
    <s v="Tamara Willingham"/>
    <x v="2"/>
    <s v="United States"/>
    <x v="15"/>
    <x v="13"/>
    <x v="1"/>
    <s v="FUR-TA-10001705"/>
    <x v="0"/>
    <x v="2"/>
    <s v="Bush Advantage Collection Round Conference Table"/>
    <n v="1913.4"/>
    <n v="9"/>
    <n v="401.81400000000002"/>
    <x v="4"/>
    <x v="5"/>
  </r>
  <r>
    <s v="CA-2015-120677"/>
    <x v="151"/>
    <d v="2015-06-04T00:00:00"/>
    <x v="1"/>
    <s v="BD-11320"/>
    <s v="Bill Donatelli"/>
    <x v="0"/>
    <s v="United States"/>
    <x v="12"/>
    <x v="11"/>
    <x v="3"/>
    <s v="FUR-CH-10002320"/>
    <x v="0"/>
    <x v="1"/>
    <s v="Hon Pagoda Stacking Chairs"/>
    <n v="2567.84"/>
    <n v="8"/>
    <n v="770.35199999999998"/>
    <x v="4"/>
    <x v="7"/>
  </r>
  <r>
    <s v="CA-2017-164756"/>
    <x v="510"/>
    <d v="2017-09-22T00:00:00"/>
    <x v="1"/>
    <s v="SS-20140"/>
    <s v="Saphhira Shifley"/>
    <x v="1"/>
    <s v="United States"/>
    <x v="29"/>
    <x v="24"/>
    <x v="0"/>
    <s v="FUR-FU-10002963"/>
    <x v="0"/>
    <x v="3"/>
    <s v="Master Caster Door Stop, Gray"/>
    <n v="20.32"/>
    <n v="4"/>
    <n v="6.9088000000000003"/>
    <x v="4"/>
    <x v="4"/>
  </r>
  <r>
    <s v="US-2015-165512"/>
    <x v="736"/>
    <d v="2015-05-26T00:00:00"/>
    <x v="0"/>
    <s v="VS-21820"/>
    <s v="Vivek Sundaresam"/>
    <x v="0"/>
    <s v="United States"/>
    <x v="312"/>
    <x v="8"/>
    <x v="3"/>
    <s v="FUR-CH-10002880"/>
    <x v="0"/>
    <x v="1"/>
    <s v="Global High-Back Leather Tilter, Burgundy"/>
    <n v="602.65099999999995"/>
    <n v="7"/>
    <n v="-163.57669999999999"/>
    <x v="3"/>
    <x v="7"/>
  </r>
  <r>
    <s v="US-2017-135503"/>
    <x v="247"/>
    <d v="2017-12-15T00:00:00"/>
    <x v="1"/>
    <s v="JE-16165"/>
    <s v="Justin Ellison"/>
    <x v="1"/>
    <s v="United States"/>
    <x v="313"/>
    <x v="10"/>
    <x v="0"/>
    <s v="FUR-FU-10002364"/>
    <x v="0"/>
    <x v="3"/>
    <s v="Eldon Expressions Wood Desk Accessories, Oak"/>
    <n v="14.76"/>
    <n v="2"/>
    <n v="4.2804000000000002"/>
    <x v="2"/>
    <x v="5"/>
  </r>
  <r>
    <s v="US-2017-115301"/>
    <x v="605"/>
    <d v="2017-08-02T00:00:00"/>
    <x v="1"/>
    <s v="VG-21790"/>
    <s v="Vivek Gonzalez"/>
    <x v="0"/>
    <s v="United States"/>
    <x v="15"/>
    <x v="13"/>
    <x v="1"/>
    <s v="FUR-BO-10004709"/>
    <x v="0"/>
    <x v="0"/>
    <s v="Bush Westfield Collection Bookcases, Medium Cherry Finish"/>
    <n v="115.96"/>
    <n v="2"/>
    <n v="25.511199999999999"/>
    <x v="4"/>
    <x v="3"/>
  </r>
  <r>
    <s v="CA-2014-124247"/>
    <x v="439"/>
    <d v="2014-12-21T00:00:00"/>
    <x v="1"/>
    <s v="SH-20635"/>
    <s v="Stefanie Holloman"/>
    <x v="1"/>
    <s v="United States"/>
    <x v="155"/>
    <x v="2"/>
    <x v="1"/>
    <s v="FUR-CH-10001854"/>
    <x v="0"/>
    <x v="1"/>
    <s v="Office Star - Professional Matrix Back Chair with 2-to-1 Synchro Tilt and Mesh Fabric Seat"/>
    <n v="1403.92"/>
    <n v="5"/>
    <n v="70.195999999999998"/>
    <x v="2"/>
    <x v="5"/>
  </r>
  <r>
    <s v="CA-2015-137925"/>
    <x v="737"/>
    <d v="2015-12-04T00:00:00"/>
    <x v="1"/>
    <s v="JL-15235"/>
    <s v="Janet Lee"/>
    <x v="0"/>
    <s v="United States"/>
    <x v="13"/>
    <x v="7"/>
    <x v="2"/>
    <s v="FUR-BO-10001608"/>
    <x v="0"/>
    <x v="0"/>
    <s v="Hon Metal Bookcases, Black"/>
    <n v="681.40800000000002"/>
    <n v="12"/>
    <n v="42.588000000000001"/>
    <x v="4"/>
    <x v="0"/>
  </r>
  <r>
    <s v="CA-2014-164182"/>
    <x v="738"/>
    <d v="2014-07-18T00:00:00"/>
    <x v="1"/>
    <s v="ST-20530"/>
    <s v="Shui Tom"/>
    <x v="0"/>
    <s v="United States"/>
    <x v="3"/>
    <x v="3"/>
    <x v="2"/>
    <s v="FUR-FU-10001057"/>
    <x v="0"/>
    <x v="3"/>
    <s v="Tensor Track Tree Floor Lamp"/>
    <n v="31.984000000000002"/>
    <n v="2"/>
    <n v="1.1994"/>
    <x v="4"/>
    <x v="3"/>
  </r>
  <r>
    <s v="CA-2016-129847"/>
    <x v="227"/>
    <d v="2016-09-04T00:00:00"/>
    <x v="2"/>
    <s v="TA-21385"/>
    <s v="Tom Ashbrook"/>
    <x v="2"/>
    <s v="United States"/>
    <x v="9"/>
    <x v="8"/>
    <x v="3"/>
    <s v="FUR-FU-10000277"/>
    <x v="0"/>
    <x v="3"/>
    <s v="Deflect-o DuraMat Antistatic Studded Beveled Mat for Medium Pile Carpeting"/>
    <n v="84.272000000000006"/>
    <n v="2"/>
    <n v="-75.844800000000006"/>
    <x v="3"/>
    <x v="4"/>
  </r>
  <r>
    <s v="CA-2016-106243"/>
    <x v="739"/>
    <d v="2016-10-04T00:00:00"/>
    <x v="1"/>
    <s v="GM-14680"/>
    <s v="Greg Matthias"/>
    <x v="0"/>
    <s v="United States"/>
    <x v="13"/>
    <x v="7"/>
    <x v="2"/>
    <s v="FUR-BO-10003034"/>
    <x v="0"/>
    <x v="0"/>
    <s v="O'Sullivan Elevations Bookcase, Cherry Finish"/>
    <n v="523.91999999999996"/>
    <n v="5"/>
    <n v="-26.196000000000002"/>
    <x v="4"/>
    <x v="4"/>
  </r>
  <r>
    <s v="CA-2015-130365"/>
    <x v="740"/>
    <d v="2015-04-29T00:00:00"/>
    <x v="1"/>
    <s v="ZC-21910"/>
    <s v="Zuschuss Carroll"/>
    <x v="0"/>
    <s v="United States"/>
    <x v="14"/>
    <x v="8"/>
    <x v="3"/>
    <s v="FUR-CH-10003535"/>
    <x v="0"/>
    <x v="1"/>
    <s v="Global Armless Task Chair, Royal Blue"/>
    <n v="128.05799999999999"/>
    <n v="3"/>
    <n v="-23.7822"/>
    <x v="4"/>
    <x v="6"/>
  </r>
  <r>
    <s v="CA-2017-143021"/>
    <x v="49"/>
    <d v="2017-11-19T00:00:00"/>
    <x v="3"/>
    <s v="AP-10720"/>
    <s v="Anne Pryor"/>
    <x v="2"/>
    <s v="United States"/>
    <x v="13"/>
    <x v="7"/>
    <x v="2"/>
    <s v="FUR-TA-10001676"/>
    <x v="0"/>
    <x v="2"/>
    <s v="Hon 61000 Series Interactive Training Tables"/>
    <n v="79.974000000000004"/>
    <n v="3"/>
    <n v="-29.323799999999999"/>
    <x v="7"/>
    <x v="0"/>
  </r>
  <r>
    <s v="CA-2016-157588"/>
    <x v="197"/>
    <d v="2016-07-19T00:00:00"/>
    <x v="1"/>
    <s v="AR-10570"/>
    <s v="Anemone Ratner"/>
    <x v="0"/>
    <s v="United States"/>
    <x v="29"/>
    <x v="24"/>
    <x v="0"/>
    <s v="FUR-FU-10004848"/>
    <x v="0"/>
    <x v="3"/>
    <s v="Howard Miller 13-3/4&quot; Diameter Brushed Chrome Round Wall Clock"/>
    <n v="51.75"/>
    <n v="1"/>
    <n v="15.525"/>
    <x v="2"/>
    <x v="3"/>
  </r>
  <r>
    <s v="CA-2016-163937"/>
    <x v="579"/>
    <d v="2016-01-13T00:00:00"/>
    <x v="0"/>
    <s v="JB-16000"/>
    <s v="Joy Bell-"/>
    <x v="0"/>
    <s v="United States"/>
    <x v="314"/>
    <x v="13"/>
    <x v="1"/>
    <s v="FUR-FU-10000010"/>
    <x v="0"/>
    <x v="3"/>
    <s v="DAX Value U-Channel Document Frames, Easel Back"/>
    <n v="24.85"/>
    <n v="5"/>
    <n v="7.7035"/>
    <x v="0"/>
    <x v="8"/>
  </r>
  <r>
    <s v="CA-2015-112144"/>
    <x v="741"/>
    <d v="2015-07-02T00:00:00"/>
    <x v="1"/>
    <s v="CY-12745"/>
    <s v="Craig Yedwab"/>
    <x v="1"/>
    <s v="United States"/>
    <x v="171"/>
    <x v="22"/>
    <x v="1"/>
    <s v="FUR-FU-10004306"/>
    <x v="0"/>
    <x v="3"/>
    <s v="Electrix Halogen Magnifier Lamp"/>
    <n v="621.76"/>
    <n v="4"/>
    <n v="46.631999999999998"/>
    <x v="4"/>
    <x v="2"/>
  </r>
  <r>
    <s v="CA-2015-109386"/>
    <x v="428"/>
    <d v="2015-11-13T00:00:00"/>
    <x v="0"/>
    <s v="RH-19600"/>
    <s v="Rob Haberlin"/>
    <x v="0"/>
    <s v="United States"/>
    <x v="247"/>
    <x v="25"/>
    <x v="0"/>
    <s v="FUR-FU-10000308"/>
    <x v="0"/>
    <x v="3"/>
    <s v="Deflect-o Glass Clear Studded Chair Mats"/>
    <n v="186.54"/>
    <n v="3"/>
    <n v="41.038800000000002"/>
    <x v="2"/>
    <x v="0"/>
  </r>
  <r>
    <s v="CA-2015-104871"/>
    <x v="742"/>
    <d v="2015-04-03T00:00:00"/>
    <x v="1"/>
    <s v="DR-12940"/>
    <s v="Daniel Raglin"/>
    <x v="2"/>
    <s v="United States"/>
    <x v="315"/>
    <x v="8"/>
    <x v="3"/>
    <s v="FUR-CH-10003298"/>
    <x v="0"/>
    <x v="1"/>
    <s v="Office Star - Contemporary Task Swivel chair with Loop Arms, Charcoal"/>
    <n v="366.74400000000003"/>
    <n v="4"/>
    <n v="-110.0232"/>
    <x v="4"/>
    <x v="9"/>
  </r>
  <r>
    <s v="CA-2014-133158"/>
    <x v="532"/>
    <d v="2014-08-21T00:00:00"/>
    <x v="0"/>
    <s v="DW-13195"/>
    <s v="David Wiener"/>
    <x v="1"/>
    <s v="United States"/>
    <x v="2"/>
    <x v="2"/>
    <x v="1"/>
    <s v="FUR-FU-10000723"/>
    <x v="0"/>
    <x v="3"/>
    <s v="Deflect-o EconoMat Studded, No Bevel Mat for Low Pile Carpeting"/>
    <n v="289.24"/>
    <n v="7"/>
    <n v="26.031600000000001"/>
    <x v="3"/>
    <x v="10"/>
  </r>
  <r>
    <s v="CA-2015-141740"/>
    <x v="341"/>
    <d v="2015-11-05T00:00:00"/>
    <x v="1"/>
    <s v="JF-15490"/>
    <s v="Jeremy Farry"/>
    <x v="0"/>
    <s v="United States"/>
    <x v="13"/>
    <x v="7"/>
    <x v="2"/>
    <s v="FUR-CH-10001545"/>
    <x v="0"/>
    <x v="1"/>
    <s v="Hon Comfortask Task/Swivel Chairs"/>
    <n v="205.16399999999999"/>
    <n v="2"/>
    <n v="13.6776"/>
    <x v="4"/>
    <x v="0"/>
  </r>
  <r>
    <s v="CA-2014-119466"/>
    <x v="256"/>
    <d v="2014-12-21T00:00:00"/>
    <x v="1"/>
    <s v="SP-20860"/>
    <s v="Sung Pak"/>
    <x v="1"/>
    <s v="United States"/>
    <x v="9"/>
    <x v="8"/>
    <x v="3"/>
    <s v="FUR-FU-10001546"/>
    <x v="0"/>
    <x v="3"/>
    <s v="Dana Swing-Arm Lamps"/>
    <n v="8.5440000000000005"/>
    <n v="2"/>
    <n v="-7.476"/>
    <x v="6"/>
    <x v="5"/>
  </r>
  <r>
    <s v="CA-2015-154823"/>
    <x v="130"/>
    <d v="2015-08-25T00:00:00"/>
    <x v="1"/>
    <s v="KN-16390"/>
    <s v="Katherine Nockton"/>
    <x v="1"/>
    <s v="United States"/>
    <x v="76"/>
    <x v="15"/>
    <x v="2"/>
    <s v="FUR-CH-10003379"/>
    <x v="0"/>
    <x v="1"/>
    <s v="Global Commerce Series High-Back Swivel/Tilt Chairs"/>
    <n v="598.45799999999997"/>
    <n v="3"/>
    <n v="-42.747"/>
    <x v="4"/>
    <x v="10"/>
  </r>
  <r>
    <s v="CA-2015-154823"/>
    <x v="130"/>
    <d v="2015-08-25T00:00:00"/>
    <x v="1"/>
    <s v="KN-16390"/>
    <s v="Katherine Nockton"/>
    <x v="1"/>
    <s v="United States"/>
    <x v="76"/>
    <x v="15"/>
    <x v="2"/>
    <s v="FUR-FU-10000193"/>
    <x v="0"/>
    <x v="3"/>
    <s v="Tenex Chairmats For Use with Hard Floors"/>
    <n v="25.984000000000002"/>
    <n v="1"/>
    <n v="-3.8976000000000002"/>
    <x v="4"/>
    <x v="10"/>
  </r>
  <r>
    <s v="CA-2017-141201"/>
    <x v="13"/>
    <d v="2017-12-11T00:00:00"/>
    <x v="0"/>
    <s v="DB-12910"/>
    <s v="Daniel Byrd"/>
    <x v="2"/>
    <s v="United States"/>
    <x v="316"/>
    <x v="2"/>
    <x v="1"/>
    <s v="FUR-BO-10001519"/>
    <x v="0"/>
    <x v="0"/>
    <s v="O'Sullivan 3-Shelf Heavy-Duty Bookcases"/>
    <n v="148.25700000000001"/>
    <n v="3"/>
    <n v="15.697800000000001"/>
    <x v="3"/>
    <x v="5"/>
  </r>
  <r>
    <s v="CA-2014-124737"/>
    <x v="743"/>
    <d v="2014-08-27T00:00:00"/>
    <x v="1"/>
    <s v="AP-10915"/>
    <s v="Arthur Prichep"/>
    <x v="0"/>
    <s v="United States"/>
    <x v="22"/>
    <x v="12"/>
    <x v="1"/>
    <s v="FUR-FU-10003274"/>
    <x v="0"/>
    <x v="3"/>
    <s v="Regeneration Desk Collection"/>
    <n v="4.2240000000000002"/>
    <n v="3"/>
    <n v="1.2672000000000001"/>
    <x v="4"/>
    <x v="10"/>
  </r>
  <r>
    <s v="CA-2016-145548"/>
    <x v="367"/>
    <d v="2016-11-16T00:00:00"/>
    <x v="1"/>
    <s v="EB-13750"/>
    <s v="Edward Becker"/>
    <x v="1"/>
    <s v="United States"/>
    <x v="13"/>
    <x v="7"/>
    <x v="2"/>
    <s v="FUR-CH-10003774"/>
    <x v="0"/>
    <x v="1"/>
    <s v="Global Wood Trimmed Manager's Task Chair, Khaki"/>
    <n v="245.64599999999999"/>
    <n v="3"/>
    <n v="8.1882000000000001"/>
    <x v="2"/>
    <x v="0"/>
  </r>
  <r>
    <s v="CA-2017-119494"/>
    <x v="17"/>
    <d v="2017-11-13T00:00:00"/>
    <x v="1"/>
    <s v="JE-15610"/>
    <s v="Jim Epp"/>
    <x v="1"/>
    <s v="United States"/>
    <x v="53"/>
    <x v="2"/>
    <x v="1"/>
    <s v="FUR-CH-10004675"/>
    <x v="0"/>
    <x v="1"/>
    <s v="Lifetime Advantage Folding Chairs, 4/Carton"/>
    <n v="523.39200000000005"/>
    <n v="3"/>
    <n v="52.339199999999998"/>
    <x v="4"/>
    <x v="0"/>
  </r>
  <r>
    <s v="CA-2017-103443"/>
    <x v="430"/>
    <d v="2017-12-23T00:00:00"/>
    <x v="1"/>
    <s v="AT-10735"/>
    <s v="Annie Thurman"/>
    <x v="0"/>
    <s v="United States"/>
    <x v="13"/>
    <x v="7"/>
    <x v="2"/>
    <s v="FUR-FU-10000308"/>
    <x v="0"/>
    <x v="3"/>
    <s v="Deflect-o Glass Clear Studded Chair Mats"/>
    <n v="124.36"/>
    <n v="2"/>
    <n v="27.359200000000001"/>
    <x v="6"/>
    <x v="5"/>
  </r>
  <r>
    <s v="US-2017-165358"/>
    <x v="511"/>
    <d v="2017-07-23T00:00:00"/>
    <x v="1"/>
    <s v="SV-20365"/>
    <s v="Seth Vernon"/>
    <x v="0"/>
    <s v="United States"/>
    <x v="3"/>
    <x v="3"/>
    <x v="2"/>
    <s v="FUR-CH-10002647"/>
    <x v="0"/>
    <x v="1"/>
    <s v="Situations Contoured Folding Chairs, 4/Set"/>
    <n v="198.744"/>
    <n v="4"/>
    <n v="-14.196"/>
    <x v="2"/>
    <x v="3"/>
  </r>
  <r>
    <s v="CA-2014-150581"/>
    <x v="676"/>
    <d v="2014-04-12T00:00:00"/>
    <x v="1"/>
    <s v="NM-18445"/>
    <s v="Nathan Mautz"/>
    <x v="2"/>
    <s v="United States"/>
    <x v="41"/>
    <x v="2"/>
    <x v="1"/>
    <s v="FUR-TA-10003748"/>
    <x v="0"/>
    <x v="2"/>
    <s v="Bevis 36 x 72 Conference Tables"/>
    <n v="99.591999999999999"/>
    <n v="1"/>
    <n v="2.4897999999999998"/>
    <x v="4"/>
    <x v="6"/>
  </r>
  <r>
    <s v="CA-2016-165330"/>
    <x v="106"/>
    <d v="2016-12-11T00:00:00"/>
    <x v="3"/>
    <s v="WB-21850"/>
    <s v="William Brown"/>
    <x v="0"/>
    <s v="United States"/>
    <x v="261"/>
    <x v="2"/>
    <x v="1"/>
    <s v="FUR-CH-10003774"/>
    <x v="0"/>
    <x v="1"/>
    <s v="Global Wood Trimmed Manager's Task Chair, Khaki"/>
    <n v="363.92"/>
    <n v="5"/>
    <n v="-31.843"/>
    <x v="7"/>
    <x v="5"/>
  </r>
  <r>
    <s v="CA-2016-165330"/>
    <x v="106"/>
    <d v="2016-12-11T00:00:00"/>
    <x v="3"/>
    <s v="WB-21850"/>
    <s v="William Brown"/>
    <x v="0"/>
    <s v="United States"/>
    <x v="261"/>
    <x v="2"/>
    <x v="1"/>
    <s v="FUR-TA-10004619"/>
    <x v="0"/>
    <x v="2"/>
    <s v="Hon Non-Folding Utility Tables"/>
    <n v="892.13599999999997"/>
    <n v="7"/>
    <n v="111.517"/>
    <x v="7"/>
    <x v="5"/>
  </r>
  <r>
    <s v="CA-2016-106950"/>
    <x v="227"/>
    <d v="2016-09-06T00:00:00"/>
    <x v="1"/>
    <s v="JE-15715"/>
    <s v="Joe Elijah"/>
    <x v="0"/>
    <s v="United States"/>
    <x v="127"/>
    <x v="30"/>
    <x v="0"/>
    <s v="FUR-TA-10001768"/>
    <x v="0"/>
    <x v="2"/>
    <s v="Hon Racetrack Conference Tables"/>
    <n v="472.51799999999997"/>
    <n v="3"/>
    <n v="-149.63069999999999"/>
    <x v="4"/>
    <x v="4"/>
  </r>
  <r>
    <s v="CA-2017-128944"/>
    <x v="744"/>
    <d v="2017-06-21T00:00:00"/>
    <x v="0"/>
    <s v="KH-16330"/>
    <s v="Katharine Harms"/>
    <x v="1"/>
    <s v="United States"/>
    <x v="19"/>
    <x v="15"/>
    <x v="2"/>
    <s v="FUR-CH-10000785"/>
    <x v="0"/>
    <x v="1"/>
    <s v="Global Ergonomic Managers Chair"/>
    <n v="760.11599999999999"/>
    <n v="6"/>
    <n v="-43.435200000000002"/>
    <x v="3"/>
    <x v="2"/>
  </r>
  <r>
    <s v="CA-2017-128944"/>
    <x v="744"/>
    <d v="2017-06-21T00:00:00"/>
    <x v="0"/>
    <s v="KH-16330"/>
    <s v="Katharine Harms"/>
    <x v="1"/>
    <s v="United States"/>
    <x v="19"/>
    <x v="15"/>
    <x v="2"/>
    <s v="FUR-FU-10004909"/>
    <x v="0"/>
    <x v="3"/>
    <s v="Contemporary Wood/Metal Frame"/>
    <n v="38.783999999999999"/>
    <n v="3"/>
    <n v="7.2720000000000002"/>
    <x v="3"/>
    <x v="2"/>
  </r>
  <r>
    <s v="US-2016-102239"/>
    <x v="399"/>
    <d v="2016-05-06T00:00:00"/>
    <x v="2"/>
    <s v="LW-16990"/>
    <s v="Lindsay Williams"/>
    <x v="1"/>
    <s v="United States"/>
    <x v="0"/>
    <x v="34"/>
    <x v="1"/>
    <s v="FUR-TA-10003392"/>
    <x v="0"/>
    <x v="2"/>
    <s v="Global Adaptabilities Conference Tables"/>
    <n v="1685.88"/>
    <n v="6"/>
    <n v="320.31720000000001"/>
    <x v="5"/>
    <x v="7"/>
  </r>
  <r>
    <s v="CA-2017-166926"/>
    <x v="451"/>
    <d v="2017-12-08T00:00:00"/>
    <x v="1"/>
    <s v="SO-20335"/>
    <s v="Sean O'Donnell"/>
    <x v="0"/>
    <s v="United States"/>
    <x v="15"/>
    <x v="13"/>
    <x v="1"/>
    <s v="FUR-BO-10002598"/>
    <x v="0"/>
    <x v="0"/>
    <s v="Hon Metal Bookcases, Putty"/>
    <n v="141.96"/>
    <n v="2"/>
    <n v="41.168399999999998"/>
    <x v="1"/>
    <x v="5"/>
  </r>
  <r>
    <s v="CA-2015-128013"/>
    <x v="38"/>
    <d v="2015-08-16T00:00:00"/>
    <x v="1"/>
    <s v="MF-18250"/>
    <s v="Monica Federle"/>
    <x v="1"/>
    <s v="United States"/>
    <x v="13"/>
    <x v="7"/>
    <x v="2"/>
    <s v="FUR-FU-10000320"/>
    <x v="0"/>
    <x v="3"/>
    <s v="OIC Stacking Trays"/>
    <n v="10.02"/>
    <n v="3"/>
    <n v="4.4088000000000003"/>
    <x v="1"/>
    <x v="10"/>
  </r>
  <r>
    <s v="US-2016-117541"/>
    <x v="566"/>
    <d v="2016-11-20T00:00:00"/>
    <x v="1"/>
    <s v="JM-16195"/>
    <s v="Justin MacKendrick"/>
    <x v="0"/>
    <s v="United States"/>
    <x v="19"/>
    <x v="14"/>
    <x v="2"/>
    <s v="FUR-FU-10000550"/>
    <x v="0"/>
    <x v="3"/>
    <s v="Stacking Trays by OIC"/>
    <n v="19.920000000000002"/>
    <n v="4"/>
    <n v="6.5735999999999999"/>
    <x v="6"/>
    <x v="0"/>
  </r>
  <r>
    <s v="CA-2017-141439"/>
    <x v="83"/>
    <d v="2017-12-01T00:00:00"/>
    <x v="1"/>
    <s v="TT-21460"/>
    <s v="Tonja Turnell"/>
    <x v="2"/>
    <s v="United States"/>
    <x v="52"/>
    <x v="6"/>
    <x v="3"/>
    <s v="FUR-TA-10001039"/>
    <x v="0"/>
    <x v="2"/>
    <s v="KI Adjustable-Height Table"/>
    <n v="257.94"/>
    <n v="3"/>
    <n v="67.064400000000006"/>
    <x v="2"/>
    <x v="0"/>
  </r>
  <r>
    <s v="CA-2017-141439"/>
    <x v="83"/>
    <d v="2017-12-01T00:00:00"/>
    <x v="1"/>
    <s v="TT-21460"/>
    <s v="Tonja Turnell"/>
    <x v="2"/>
    <s v="United States"/>
    <x v="52"/>
    <x v="6"/>
    <x v="3"/>
    <s v="FUR-FU-10001473"/>
    <x v="0"/>
    <x v="3"/>
    <s v="DAX Wood Document Frame"/>
    <n v="27.46"/>
    <n v="2"/>
    <n v="9.8856000000000002"/>
    <x v="2"/>
    <x v="0"/>
  </r>
  <r>
    <s v="CA-2017-141439"/>
    <x v="83"/>
    <d v="2017-12-01T00:00:00"/>
    <x v="1"/>
    <s v="TT-21460"/>
    <s v="Tonja Turnell"/>
    <x v="2"/>
    <s v="United States"/>
    <x v="52"/>
    <x v="6"/>
    <x v="3"/>
    <s v="FUR-CH-10004287"/>
    <x v="0"/>
    <x v="1"/>
    <s v="SAFCO Arco Folding Chair"/>
    <n v="828.6"/>
    <n v="3"/>
    <n v="240.29400000000001"/>
    <x v="2"/>
    <x v="0"/>
  </r>
  <r>
    <s v="CA-2015-163965"/>
    <x v="141"/>
    <d v="2015-11-27T00:00:00"/>
    <x v="1"/>
    <s v="SS-20875"/>
    <s v="Sung Shariari"/>
    <x v="0"/>
    <s v="United States"/>
    <x v="89"/>
    <x v="1"/>
    <x v="0"/>
    <s v="FUR-BO-10001337"/>
    <x v="0"/>
    <x v="0"/>
    <s v="O'Sullivan Living Dimensions 2-Shelf Bookcases"/>
    <n v="290.35199999999998"/>
    <n v="3"/>
    <n v="-36.293999999999997"/>
    <x v="1"/>
    <x v="0"/>
  </r>
  <r>
    <s v="CA-2017-128783"/>
    <x v="87"/>
    <d v="2017-09-07T00:00:00"/>
    <x v="3"/>
    <s v="TG-21640"/>
    <s v="Trudy Glocke"/>
    <x v="0"/>
    <s v="United States"/>
    <x v="317"/>
    <x v="23"/>
    <x v="3"/>
    <s v="FUR-FU-10003623"/>
    <x v="0"/>
    <x v="3"/>
    <s v="DataProducts Ampli Magnifier Task Lamp, Black,"/>
    <n v="135.30000000000001"/>
    <n v="5"/>
    <n v="37.884"/>
    <x v="7"/>
    <x v="4"/>
  </r>
  <r>
    <s v="CA-2014-122217"/>
    <x v="168"/>
    <d v="2014-11-29T00:00:00"/>
    <x v="1"/>
    <s v="HP-14815"/>
    <s v="Harold Pawlan"/>
    <x v="2"/>
    <s v="United States"/>
    <x v="304"/>
    <x v="25"/>
    <x v="0"/>
    <s v="FUR-FU-10002045"/>
    <x v="0"/>
    <x v="3"/>
    <s v="Executive Impressions 14&quot;"/>
    <n v="111.15"/>
    <n v="5"/>
    <n v="48.905999999999999"/>
    <x v="2"/>
    <x v="0"/>
  </r>
  <r>
    <s v="US-2017-141558"/>
    <x v="745"/>
    <d v="2017-03-16T00:00:00"/>
    <x v="1"/>
    <s v="MH-17290"/>
    <s v="Marc Harrigan"/>
    <x v="2"/>
    <s v="United States"/>
    <x v="3"/>
    <x v="3"/>
    <x v="2"/>
    <s v="FUR-TA-10004086"/>
    <x v="0"/>
    <x v="2"/>
    <s v="KI Adjustable-Height Table"/>
    <n v="154.76400000000001"/>
    <n v="3"/>
    <n v="-46.429200000000002"/>
    <x v="2"/>
    <x v="9"/>
  </r>
  <r>
    <s v="CA-2017-100412"/>
    <x v="313"/>
    <d v="2017-12-26T00:00:00"/>
    <x v="1"/>
    <s v="SR-20425"/>
    <s v="Sharelle Roach"/>
    <x v="2"/>
    <s v="United States"/>
    <x v="318"/>
    <x v="33"/>
    <x v="0"/>
    <s v="FUR-CH-10002647"/>
    <x v="0"/>
    <x v="1"/>
    <s v="Situations Contoured Folding Chairs, 4/Set"/>
    <n v="141.96"/>
    <n v="2"/>
    <n v="35.49"/>
    <x v="4"/>
    <x v="5"/>
  </r>
  <r>
    <s v="CA-2017-142909"/>
    <x v="313"/>
    <d v="2017-12-25T00:00:00"/>
    <x v="0"/>
    <s v="AG-10330"/>
    <s v="Alex Grayson"/>
    <x v="0"/>
    <s v="United States"/>
    <x v="81"/>
    <x v="22"/>
    <x v="1"/>
    <s v="FUR-TA-10003008"/>
    <x v="0"/>
    <x v="2"/>
    <s v="Lesro Round Back Collection Coffee Table, End Table"/>
    <n v="182.55"/>
    <n v="2"/>
    <n v="-135.08699999999999"/>
    <x v="0"/>
    <x v="5"/>
  </r>
  <r>
    <s v="US-2015-136749"/>
    <x v="344"/>
    <d v="2015-12-27T00:00:00"/>
    <x v="0"/>
    <s v="LH-16900"/>
    <s v="Lena Hernandez"/>
    <x v="0"/>
    <s v="United States"/>
    <x v="29"/>
    <x v="24"/>
    <x v="0"/>
    <s v="FUR-FU-10000747"/>
    <x v="0"/>
    <x v="3"/>
    <s v="Tenex B1-RE Series Chair Mats for Low Pile Carpets"/>
    <n v="275.88"/>
    <n v="6"/>
    <n v="46.8996"/>
    <x v="3"/>
    <x v="5"/>
  </r>
  <r>
    <s v="CA-2014-117464"/>
    <x v="746"/>
    <d v="2014-07-24T00:00:00"/>
    <x v="0"/>
    <s v="NP-18325"/>
    <s v="Naresj Patel"/>
    <x v="0"/>
    <s v="United States"/>
    <x v="28"/>
    <x v="2"/>
    <x v="1"/>
    <s v="FUR-CH-10000155"/>
    <x v="0"/>
    <x v="1"/>
    <s v="Global Comet Stacking Armless Chair"/>
    <n v="717.72"/>
    <n v="3"/>
    <n v="71.772000000000006"/>
    <x v="3"/>
    <x v="3"/>
  </r>
  <r>
    <s v="CA-2014-117464"/>
    <x v="746"/>
    <d v="2014-07-24T00:00:00"/>
    <x v="0"/>
    <s v="NP-18325"/>
    <s v="Naresj Patel"/>
    <x v="0"/>
    <s v="United States"/>
    <x v="28"/>
    <x v="2"/>
    <x v="1"/>
    <s v="FUR-TA-10004767"/>
    <x v="0"/>
    <x v="2"/>
    <s v="Safco Drafting Table"/>
    <n v="170.352"/>
    <n v="3"/>
    <n v="19.1646"/>
    <x v="3"/>
    <x v="3"/>
  </r>
  <r>
    <s v="US-2017-168613"/>
    <x v="747"/>
    <d v="2017-10-14T00:00:00"/>
    <x v="1"/>
    <s v="GM-14440"/>
    <s v="Gary McGarr"/>
    <x v="0"/>
    <s v="United States"/>
    <x v="13"/>
    <x v="7"/>
    <x v="2"/>
    <s v="FUR-CH-10002372"/>
    <x v="0"/>
    <x v="1"/>
    <s v="Office Star - Ergonomically Designed Knee Chair"/>
    <n v="145.76400000000001"/>
    <n v="2"/>
    <n v="3.2391999999999999"/>
    <x v="6"/>
    <x v="1"/>
  </r>
  <r>
    <s v="CA-2017-128853"/>
    <x v="488"/>
    <d v="2017-04-23T00:00:00"/>
    <x v="2"/>
    <s v="JM-15250"/>
    <s v="Janet Martin"/>
    <x v="0"/>
    <s v="United States"/>
    <x v="237"/>
    <x v="32"/>
    <x v="2"/>
    <s v="FUR-CH-10004218"/>
    <x v="0"/>
    <x v="1"/>
    <s v="Global Fabric Manager's Chair, Dark Gray"/>
    <n v="908.82"/>
    <n v="9"/>
    <n v="227.20500000000001"/>
    <x v="3"/>
    <x v="6"/>
  </r>
  <r>
    <s v="CA-2017-133102"/>
    <x v="301"/>
    <d v="2017-08-24T00:00:00"/>
    <x v="1"/>
    <s v="ED-13885"/>
    <s v="Emily Ducich"/>
    <x v="2"/>
    <s v="United States"/>
    <x v="6"/>
    <x v="5"/>
    <x v="3"/>
    <s v="FUR-CH-10002017"/>
    <x v="0"/>
    <x v="1"/>
    <s v="SAFCO Optional Arm Kit for Workspace Cribbage Stacking Chair"/>
    <n v="74.591999999999999"/>
    <n v="4"/>
    <n v="-2.1312000000000002"/>
    <x v="1"/>
    <x v="10"/>
  </r>
  <r>
    <s v="CA-2017-133102"/>
    <x v="301"/>
    <d v="2017-08-24T00:00:00"/>
    <x v="1"/>
    <s v="ED-13885"/>
    <s v="Emily Ducich"/>
    <x v="2"/>
    <s v="United States"/>
    <x v="6"/>
    <x v="5"/>
    <x v="3"/>
    <s v="FUR-FU-10003247"/>
    <x v="0"/>
    <x v="3"/>
    <s v="36X48 HARDFLOOR CHAIRMAT"/>
    <n v="16.783999999999999"/>
    <n v="2"/>
    <n v="-22.238800000000001"/>
    <x v="1"/>
    <x v="10"/>
  </r>
  <r>
    <s v="CA-2016-164399"/>
    <x v="689"/>
    <d v="2016-11-15T00:00:00"/>
    <x v="2"/>
    <s v="DW-13480"/>
    <s v="Dianna Wilson"/>
    <x v="2"/>
    <s v="United States"/>
    <x v="53"/>
    <x v="2"/>
    <x v="1"/>
    <s v="FUR-TA-10003392"/>
    <x v="0"/>
    <x v="2"/>
    <s v="Global Adaptabilities Conference Tables"/>
    <n v="674.35199999999998"/>
    <n v="3"/>
    <n v="-8.4293999999999993"/>
    <x v="0"/>
    <x v="0"/>
  </r>
  <r>
    <s v="CA-2016-147683"/>
    <x v="282"/>
    <d v="2016-11-17T00:00:00"/>
    <x v="1"/>
    <s v="PO-19180"/>
    <s v="Philisse Overcash"/>
    <x v="2"/>
    <s v="United States"/>
    <x v="15"/>
    <x v="13"/>
    <x v="1"/>
    <s v="FUR-FU-10004848"/>
    <x v="0"/>
    <x v="3"/>
    <s v="DAX Solid Wood Frames"/>
    <n v="19.54"/>
    <n v="2"/>
    <n v="7.2298"/>
    <x v="4"/>
    <x v="0"/>
  </r>
  <r>
    <s v="CA-2016-104276"/>
    <x v="673"/>
    <d v="2016-12-03T00:00:00"/>
    <x v="1"/>
    <s v="HF-14995"/>
    <s v="Herbert Flentye"/>
    <x v="0"/>
    <s v="United States"/>
    <x v="1"/>
    <x v="1"/>
    <x v="0"/>
    <s v="FUR-TA-10001039"/>
    <x v="0"/>
    <x v="2"/>
    <s v="KI Adjustable-Height Table"/>
    <n v="331.02300000000002"/>
    <n v="7"/>
    <n v="-114.35339999999999"/>
    <x v="6"/>
    <x v="0"/>
  </r>
  <r>
    <s v="CA-2016-120369"/>
    <x v="48"/>
    <d v="2016-10-28T00:00:00"/>
    <x v="3"/>
    <s v="VB-21745"/>
    <s v="Victoria Brennan"/>
    <x v="1"/>
    <s v="United States"/>
    <x v="77"/>
    <x v="7"/>
    <x v="2"/>
    <s v="FUR-FU-10003806"/>
    <x v="0"/>
    <x v="3"/>
    <s v="Tenex Chairmat w/ Average Lip, 45&quot; x 53&quot;"/>
    <n v="756.8"/>
    <n v="5"/>
    <n v="75.680000000000007"/>
    <x v="7"/>
    <x v="1"/>
  </r>
  <r>
    <s v="CA-2014-118276"/>
    <x v="527"/>
    <d v="2015-01-02T00:00:00"/>
    <x v="1"/>
    <s v="MG-17890"/>
    <s v="Michael Granlund"/>
    <x v="2"/>
    <s v="United States"/>
    <x v="317"/>
    <x v="8"/>
    <x v="3"/>
    <s v="FUR-FU-10002111"/>
    <x v="0"/>
    <x v="3"/>
    <s v="Master Caster Door Stop, Large Brown"/>
    <n v="8.7360000000000007"/>
    <n v="3"/>
    <n v="-4.8048000000000002"/>
    <x v="4"/>
    <x v="5"/>
  </r>
  <r>
    <s v="CA-2017-137414"/>
    <x v="125"/>
    <d v="2017-10-06T00:00:00"/>
    <x v="1"/>
    <s v="CM-12115"/>
    <s v="Chad McGuire"/>
    <x v="0"/>
    <s v="United States"/>
    <x v="28"/>
    <x v="2"/>
    <x v="1"/>
    <s v="FUR-FU-10001424"/>
    <x v="0"/>
    <x v="3"/>
    <s v="Dax Clear Box Frame"/>
    <n v="17.46"/>
    <n v="2"/>
    <n v="5.9363999999999999"/>
    <x v="4"/>
    <x v="1"/>
  </r>
  <r>
    <s v="CA-2016-109953"/>
    <x v="197"/>
    <d v="2016-07-18T00:00:00"/>
    <x v="1"/>
    <s v="RB-19360"/>
    <s v="Raymond Buch"/>
    <x v="0"/>
    <s v="United States"/>
    <x v="28"/>
    <x v="2"/>
    <x v="1"/>
    <s v="FUR-FU-10000073"/>
    <x v="0"/>
    <x v="3"/>
    <s v="Deflect-O Glasstique Clear Desk Accessories"/>
    <n v="30.8"/>
    <n v="4"/>
    <n v="10.164"/>
    <x v="4"/>
    <x v="3"/>
  </r>
  <r>
    <s v="CA-2016-137337"/>
    <x v="177"/>
    <d v="2016-03-12T00:00:00"/>
    <x v="1"/>
    <s v="GB-14575"/>
    <s v="Giulietta Baptist"/>
    <x v="0"/>
    <s v="United States"/>
    <x v="13"/>
    <x v="7"/>
    <x v="2"/>
    <s v="FUR-FU-10003347"/>
    <x v="0"/>
    <x v="3"/>
    <s v="Coloredge Poster Frame"/>
    <n v="113.6"/>
    <n v="8"/>
    <n v="44.304000000000002"/>
    <x v="4"/>
    <x v="9"/>
  </r>
  <r>
    <s v="CA-2016-101651"/>
    <x v="695"/>
    <d v="2016-12-30T00:00:00"/>
    <x v="1"/>
    <s v="SC-20305"/>
    <s v="Sean Christensen"/>
    <x v="0"/>
    <s v="United States"/>
    <x v="124"/>
    <x v="2"/>
    <x v="1"/>
    <s v="FUR-FU-10000771"/>
    <x v="0"/>
    <x v="3"/>
    <s v="Eldon 200 Class Desk Accessories, Smoke"/>
    <n v="43.96"/>
    <n v="7"/>
    <n v="18.463200000000001"/>
    <x v="6"/>
    <x v="5"/>
  </r>
  <r>
    <s v="CA-2017-136651"/>
    <x v="748"/>
    <d v="2017-04-25T00:00:00"/>
    <x v="0"/>
    <s v="JF-15355"/>
    <s v="Jay Fein"/>
    <x v="0"/>
    <s v="United States"/>
    <x v="102"/>
    <x v="2"/>
    <x v="1"/>
    <s v="FUR-FU-10002445"/>
    <x v="0"/>
    <x v="3"/>
    <s v="DAX Two-Tone Rosewood/Black Document Frame, Desktop, 5 x 7"/>
    <n v="66.36"/>
    <n v="7"/>
    <n v="26.544"/>
    <x v="3"/>
    <x v="6"/>
  </r>
  <r>
    <s v="CA-2017-136651"/>
    <x v="748"/>
    <d v="2017-04-25T00:00:00"/>
    <x v="0"/>
    <s v="JF-15355"/>
    <s v="Jay Fein"/>
    <x v="0"/>
    <s v="United States"/>
    <x v="102"/>
    <x v="2"/>
    <x v="1"/>
    <s v="FUR-FU-10004864"/>
    <x v="0"/>
    <x v="3"/>
    <s v="Eldon 500 Class Desk Accessories"/>
    <n v="24.14"/>
    <n v="2"/>
    <n v="7.9661999999999997"/>
    <x v="3"/>
    <x v="6"/>
  </r>
  <r>
    <s v="CA-2017-118892"/>
    <x v="301"/>
    <d v="2017-08-22T00:00:00"/>
    <x v="0"/>
    <s v="TP-21415"/>
    <s v="Tom Prescott"/>
    <x v="0"/>
    <s v="United States"/>
    <x v="3"/>
    <x v="3"/>
    <x v="2"/>
    <s v="FUR-CH-10002024"/>
    <x v="0"/>
    <x v="1"/>
    <s v="HON 5400 Series Task Chairs for Big and Tall"/>
    <n v="4416.174"/>
    <n v="9"/>
    <n v="-630.88199999999995"/>
    <x v="2"/>
    <x v="10"/>
  </r>
  <r>
    <s v="US-2014-127978"/>
    <x v="749"/>
    <d v="2014-03-08T00:00:00"/>
    <x v="1"/>
    <s v="JS-15595"/>
    <s v="Jill Stevenson"/>
    <x v="1"/>
    <s v="United States"/>
    <x v="29"/>
    <x v="15"/>
    <x v="2"/>
    <s v="FUR-BO-10001972"/>
    <x v="0"/>
    <x v="0"/>
    <s v="O'Sullivan 4-Shelf Bookcase in Odessa Pine"/>
    <n v="302.45"/>
    <n v="5"/>
    <n v="-199.61699999999999"/>
    <x v="2"/>
    <x v="9"/>
  </r>
  <r>
    <s v="CA-2016-152730"/>
    <x v="82"/>
    <d v="2016-06-04T00:00:00"/>
    <x v="1"/>
    <s v="EM-14140"/>
    <s v="Eugene Moren"/>
    <x v="2"/>
    <s v="United States"/>
    <x v="319"/>
    <x v="16"/>
    <x v="3"/>
    <s v="FUR-FU-10001037"/>
    <x v="0"/>
    <x v="3"/>
    <s v="DAX Charcoal/Nickel-Tone Document Frame, 5 x 7"/>
    <n v="47.4"/>
    <n v="5"/>
    <n v="21.33"/>
    <x v="2"/>
    <x v="7"/>
  </r>
  <r>
    <s v="US-2014-143721"/>
    <x v="255"/>
    <d v="2014-11-26T00:00:00"/>
    <x v="0"/>
    <s v="DK-12835"/>
    <s v="Damala Kotsonis"/>
    <x v="1"/>
    <s v="United States"/>
    <x v="6"/>
    <x v="5"/>
    <x v="3"/>
    <s v="FUR-CH-10001973"/>
    <x v="0"/>
    <x v="1"/>
    <s v="Office Star Flex Back Scooter Chair with White Frame"/>
    <n v="155.37200000000001"/>
    <n v="2"/>
    <n v="-35.513599999999997"/>
    <x v="0"/>
    <x v="0"/>
  </r>
  <r>
    <s v="CA-2016-133368"/>
    <x v="750"/>
    <d v="2016-01-20T00:00:00"/>
    <x v="1"/>
    <s v="AG-10675"/>
    <s v="Anna Gayman"/>
    <x v="0"/>
    <s v="United States"/>
    <x v="41"/>
    <x v="30"/>
    <x v="0"/>
    <s v="FUR-FU-10003374"/>
    <x v="0"/>
    <x v="3"/>
    <s v="Electrix Fluorescent Magnifier Lamps &amp; Weighted Base"/>
    <n v="315.77600000000001"/>
    <n v="8"/>
    <n v="31.5776"/>
    <x v="6"/>
    <x v="8"/>
  </r>
  <r>
    <s v="CA-2016-123337"/>
    <x v="751"/>
    <d v="2016-09-22T00:00:00"/>
    <x v="1"/>
    <s v="KD-16495"/>
    <s v="Keith Dawkins"/>
    <x v="1"/>
    <s v="United States"/>
    <x v="124"/>
    <x v="2"/>
    <x v="1"/>
    <s v="FUR-BO-10001918"/>
    <x v="0"/>
    <x v="0"/>
    <s v="Sauder Forest Hills Library with Doors, Woodland Oak Finish"/>
    <n v="273.666"/>
    <n v="2"/>
    <n v="-12.878399999999999"/>
    <x v="6"/>
    <x v="4"/>
  </r>
  <r>
    <s v="CA-2015-144519"/>
    <x v="18"/>
    <d v="2015-11-17T00:00:00"/>
    <x v="1"/>
    <s v="AW-10930"/>
    <s v="Arthur Wiediger"/>
    <x v="2"/>
    <s v="United States"/>
    <x v="320"/>
    <x v="46"/>
    <x v="1"/>
    <s v="FUR-FU-10000794"/>
    <x v="0"/>
    <x v="3"/>
    <s v="Eldon Stackable Tray, Side-Load, Legal, Smoke"/>
    <n v="63.98"/>
    <n v="7"/>
    <n v="21.7532"/>
    <x v="4"/>
    <x v="0"/>
  </r>
  <r>
    <s v="CA-2017-169439"/>
    <x v="198"/>
    <d v="2017-09-13T00:00:00"/>
    <x v="1"/>
    <s v="LC-17140"/>
    <s v="Logan Currie"/>
    <x v="0"/>
    <s v="United States"/>
    <x v="59"/>
    <x v="15"/>
    <x v="2"/>
    <s v="FUR-FU-10000723"/>
    <x v="0"/>
    <x v="3"/>
    <s v="Deflect-o EconoMat Studded, No Bevel Mat for Low Pile Carpeting"/>
    <n v="66.111999999999995"/>
    <n v="2"/>
    <n v="-9.0904000000000007"/>
    <x v="4"/>
    <x v="4"/>
  </r>
  <r>
    <s v="CA-2016-149965"/>
    <x v="210"/>
    <d v="2016-06-25T00:00:00"/>
    <x v="1"/>
    <s v="BS-11365"/>
    <s v="Bill Shonely"/>
    <x v="1"/>
    <s v="United States"/>
    <x v="258"/>
    <x v="37"/>
    <x v="3"/>
    <s v="FUR-FU-10004270"/>
    <x v="0"/>
    <x v="3"/>
    <s v="Executive Impressions 13&quot; Clairmont Wall Clock"/>
    <n v="57.69"/>
    <n v="3"/>
    <n v="23.652899999999999"/>
    <x v="2"/>
    <x v="2"/>
  </r>
  <r>
    <s v="CA-2016-113656"/>
    <x v="752"/>
    <d v="2016-01-29T00:00:00"/>
    <x v="1"/>
    <s v="CB-12415"/>
    <s v="Christy Brittain"/>
    <x v="0"/>
    <s v="United States"/>
    <x v="2"/>
    <x v="2"/>
    <x v="1"/>
    <s v="FUR-FU-10000719"/>
    <x v="0"/>
    <x v="3"/>
    <s v="DAX Cubicle Frames, 8-1/2 x 11"/>
    <n v="59.99"/>
    <n v="7"/>
    <n v="21.596399999999999"/>
    <x v="6"/>
    <x v="8"/>
  </r>
  <r>
    <s v="CA-2015-148964"/>
    <x v="753"/>
    <d v="2015-05-31T00:00:00"/>
    <x v="1"/>
    <s v="RD-19900"/>
    <s v="Ruben Dartt"/>
    <x v="0"/>
    <s v="United States"/>
    <x v="321"/>
    <x v="13"/>
    <x v="1"/>
    <s v="FUR-FU-10003849"/>
    <x v="0"/>
    <x v="3"/>
    <s v="DAX Metal Frame, Desktop, Stepped-Edge"/>
    <n v="20.239999999999998"/>
    <n v="1"/>
    <n v="7.8936000000000002"/>
    <x v="2"/>
    <x v="7"/>
  </r>
  <r>
    <s v="CA-2014-163468"/>
    <x v="356"/>
    <d v="2014-11-21T00:00:00"/>
    <x v="2"/>
    <s v="JK-15730"/>
    <s v="Joe Kamberova"/>
    <x v="0"/>
    <s v="United States"/>
    <x v="322"/>
    <x v="8"/>
    <x v="3"/>
    <s v="FUR-TA-10002533"/>
    <x v="0"/>
    <x v="2"/>
    <s v="BPI Conference Tables"/>
    <n v="292.10000000000002"/>
    <n v="4"/>
    <n v="-175.26"/>
    <x v="0"/>
    <x v="0"/>
  </r>
  <r>
    <s v="CA-2014-163468"/>
    <x v="356"/>
    <d v="2014-11-21T00:00:00"/>
    <x v="2"/>
    <s v="JK-15730"/>
    <s v="Joe Kamberova"/>
    <x v="0"/>
    <s v="United States"/>
    <x v="322"/>
    <x v="8"/>
    <x v="3"/>
    <s v="FUR-FU-10001546"/>
    <x v="0"/>
    <x v="3"/>
    <s v="Dana Swing-Arm Lamps"/>
    <n v="8.5440000000000005"/>
    <n v="2"/>
    <n v="-7.476"/>
    <x v="0"/>
    <x v="0"/>
  </r>
  <r>
    <s v="CA-2014-163468"/>
    <x v="356"/>
    <d v="2014-11-21T00:00:00"/>
    <x v="2"/>
    <s v="JK-15730"/>
    <s v="Joe Kamberova"/>
    <x v="0"/>
    <s v="United States"/>
    <x v="322"/>
    <x v="8"/>
    <x v="3"/>
    <s v="FUR-BO-10003546"/>
    <x v="0"/>
    <x v="0"/>
    <s v="Hon 4-Shelf Metal Bookcases"/>
    <n v="424.11599999999999"/>
    <n v="6"/>
    <n v="-30.294"/>
    <x v="0"/>
    <x v="0"/>
  </r>
  <r>
    <s v="US-2017-117450"/>
    <x v="362"/>
    <d v="2017-09-08T00:00:00"/>
    <x v="1"/>
    <s v="DO-13645"/>
    <s v="Doug O'Connell"/>
    <x v="0"/>
    <s v="United States"/>
    <x v="98"/>
    <x v="1"/>
    <x v="0"/>
    <s v="FUR-CH-10003817"/>
    <x v="0"/>
    <x v="1"/>
    <s v="Global Value Steno Chair, Gray"/>
    <n v="97.183999999999997"/>
    <n v="2"/>
    <n v="6.0739999999999998"/>
    <x v="4"/>
    <x v="4"/>
  </r>
  <r>
    <s v="CA-2014-137274"/>
    <x v="754"/>
    <d v="2014-04-02T00:00:00"/>
    <x v="1"/>
    <s v="MG-18145"/>
    <s v="Mike Gockenbach"/>
    <x v="0"/>
    <s v="United States"/>
    <x v="215"/>
    <x v="5"/>
    <x v="3"/>
    <s v="FUR-TA-10001889"/>
    <x v="0"/>
    <x v="2"/>
    <s v="Bush Advantage Collection Racetrack Conference Table"/>
    <n v="890.84100000000001"/>
    <n v="3"/>
    <n v="-152.71559999999999"/>
    <x v="4"/>
    <x v="9"/>
  </r>
  <r>
    <s v="CA-2016-144092"/>
    <x v="541"/>
    <d v="2016-11-07T00:00:00"/>
    <x v="0"/>
    <s v="LH-17155"/>
    <s v="Logan Haushalter"/>
    <x v="0"/>
    <s v="United States"/>
    <x v="124"/>
    <x v="2"/>
    <x v="1"/>
    <s v="FUR-CH-10004875"/>
    <x v="0"/>
    <x v="1"/>
    <s v="Harbour Creations 67200 Series Stacking Chairs"/>
    <n v="113.88800000000001"/>
    <n v="2"/>
    <n v="9.9651999999999994"/>
    <x v="3"/>
    <x v="0"/>
  </r>
  <r>
    <s v="CA-2016-132066"/>
    <x v="755"/>
    <d v="2016-10-20T00:00:00"/>
    <x v="1"/>
    <s v="NB-18655"/>
    <s v="Nona Balk"/>
    <x v="1"/>
    <s v="United States"/>
    <x v="13"/>
    <x v="7"/>
    <x v="2"/>
    <s v="FUR-TA-10001539"/>
    <x v="0"/>
    <x v="2"/>
    <s v="Chromcraft Rectangular Conference Tables"/>
    <n v="142.18199999999999"/>
    <n v="1"/>
    <n v="-37.915199999999999"/>
    <x v="4"/>
    <x v="1"/>
  </r>
  <r>
    <s v="CA-2017-100097"/>
    <x v="83"/>
    <d v="2017-11-29T00:00:00"/>
    <x v="0"/>
    <s v="MN-17935"/>
    <s v="Michael Nguyen"/>
    <x v="0"/>
    <s v="United States"/>
    <x v="13"/>
    <x v="7"/>
    <x v="2"/>
    <s v="FUR-FU-10003623"/>
    <x v="0"/>
    <x v="3"/>
    <s v="DataProducts Ampli Magnifier Task Lamp, Black,"/>
    <n v="135.30000000000001"/>
    <n v="5"/>
    <n v="37.884"/>
    <x v="0"/>
    <x v="0"/>
  </r>
  <r>
    <s v="US-2017-126053"/>
    <x v="446"/>
    <d v="2017-12-08T00:00:00"/>
    <x v="2"/>
    <s v="CS-11950"/>
    <s v="Carlos Soltero"/>
    <x v="0"/>
    <s v="United States"/>
    <x v="13"/>
    <x v="7"/>
    <x v="2"/>
    <s v="FUR-FU-10001934"/>
    <x v="0"/>
    <x v="3"/>
    <s v="Magnifier Swing Arm Lamp"/>
    <n v="41.96"/>
    <n v="2"/>
    <n v="10.909599999999999"/>
    <x v="0"/>
    <x v="5"/>
  </r>
  <r>
    <s v="US-2014-131275"/>
    <x v="385"/>
    <d v="2014-03-24T00:00:00"/>
    <x v="1"/>
    <s v="SC-20050"/>
    <s v="Sample Company A"/>
    <x v="2"/>
    <s v="United States"/>
    <x v="323"/>
    <x v="2"/>
    <x v="1"/>
    <s v="FUR-FU-10004597"/>
    <x v="0"/>
    <x v="3"/>
    <s v="Eldon Cleatmat Chair Mats for Medium Pile Carpets"/>
    <n v="111"/>
    <n v="2"/>
    <n v="14.43"/>
    <x v="6"/>
    <x v="9"/>
  </r>
  <r>
    <s v="CA-2016-149349"/>
    <x v="689"/>
    <d v="2016-11-13T00:00:00"/>
    <x v="2"/>
    <s v="SP-20650"/>
    <s v="Stephanie Phelps"/>
    <x v="1"/>
    <s v="United States"/>
    <x v="9"/>
    <x v="8"/>
    <x v="3"/>
    <s v="FUR-FU-10001037"/>
    <x v="0"/>
    <x v="3"/>
    <s v="DAX Charcoal/Nickel-Tone Document Frame, 5 x 7"/>
    <n v="22.751999999999999"/>
    <n v="6"/>
    <n v="-8.532"/>
    <x v="5"/>
    <x v="0"/>
  </r>
  <r>
    <s v="CA-2015-125563"/>
    <x v="756"/>
    <d v="2015-04-17T00:00:00"/>
    <x v="1"/>
    <s v="PR-18880"/>
    <s v="Patrick Ryan"/>
    <x v="0"/>
    <s v="United States"/>
    <x v="26"/>
    <x v="1"/>
    <x v="0"/>
    <s v="FUR-FU-10001290"/>
    <x v="0"/>
    <x v="3"/>
    <s v="Executive Impressions Supervisor Wall Clock"/>
    <n v="67.36"/>
    <n v="2"/>
    <n v="10.103999999999999"/>
    <x v="6"/>
    <x v="6"/>
  </r>
  <r>
    <s v="CA-2015-125563"/>
    <x v="756"/>
    <d v="2015-04-17T00:00:00"/>
    <x v="1"/>
    <s v="PR-18880"/>
    <s v="Patrick Ryan"/>
    <x v="0"/>
    <s v="United States"/>
    <x v="26"/>
    <x v="1"/>
    <x v="0"/>
    <s v="FUR-FU-10000087"/>
    <x v="0"/>
    <x v="3"/>
    <s v="Executive Impressions 14&quot; Two-Color Numerals Wall Clock"/>
    <n v="54.527999999999999"/>
    <n v="3"/>
    <n v="14.313599999999999"/>
    <x v="6"/>
    <x v="6"/>
  </r>
  <r>
    <s v="CA-2015-113152"/>
    <x v="344"/>
    <d v="2015-12-30T00:00:00"/>
    <x v="1"/>
    <s v="JK-15625"/>
    <s v="Jim Karlsson"/>
    <x v="0"/>
    <s v="United States"/>
    <x v="13"/>
    <x v="7"/>
    <x v="2"/>
    <s v="FUR-BO-10002613"/>
    <x v="0"/>
    <x v="0"/>
    <s v="Atlantic Metals Mobile 4-Shelf Bookcases, Custom Colors"/>
    <n v="449.56799999999998"/>
    <n v="2"/>
    <n v="56.195999999999998"/>
    <x v="2"/>
    <x v="5"/>
  </r>
  <r>
    <s v="CA-2014-163412"/>
    <x v="191"/>
    <d v="2014-12-23T00:00:00"/>
    <x v="0"/>
    <s v="SM-20950"/>
    <s v="Suzanne McNair"/>
    <x v="1"/>
    <s v="United States"/>
    <x v="13"/>
    <x v="7"/>
    <x v="2"/>
    <s v="FUR-CH-10004875"/>
    <x v="0"/>
    <x v="1"/>
    <s v="Harbour Creations 67200 Series Stacking Chairs"/>
    <n v="192.18600000000001"/>
    <n v="3"/>
    <n v="36.3018"/>
    <x v="0"/>
    <x v="5"/>
  </r>
  <r>
    <s v="CA-2014-116190"/>
    <x v="503"/>
    <d v="2014-08-01T00:00:00"/>
    <x v="1"/>
    <s v="SG-20470"/>
    <s v="Sheri Gordon"/>
    <x v="0"/>
    <s v="United States"/>
    <x v="182"/>
    <x v="24"/>
    <x v="0"/>
    <s v="FUR-CH-10000553"/>
    <x v="0"/>
    <x v="1"/>
    <s v="Metal Folding Chairs, Beige, 4/Carton"/>
    <n v="67.88"/>
    <n v="2"/>
    <n v="18.3276"/>
    <x v="6"/>
    <x v="3"/>
  </r>
  <r>
    <s v="CA-2014-116190"/>
    <x v="503"/>
    <d v="2014-08-01T00:00:00"/>
    <x v="1"/>
    <s v="SG-20470"/>
    <s v="Sheri Gordon"/>
    <x v="0"/>
    <s v="United States"/>
    <x v="182"/>
    <x v="24"/>
    <x v="0"/>
    <s v="FUR-FU-10000719"/>
    <x v="0"/>
    <x v="3"/>
    <s v="DAX Cubicle Frames, 8-1/2 x 11"/>
    <n v="25.71"/>
    <n v="3"/>
    <n v="9.2555999999999994"/>
    <x v="6"/>
    <x v="3"/>
  </r>
  <r>
    <s v="CA-2017-168389"/>
    <x v="246"/>
    <d v="2017-12-17T00:00:00"/>
    <x v="1"/>
    <s v="DV-13045"/>
    <s v="Darrin Van Huff"/>
    <x v="1"/>
    <s v="United States"/>
    <x v="51"/>
    <x v="1"/>
    <x v="0"/>
    <s v="FUR-TA-10004289"/>
    <x v="0"/>
    <x v="2"/>
    <s v="BoxOffice By Design Rectangular and Half-Moon Meeting Room Tables"/>
    <n v="721.875"/>
    <n v="6"/>
    <n v="-420"/>
    <x v="6"/>
    <x v="5"/>
  </r>
  <r>
    <s v="CA-2017-168389"/>
    <x v="246"/>
    <d v="2017-12-17T00:00:00"/>
    <x v="1"/>
    <s v="DV-13045"/>
    <s v="Darrin Van Huff"/>
    <x v="1"/>
    <s v="United States"/>
    <x v="51"/>
    <x v="1"/>
    <x v="0"/>
    <s v="FUR-CH-10000225"/>
    <x v="0"/>
    <x v="1"/>
    <s v="Global Geo Office Task Chair, Gray"/>
    <n v="64.784000000000006"/>
    <n v="1"/>
    <n v="-12.147"/>
    <x v="6"/>
    <x v="5"/>
  </r>
  <r>
    <s v="CA-2016-114748"/>
    <x v="714"/>
    <d v="2016-10-14T00:00:00"/>
    <x v="1"/>
    <s v="MZ-17335"/>
    <s v="Maria Zettner"/>
    <x v="2"/>
    <s v="United States"/>
    <x v="43"/>
    <x v="22"/>
    <x v="1"/>
    <s v="FUR-FU-10001488"/>
    <x v="0"/>
    <x v="3"/>
    <s v="Tenex 46&quot; x 60&quot; Computer Anti-Static Chairmat, Rectangular Shaped"/>
    <n v="169.56800000000001"/>
    <n v="2"/>
    <n v="0"/>
    <x v="2"/>
    <x v="1"/>
  </r>
  <r>
    <s v="US-2014-115189"/>
    <x v="757"/>
    <d v="2015-01-03T00:00:00"/>
    <x v="0"/>
    <s v="AR-10345"/>
    <s v="Alex Russell"/>
    <x v="1"/>
    <s v="United States"/>
    <x v="3"/>
    <x v="3"/>
    <x v="2"/>
    <s v="FUR-TA-10004575"/>
    <x v="0"/>
    <x v="2"/>
    <s v="Hon 5100 Series Wood Tables"/>
    <n v="523.76400000000001"/>
    <n v="3"/>
    <n v="-192.04679999999999"/>
    <x v="4"/>
    <x v="5"/>
  </r>
  <r>
    <s v="CA-2016-163594"/>
    <x v="188"/>
    <d v="2016-04-14T00:00:00"/>
    <x v="2"/>
    <s v="JF-15295"/>
    <s v="Jason Fortune-"/>
    <x v="0"/>
    <s v="United States"/>
    <x v="2"/>
    <x v="2"/>
    <x v="1"/>
    <s v="FUR-CH-10000225"/>
    <x v="0"/>
    <x v="1"/>
    <s v="Global Geo Office Task Chair, Gray"/>
    <n v="194.352"/>
    <n v="3"/>
    <n v="-36.441000000000003"/>
    <x v="3"/>
    <x v="6"/>
  </r>
  <r>
    <s v="CA-2016-127243"/>
    <x v="597"/>
    <d v="2016-12-04T00:00:00"/>
    <x v="1"/>
    <s v="DS-13180"/>
    <s v="David Smith"/>
    <x v="1"/>
    <s v="United States"/>
    <x v="3"/>
    <x v="3"/>
    <x v="2"/>
    <s v="FUR-CH-10002647"/>
    <x v="0"/>
    <x v="1"/>
    <s v="Situations Contoured Folding Chairs, 4/Set"/>
    <n v="347.80200000000002"/>
    <n v="7"/>
    <n v="-24.843"/>
    <x v="6"/>
    <x v="0"/>
  </r>
  <r>
    <s v="CA-2016-105732"/>
    <x v="758"/>
    <d v="2016-09-18T00:00:00"/>
    <x v="1"/>
    <s v="AG-10270"/>
    <s v="Alejandro Grove"/>
    <x v="0"/>
    <s v="United States"/>
    <x v="70"/>
    <x v="27"/>
    <x v="3"/>
    <s v="FUR-FU-10003664"/>
    <x v="0"/>
    <x v="3"/>
    <s v="Electrix Architect's Clamp-On Swing Arm Lamp, Black"/>
    <n v="1336.44"/>
    <n v="14"/>
    <n v="387.56760000000003"/>
    <x v="2"/>
    <x v="4"/>
  </r>
  <r>
    <s v="CA-2017-108035"/>
    <x v="759"/>
    <d v="2017-12-03T00:00:00"/>
    <x v="1"/>
    <s v="TT-21070"/>
    <s v="Ted Trevino"/>
    <x v="0"/>
    <s v="United States"/>
    <x v="196"/>
    <x v="9"/>
    <x v="0"/>
    <s v="FUR-CH-10000454"/>
    <x v="0"/>
    <x v="1"/>
    <s v="Hon Deluxe Fabric Upholstered Stacking Chairs, Rounded Back"/>
    <n v="390.36799999999999"/>
    <n v="2"/>
    <n v="48.795999999999999"/>
    <x v="4"/>
    <x v="0"/>
  </r>
  <r>
    <s v="CA-2017-108035"/>
    <x v="759"/>
    <d v="2017-12-03T00:00:00"/>
    <x v="1"/>
    <s v="TT-21070"/>
    <s v="Ted Trevino"/>
    <x v="0"/>
    <s v="United States"/>
    <x v="196"/>
    <x v="9"/>
    <x v="0"/>
    <s v="FUR-FU-10004017"/>
    <x v="0"/>
    <x v="3"/>
    <s v="Executive Impressions 13&quot; Chairman Wall Clock"/>
    <n v="101.52"/>
    <n v="5"/>
    <n v="19.035"/>
    <x v="4"/>
    <x v="0"/>
  </r>
  <r>
    <s v="CA-2016-110975"/>
    <x v="683"/>
    <d v="2016-12-30T00:00:00"/>
    <x v="1"/>
    <s v="DB-12970"/>
    <s v="Darren Budd"/>
    <x v="1"/>
    <s v="United States"/>
    <x v="13"/>
    <x v="7"/>
    <x v="2"/>
    <s v="FUR-TA-10002958"/>
    <x v="0"/>
    <x v="2"/>
    <s v="Bevis Oval Conference Table, Walnut"/>
    <n v="313.17599999999999"/>
    <n v="2"/>
    <n v="-120.0508"/>
    <x v="2"/>
    <x v="5"/>
  </r>
  <r>
    <s v="CA-2016-110975"/>
    <x v="683"/>
    <d v="2016-12-30T00:00:00"/>
    <x v="1"/>
    <s v="DB-12970"/>
    <s v="Darren Budd"/>
    <x v="1"/>
    <s v="United States"/>
    <x v="13"/>
    <x v="7"/>
    <x v="2"/>
    <s v="FUR-CH-10003746"/>
    <x v="0"/>
    <x v="1"/>
    <s v="Hon 4070 Series Pagoda Round Back Stacking Chairs"/>
    <n v="866.64599999999996"/>
    <n v="3"/>
    <n v="173.32919999999999"/>
    <x v="2"/>
    <x v="5"/>
  </r>
  <r>
    <s v="CA-2016-110009"/>
    <x v="63"/>
    <d v="2016-09-13T00:00:00"/>
    <x v="1"/>
    <s v="TR-21325"/>
    <s v="Toby Ritter"/>
    <x v="0"/>
    <s v="United States"/>
    <x v="15"/>
    <x v="13"/>
    <x v="1"/>
    <s v="FUR-FU-10003039"/>
    <x v="0"/>
    <x v="3"/>
    <s v="Howard Miller 11-1/2&quot; Diameter Grantwood Wall Clock"/>
    <n v="43.13"/>
    <n v="1"/>
    <n v="14.664199999999999"/>
    <x v="2"/>
    <x v="4"/>
  </r>
  <r>
    <s v="CA-2015-100146"/>
    <x v="760"/>
    <d v="2015-05-19T00:00:00"/>
    <x v="1"/>
    <s v="CB-12535"/>
    <s v="Claudia Bergmann"/>
    <x v="1"/>
    <s v="United States"/>
    <x v="324"/>
    <x v="2"/>
    <x v="1"/>
    <s v="FUR-BO-10004015"/>
    <x v="0"/>
    <x v="0"/>
    <s v="Bush Andora Bookcase, Maple/Graphite Gray Finish"/>
    <n v="509.95749999999998"/>
    <n v="5"/>
    <n v="41.996499999999997"/>
    <x v="2"/>
    <x v="7"/>
  </r>
  <r>
    <s v="CA-2015-100146"/>
    <x v="760"/>
    <d v="2015-05-19T00:00:00"/>
    <x v="1"/>
    <s v="CB-12535"/>
    <s v="Claudia Bergmann"/>
    <x v="1"/>
    <s v="United States"/>
    <x v="324"/>
    <x v="2"/>
    <x v="1"/>
    <s v="FUR-FU-10001979"/>
    <x v="0"/>
    <x v="3"/>
    <s v="Dana Halogen Swing-Arm Architect Lamp"/>
    <n v="122.91"/>
    <n v="3"/>
    <n v="34.4148"/>
    <x v="2"/>
    <x v="7"/>
  </r>
  <r>
    <s v="CA-2015-100146"/>
    <x v="760"/>
    <d v="2015-05-19T00:00:00"/>
    <x v="1"/>
    <s v="CB-12535"/>
    <s v="Claudia Bergmann"/>
    <x v="1"/>
    <s v="United States"/>
    <x v="324"/>
    <x v="2"/>
    <x v="1"/>
    <s v="FUR-CH-10003833"/>
    <x v="0"/>
    <x v="1"/>
    <s v="Novimex Fabric Task Chair"/>
    <n v="97.567999999999998"/>
    <n v="2"/>
    <n v="-6.0979999999999999"/>
    <x v="2"/>
    <x v="7"/>
  </r>
  <r>
    <s v="CA-2015-100146"/>
    <x v="760"/>
    <d v="2015-05-19T00:00:00"/>
    <x v="1"/>
    <s v="CB-12535"/>
    <s v="Claudia Bergmann"/>
    <x v="1"/>
    <s v="United States"/>
    <x v="324"/>
    <x v="2"/>
    <x v="1"/>
    <s v="FUR-CH-10004495"/>
    <x v="0"/>
    <x v="1"/>
    <s v="Global Leather and Oak Executive Chair, Black"/>
    <n v="722.35199999999998"/>
    <n v="3"/>
    <n v="81.264600000000002"/>
    <x v="2"/>
    <x v="7"/>
  </r>
  <r>
    <s v="CA-2016-129728"/>
    <x v="82"/>
    <d v="2016-06-06T00:00:00"/>
    <x v="1"/>
    <s v="JG-15310"/>
    <s v="Jason Gross"/>
    <x v="1"/>
    <s v="United States"/>
    <x v="2"/>
    <x v="2"/>
    <x v="1"/>
    <s v="FUR-FU-10003247"/>
    <x v="0"/>
    <x v="3"/>
    <s v="36X48 HARDFLOOR CHAIRMAT"/>
    <n v="167.84"/>
    <n v="8"/>
    <n v="11.748799999999999"/>
    <x v="1"/>
    <x v="7"/>
  </r>
  <r>
    <s v="CA-2014-121769"/>
    <x v="676"/>
    <d v="2014-04-12T00:00:00"/>
    <x v="1"/>
    <s v="JS-15880"/>
    <s v="John Stevenson"/>
    <x v="0"/>
    <s v="United States"/>
    <x v="219"/>
    <x v="15"/>
    <x v="2"/>
    <s v="FUR-TA-10004442"/>
    <x v="0"/>
    <x v="2"/>
    <s v="Riverside Furniture Stanwyck Manor Table Series"/>
    <n v="172.11"/>
    <n v="1"/>
    <n v="-94.660499999999999"/>
    <x v="4"/>
    <x v="6"/>
  </r>
  <r>
    <s v="CA-2017-121125"/>
    <x v="703"/>
    <d v="2017-06-03T00:00:00"/>
    <x v="1"/>
    <s v="MG-17890"/>
    <s v="Michael Granlund"/>
    <x v="2"/>
    <s v="United States"/>
    <x v="325"/>
    <x v="36"/>
    <x v="1"/>
    <s v="FUR-FU-10000820"/>
    <x v="0"/>
    <x v="3"/>
    <s v="Tensor Brushed Steel Torchiere Floor Lamp"/>
    <n v="13.592000000000001"/>
    <n v="1"/>
    <n v="-0.33979999999999999"/>
    <x v="4"/>
    <x v="7"/>
  </r>
  <r>
    <s v="US-2016-114013"/>
    <x v="345"/>
    <d v="2016-03-15T00:00:00"/>
    <x v="0"/>
    <s v="SC-20770"/>
    <s v="Stewart Carmichael"/>
    <x v="1"/>
    <s v="United States"/>
    <x v="3"/>
    <x v="3"/>
    <x v="2"/>
    <s v="FUR-CH-10004287"/>
    <x v="0"/>
    <x v="1"/>
    <s v="SAFCO Arco Folding Chair"/>
    <n v="386.68"/>
    <n v="2"/>
    <n v="-5.524"/>
    <x v="3"/>
    <x v="9"/>
  </r>
  <r>
    <s v="CA-2017-135069"/>
    <x v="662"/>
    <d v="2017-04-14T00:00:00"/>
    <x v="1"/>
    <s v="BS-11755"/>
    <s v="Bruce Stewart"/>
    <x v="0"/>
    <s v="United States"/>
    <x v="3"/>
    <x v="3"/>
    <x v="2"/>
    <s v="FUR-FU-10003878"/>
    <x v="0"/>
    <x v="3"/>
    <s v="Linden 10&quot; Round Wall Clock, Black"/>
    <n v="36.671999999999997"/>
    <n v="3"/>
    <n v="6.4176000000000002"/>
    <x v="4"/>
    <x v="6"/>
  </r>
  <r>
    <s v="CA-2016-101693"/>
    <x v="324"/>
    <d v="2016-06-27T00:00:00"/>
    <x v="0"/>
    <s v="LC-17140"/>
    <s v="Logan Currie"/>
    <x v="0"/>
    <s v="United States"/>
    <x v="6"/>
    <x v="5"/>
    <x v="3"/>
    <s v="FUR-CH-10001146"/>
    <x v="0"/>
    <x v="1"/>
    <s v="Global Value Mid-Back Manager's Chair, Gray"/>
    <n v="85.245999999999995"/>
    <n v="2"/>
    <n v="-6.0890000000000004"/>
    <x v="3"/>
    <x v="2"/>
  </r>
  <r>
    <s v="CA-2016-101693"/>
    <x v="324"/>
    <d v="2016-06-27T00:00:00"/>
    <x v="0"/>
    <s v="LC-17140"/>
    <s v="Logan Currie"/>
    <x v="0"/>
    <s v="United States"/>
    <x v="6"/>
    <x v="5"/>
    <x v="3"/>
    <s v="FUR-FU-10003919"/>
    <x v="0"/>
    <x v="3"/>
    <s v="Eldon Executive Woodline II Cherry Finish Desk Accessories"/>
    <n v="32.712000000000003"/>
    <n v="2"/>
    <n v="-26.169599999999999"/>
    <x v="3"/>
    <x v="2"/>
  </r>
  <r>
    <s v="CA-2015-145457"/>
    <x v="257"/>
    <d v="2015-03-27T00:00:00"/>
    <x v="0"/>
    <s v="CP-12085"/>
    <s v="Cathy Prescott"/>
    <x v="1"/>
    <s v="United States"/>
    <x v="326"/>
    <x v="13"/>
    <x v="1"/>
    <s v="FUR-FU-10003832"/>
    <x v="0"/>
    <x v="3"/>
    <s v="Eldon Expressions Punched Metal &amp; Wood Desk Accessories, Black &amp; Cherry"/>
    <n v="46.9"/>
    <n v="5"/>
    <n v="13.132"/>
    <x v="0"/>
    <x v="9"/>
  </r>
  <r>
    <s v="US-2017-163657"/>
    <x v="113"/>
    <d v="2017-09-06T00:00:00"/>
    <x v="1"/>
    <s v="JL-15235"/>
    <s v="Janet Lee"/>
    <x v="0"/>
    <s v="United States"/>
    <x v="2"/>
    <x v="2"/>
    <x v="1"/>
    <s v="FUR-TA-10004607"/>
    <x v="0"/>
    <x v="2"/>
    <s v="Hon 2111 Invitation Series Straight Table"/>
    <n v="236.52799999999999"/>
    <n v="2"/>
    <n v="-2.9565999999999999"/>
    <x v="4"/>
    <x v="4"/>
  </r>
  <r>
    <s v="CA-2017-127474"/>
    <x v="761"/>
    <d v="2017-02-07T00:00:00"/>
    <x v="0"/>
    <s v="RD-19810"/>
    <s v="Ross DeVincentis"/>
    <x v="2"/>
    <s v="United States"/>
    <x v="9"/>
    <x v="8"/>
    <x v="3"/>
    <s v="FUR-FU-10004597"/>
    <x v="0"/>
    <x v="3"/>
    <s v="Eldon Cleatmat Chair Mats for Medium Pile Carpets"/>
    <n v="22.2"/>
    <n v="1"/>
    <n v="-26.085000000000001"/>
    <x v="4"/>
    <x v="11"/>
  </r>
  <r>
    <s v="CA-2017-115448"/>
    <x v="762"/>
    <d v="2017-11-14T00:00:00"/>
    <x v="2"/>
    <s v="MH-18025"/>
    <s v="Michelle Huthwaite"/>
    <x v="0"/>
    <s v="United States"/>
    <x v="270"/>
    <x v="9"/>
    <x v="0"/>
    <s v="FUR-FU-10004090"/>
    <x v="0"/>
    <x v="3"/>
    <s v="Executive Impressions 14&quot; Contract Wall Clock"/>
    <n v="88.92"/>
    <n v="5"/>
    <n v="14.4495"/>
    <x v="0"/>
    <x v="0"/>
  </r>
  <r>
    <s v="CA-2017-105669"/>
    <x v="342"/>
    <d v="2017-09-22T00:00:00"/>
    <x v="0"/>
    <s v="SJ-20125"/>
    <s v="Sanjit Jacobs"/>
    <x v="2"/>
    <s v="United States"/>
    <x v="6"/>
    <x v="5"/>
    <x v="3"/>
    <s v="FUR-CH-10003774"/>
    <x v="0"/>
    <x v="1"/>
    <s v="Global Wood Trimmed Manager's Task Chair, Khaki"/>
    <n v="318.43"/>
    <n v="5"/>
    <n v="-77.332999999999998"/>
    <x v="2"/>
    <x v="4"/>
  </r>
  <r>
    <s v="CA-2015-137974"/>
    <x v="763"/>
    <d v="2015-04-18T00:00:00"/>
    <x v="2"/>
    <s v="LL-16840"/>
    <s v="Lauren Leatherbury"/>
    <x v="0"/>
    <s v="United States"/>
    <x v="61"/>
    <x v="25"/>
    <x v="0"/>
    <s v="FUR-FU-10001468"/>
    <x v="0"/>
    <x v="3"/>
    <s v="Tenex Antistatic Computer Chair Mats"/>
    <n v="1196.8599999999999"/>
    <n v="7"/>
    <n v="119.68600000000001"/>
    <x v="3"/>
    <x v="6"/>
  </r>
  <r>
    <s v="CA-2015-137974"/>
    <x v="763"/>
    <d v="2015-04-18T00:00:00"/>
    <x v="2"/>
    <s v="LL-16840"/>
    <s v="Lauren Leatherbury"/>
    <x v="0"/>
    <s v="United States"/>
    <x v="61"/>
    <x v="25"/>
    <x v="0"/>
    <s v="FUR-BO-10001519"/>
    <x v="0"/>
    <x v="0"/>
    <s v="O'Sullivan 3-Shelf Heavy-Duty Bookcases"/>
    <n v="523.26"/>
    <n v="9"/>
    <n v="125.58240000000001"/>
    <x v="3"/>
    <x v="6"/>
  </r>
  <r>
    <s v="CA-2017-148985"/>
    <x v="762"/>
    <d v="2017-11-15T00:00:00"/>
    <x v="0"/>
    <s v="TB-21190"/>
    <s v="Thomas Brumley"/>
    <x v="2"/>
    <s v="United States"/>
    <x v="2"/>
    <x v="2"/>
    <x v="1"/>
    <s v="FUR-FU-10001424"/>
    <x v="0"/>
    <x v="3"/>
    <s v="Dax Clear Box Frame"/>
    <n v="34.92"/>
    <n v="4"/>
    <n v="11.8728"/>
    <x v="4"/>
    <x v="0"/>
  </r>
  <r>
    <s v="CA-2014-138100"/>
    <x v="712"/>
    <d v="2014-09-20T00:00:00"/>
    <x v="1"/>
    <s v="AA-10315"/>
    <s v="Alex Avila"/>
    <x v="0"/>
    <s v="United States"/>
    <x v="13"/>
    <x v="7"/>
    <x v="2"/>
    <s v="FUR-FU-10002456"/>
    <x v="0"/>
    <x v="3"/>
    <s v="Master Caster Door Stop, Large Neon Orange"/>
    <n v="14.56"/>
    <n v="2"/>
    <n v="6.2607999999999997"/>
    <x v="2"/>
    <x v="4"/>
  </r>
  <r>
    <s v="CA-2014-167199"/>
    <x v="764"/>
    <d v="2014-01-10T00:00:00"/>
    <x v="1"/>
    <s v="ME-17320"/>
    <s v="Maria Etezadi"/>
    <x v="2"/>
    <s v="United States"/>
    <x v="0"/>
    <x v="0"/>
    <x v="0"/>
    <s v="FUR-CH-10004063"/>
    <x v="0"/>
    <x v="1"/>
    <s v="Global Deluxe High-Back Manager's Chair"/>
    <n v="2573.8200000000002"/>
    <n v="9"/>
    <n v="746.40779999999995"/>
    <x v="4"/>
    <x v="8"/>
  </r>
  <r>
    <s v="CA-2014-129938"/>
    <x v="256"/>
    <d v="2014-12-17T00:00:00"/>
    <x v="0"/>
    <s v="EB-13705"/>
    <s v="Ed Braxton"/>
    <x v="1"/>
    <s v="United States"/>
    <x v="3"/>
    <x v="3"/>
    <x v="2"/>
    <s v="FUR-CH-10003774"/>
    <x v="0"/>
    <x v="1"/>
    <s v="Global Wood Trimmed Manager's Task Chair, Khaki"/>
    <n v="445.80200000000002"/>
    <n v="7"/>
    <n v="-108.2662"/>
    <x v="3"/>
    <x v="5"/>
  </r>
  <r>
    <s v="US-2015-134558"/>
    <x v="765"/>
    <d v="2015-12-24T00:00:00"/>
    <x v="0"/>
    <s v="PM-19135"/>
    <s v="Peter McVee"/>
    <x v="2"/>
    <s v="United States"/>
    <x v="63"/>
    <x v="28"/>
    <x v="2"/>
    <s v="FUR-TA-10003473"/>
    <x v="0"/>
    <x v="2"/>
    <s v="Bretford Rectangular Conference Table Tops"/>
    <n v="1053.164"/>
    <n v="4"/>
    <n v="-105.3164"/>
    <x v="2"/>
    <x v="5"/>
  </r>
  <r>
    <s v="CA-2015-108672"/>
    <x v="468"/>
    <d v="2015-09-16T00:00:00"/>
    <x v="1"/>
    <s v="FA-14230"/>
    <s v="Frank Atkinson"/>
    <x v="1"/>
    <s v="United States"/>
    <x v="2"/>
    <x v="2"/>
    <x v="1"/>
    <s v="FUR-FU-10003799"/>
    <x v="0"/>
    <x v="3"/>
    <s v="Seth Thomas 13 1/2&quot; Wall Clock"/>
    <n v="106.68"/>
    <n v="6"/>
    <n v="33.070799999999998"/>
    <x v="6"/>
    <x v="4"/>
  </r>
  <r>
    <s v="US-2017-160836"/>
    <x v="91"/>
    <d v="2017-09-16T00:00:00"/>
    <x v="1"/>
    <s v="CC-12475"/>
    <s v="Cindy Chapman"/>
    <x v="0"/>
    <s v="United States"/>
    <x v="6"/>
    <x v="5"/>
    <x v="3"/>
    <s v="FUR-TA-10002855"/>
    <x v="0"/>
    <x v="2"/>
    <s v="Bevis Round Conference Table Top &amp; Single Column Base"/>
    <n v="512.19000000000005"/>
    <n v="5"/>
    <n v="-65.852999999999994"/>
    <x v="2"/>
    <x v="4"/>
  </r>
  <r>
    <s v="CA-2017-121048"/>
    <x v="766"/>
    <d v="2017-07-18T00:00:00"/>
    <x v="1"/>
    <s v="TC-21295"/>
    <s v="Toby Carlisle"/>
    <x v="0"/>
    <s v="United States"/>
    <x v="327"/>
    <x v="2"/>
    <x v="1"/>
    <s v="FUR-FU-10003601"/>
    <x v="0"/>
    <x v="3"/>
    <s v="Deflect-o RollaMat Studded, Beveled Mat for Medium Pile Carpeting"/>
    <n v="276.69"/>
    <n v="3"/>
    <n v="49.804200000000002"/>
    <x v="4"/>
    <x v="3"/>
  </r>
  <r>
    <s v="CA-2017-121048"/>
    <x v="766"/>
    <d v="2017-07-18T00:00:00"/>
    <x v="1"/>
    <s v="TC-21295"/>
    <s v="Toby Carlisle"/>
    <x v="0"/>
    <s v="United States"/>
    <x v="327"/>
    <x v="2"/>
    <x v="1"/>
    <s v="FUR-FU-10002960"/>
    <x v="0"/>
    <x v="3"/>
    <s v="Eldon 200 Class Desk Accessories, Burgundy"/>
    <n v="18.84"/>
    <n v="3"/>
    <n v="7.9127999999999998"/>
    <x v="4"/>
    <x v="3"/>
  </r>
  <r>
    <s v="US-2017-161935"/>
    <x v="766"/>
    <d v="2017-07-18T00:00:00"/>
    <x v="1"/>
    <s v="JL-15835"/>
    <s v="John Lee"/>
    <x v="0"/>
    <s v="United States"/>
    <x v="29"/>
    <x v="15"/>
    <x v="2"/>
    <s v="FUR-FU-10002937"/>
    <x v="0"/>
    <x v="3"/>
    <s v="GE 48&quot; Fluorescent Tube, Cool White Energy Saver, 34 Watts, 30/Box"/>
    <n v="396.92"/>
    <n v="5"/>
    <n v="148.845"/>
    <x v="4"/>
    <x v="3"/>
  </r>
  <r>
    <s v="CA-2016-162383"/>
    <x v="26"/>
    <d v="2016-09-11T00:00:00"/>
    <x v="1"/>
    <s v="MD-17350"/>
    <s v="Maribeth Dona"/>
    <x v="0"/>
    <s v="United States"/>
    <x v="68"/>
    <x v="15"/>
    <x v="2"/>
    <s v="FUR-CH-10004477"/>
    <x v="0"/>
    <x v="1"/>
    <s v="Global Push Button Manager's Chair, Indigo"/>
    <n v="85.245999999999995"/>
    <n v="2"/>
    <n v="-1.2178"/>
    <x v="6"/>
    <x v="4"/>
  </r>
  <r>
    <s v="CA-2014-125731"/>
    <x v="767"/>
    <d v="2014-09-16T00:00:00"/>
    <x v="1"/>
    <s v="CL-12565"/>
    <s v="Clay Ludtke"/>
    <x v="0"/>
    <s v="United States"/>
    <x v="195"/>
    <x v="36"/>
    <x v="1"/>
    <s v="FUR-CH-10003973"/>
    <x v="0"/>
    <x v="1"/>
    <s v="GuestStacker Chair with Chrome Finish Legs"/>
    <n v="1487.04"/>
    <n v="5"/>
    <n v="148.70400000000001"/>
    <x v="6"/>
    <x v="4"/>
  </r>
  <r>
    <s v="US-2017-106145"/>
    <x v="572"/>
    <d v="2017-09-26T00:00:00"/>
    <x v="3"/>
    <s v="RA-19885"/>
    <s v="Ruben Ausman"/>
    <x v="1"/>
    <s v="United States"/>
    <x v="28"/>
    <x v="2"/>
    <x v="1"/>
    <s v="FUR-FU-10003829"/>
    <x v="0"/>
    <x v="3"/>
    <s v="Stackable Trays"/>
    <n v="9.24"/>
    <n v="3"/>
    <n v="2.9567999999999999"/>
    <x v="7"/>
    <x v="4"/>
  </r>
  <r>
    <s v="CA-2016-107146"/>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s v="CA-2016-107146"/>
    <x v="9"/>
    <d v="2016-06-19T00:00:00"/>
    <x v="2"/>
    <s v="LC-16885"/>
    <s v="Lena Creighton"/>
    <x v="0"/>
    <s v="United States"/>
    <x v="328"/>
    <x v="12"/>
    <x v="1"/>
    <s v="FUR-CH-10004853"/>
    <x v="0"/>
    <x v="1"/>
    <s v="Global Manager's Adjustable Task Chair, Storm"/>
    <n v="483.13600000000002"/>
    <n v="4"/>
    <n v="54.352800000000002"/>
    <x v="3"/>
    <x v="2"/>
  </r>
  <r>
    <s v="US-2017-134642"/>
    <x v="768"/>
    <d v="2017-03-01T00:00:00"/>
    <x v="1"/>
    <s v="SW-20245"/>
    <s v="Scot Wooten"/>
    <x v="0"/>
    <s v="United States"/>
    <x v="329"/>
    <x v="30"/>
    <x v="0"/>
    <s v="FUR-CH-10002880"/>
    <x v="0"/>
    <x v="1"/>
    <s v="Global High-Back Leather Tilter, Burgundy"/>
    <n v="196.78399999999999"/>
    <n v="2"/>
    <n v="-22.138200000000001"/>
    <x v="4"/>
    <x v="11"/>
  </r>
  <r>
    <s v="US-2017-134642"/>
    <x v="768"/>
    <d v="2017-03-01T00:00:00"/>
    <x v="1"/>
    <s v="SW-20245"/>
    <s v="Scot Wooten"/>
    <x v="0"/>
    <s v="United States"/>
    <x v="329"/>
    <x v="30"/>
    <x v="0"/>
    <s v="FUR-BO-10004709"/>
    <x v="0"/>
    <x v="0"/>
    <s v="Bush Westfield Collection Bookcases, Medium Cherry Finish"/>
    <n v="231.92"/>
    <n v="5"/>
    <n v="5.798"/>
    <x v="4"/>
    <x v="11"/>
  </r>
  <r>
    <s v="CA-2017-103415"/>
    <x v="587"/>
    <d v="2017-12-08T00:00:00"/>
    <x v="1"/>
    <s v="MV-17485"/>
    <s v="Mark Van Huff"/>
    <x v="0"/>
    <s v="United States"/>
    <x v="6"/>
    <x v="5"/>
    <x v="3"/>
    <s v="FUR-FU-10000820"/>
    <x v="0"/>
    <x v="3"/>
    <s v="Tensor Brushed Steel Torchiere Floor Lamp"/>
    <n v="13.592000000000001"/>
    <n v="2"/>
    <n v="-14.271599999999999"/>
    <x v="2"/>
    <x v="5"/>
  </r>
  <r>
    <s v="US-2017-112347"/>
    <x v="308"/>
    <d v="2017-12-06T00:00:00"/>
    <x v="1"/>
    <s v="BS-11380"/>
    <s v="Bill Stewart"/>
    <x v="1"/>
    <s v="United States"/>
    <x v="22"/>
    <x v="12"/>
    <x v="1"/>
    <s v="FUR-BO-10003546"/>
    <x v="0"/>
    <x v="0"/>
    <s v="Hon 4-Shelf Metal Bookcases"/>
    <n v="242.352"/>
    <n v="8"/>
    <n v="-363.52800000000002"/>
    <x v="4"/>
    <x v="5"/>
  </r>
  <r>
    <s v="US-2017-112347"/>
    <x v="308"/>
    <d v="2017-12-06T00:00:00"/>
    <x v="1"/>
    <s v="BS-11380"/>
    <s v="Bill Stewart"/>
    <x v="1"/>
    <s v="United States"/>
    <x v="22"/>
    <x v="12"/>
    <x v="1"/>
    <s v="FUR-FU-10001488"/>
    <x v="0"/>
    <x v="3"/>
    <s v="Tenex 46&quot; x 60&quot; Computer Anti-Static Chairmat, Rectangular Shaped"/>
    <n v="508.70400000000001"/>
    <n v="6"/>
    <n v="0"/>
    <x v="4"/>
    <x v="5"/>
  </r>
  <r>
    <s v="US-2017-112347"/>
    <x v="308"/>
    <d v="2017-12-06T00:00:00"/>
    <x v="1"/>
    <s v="BS-11380"/>
    <s v="Bill Stewart"/>
    <x v="1"/>
    <s v="United States"/>
    <x v="22"/>
    <x v="12"/>
    <x v="1"/>
    <s v="FUR-CH-10002335"/>
    <x v="0"/>
    <x v="1"/>
    <s v="Hon GuestStacker Chair"/>
    <n v="906.68"/>
    <n v="5"/>
    <n v="68.001000000000005"/>
    <x v="4"/>
    <x v="5"/>
  </r>
  <r>
    <s v="CA-2016-136595"/>
    <x v="26"/>
    <d v="2016-09-07T00:00:00"/>
    <x v="2"/>
    <s v="EM-13825"/>
    <s v="Elizabeth Moffitt"/>
    <x v="1"/>
    <s v="United States"/>
    <x v="6"/>
    <x v="5"/>
    <x v="3"/>
    <s v="FUR-FU-10004671"/>
    <x v="0"/>
    <x v="3"/>
    <s v="Executive Impressions 12&quot; Wall Clock"/>
    <n v="21.204000000000001"/>
    <n v="3"/>
    <n v="-11.6622"/>
    <x v="3"/>
    <x v="4"/>
  </r>
  <r>
    <s v="CA-2014-114181"/>
    <x v="769"/>
    <d v="2014-05-14T00:00:00"/>
    <x v="0"/>
    <s v="AF-10885"/>
    <s v="Art Foster"/>
    <x v="0"/>
    <s v="United States"/>
    <x v="3"/>
    <x v="3"/>
    <x v="2"/>
    <s v="FUR-BO-10004467"/>
    <x v="0"/>
    <x v="0"/>
    <s v="Bestar Classic Bookcase"/>
    <n v="349.96499999999997"/>
    <n v="7"/>
    <n v="-216.97829999999999"/>
    <x v="4"/>
    <x v="7"/>
  </r>
  <r>
    <s v="US-2014-137155"/>
    <x v="770"/>
    <d v="2014-11-05T00:00:00"/>
    <x v="1"/>
    <s v="DL-12925"/>
    <s v="Daniel Lacy"/>
    <x v="0"/>
    <s v="United States"/>
    <x v="62"/>
    <x v="7"/>
    <x v="2"/>
    <s v="FUR-FU-10003142"/>
    <x v="0"/>
    <x v="3"/>
    <s v="Master Big Foot Doorstop, Beige"/>
    <n v="31.68"/>
    <n v="6"/>
    <n v="9.8208000000000002"/>
    <x v="4"/>
    <x v="0"/>
  </r>
  <r>
    <s v="CA-2016-105746"/>
    <x v="771"/>
    <d v="2017-01-01T00:00:00"/>
    <x v="2"/>
    <s v="BD-11605"/>
    <s v="Brian Dahlen"/>
    <x v="0"/>
    <s v="United States"/>
    <x v="68"/>
    <x v="3"/>
    <x v="2"/>
    <s v="FUR-CH-10000454"/>
    <x v="0"/>
    <x v="1"/>
    <s v="Hon Deluxe Fabric Upholstered Stacking Chairs, Rounded Back"/>
    <n v="170.786"/>
    <n v="1"/>
    <n v="0"/>
    <x v="3"/>
    <x v="5"/>
  </r>
  <r>
    <s v="US-2016-104815"/>
    <x v="222"/>
    <d v="2016-09-07T00:00:00"/>
    <x v="1"/>
    <s v="RB-19570"/>
    <s v="Rob Beeghly"/>
    <x v="0"/>
    <s v="United States"/>
    <x v="9"/>
    <x v="8"/>
    <x v="3"/>
    <s v="FUR-BO-10003894"/>
    <x v="0"/>
    <x v="0"/>
    <s v="Safco Value Mate Steel Bookcase, Baked Enamel Finish on Steel, Black"/>
    <n v="198.744"/>
    <n v="4"/>
    <n v="0"/>
    <x v="4"/>
    <x v="4"/>
  </r>
  <r>
    <s v="US-2016-166660"/>
    <x v="772"/>
    <d v="2016-02-01T00:00:00"/>
    <x v="0"/>
    <s v="TB-21250"/>
    <s v="Tim Brockman"/>
    <x v="0"/>
    <s v="United States"/>
    <x v="15"/>
    <x v="13"/>
    <x v="1"/>
    <s v="FUR-CH-10001190"/>
    <x v="0"/>
    <x v="1"/>
    <s v="Global Deluxe High-Back Office Chair in Storm"/>
    <n v="435.16800000000001"/>
    <n v="4"/>
    <n v="-59.835599999999999"/>
    <x v="3"/>
    <x v="8"/>
  </r>
  <r>
    <s v="US-2016-166660"/>
    <x v="772"/>
    <d v="2016-02-01T00:00:00"/>
    <x v="0"/>
    <s v="TB-21250"/>
    <s v="Tim Brockman"/>
    <x v="0"/>
    <s v="United States"/>
    <x v="15"/>
    <x v="13"/>
    <x v="1"/>
    <s v="FUR-BO-10000468"/>
    <x v="0"/>
    <x v="0"/>
    <s v="O'Sullivan 2-Shelf Heavy-Duty Bookcases"/>
    <n v="48.58"/>
    <n v="1"/>
    <n v="7.7728000000000002"/>
    <x v="3"/>
    <x v="8"/>
  </r>
  <r>
    <s v="CA-2014-100916"/>
    <x v="299"/>
    <d v="2014-10-26T00:00:00"/>
    <x v="1"/>
    <s v="FH-14275"/>
    <s v="Frank Hawley"/>
    <x v="1"/>
    <s v="United States"/>
    <x v="330"/>
    <x v="25"/>
    <x v="0"/>
    <s v="FUR-TA-10004607"/>
    <x v="0"/>
    <x v="2"/>
    <s v="Hon 2111 Invitation Series Straight Table"/>
    <n v="591.32000000000005"/>
    <n v="4"/>
    <n v="112.35080000000001"/>
    <x v="2"/>
    <x v="1"/>
  </r>
  <r>
    <s v="CA-2016-138597"/>
    <x v="105"/>
    <d v="2016-12-21T00:00:00"/>
    <x v="2"/>
    <s v="PN-18775"/>
    <s v="Parhena Norris"/>
    <x v="2"/>
    <s v="United States"/>
    <x v="70"/>
    <x v="27"/>
    <x v="3"/>
    <s v="FUR-CH-10004997"/>
    <x v="0"/>
    <x v="1"/>
    <s v="Hon Every-Day Series Multi-Task Chairs"/>
    <n v="563.94000000000005"/>
    <n v="3"/>
    <n v="112.788"/>
    <x v="0"/>
    <x v="5"/>
  </r>
  <r>
    <s v="CA-2015-142734"/>
    <x v="763"/>
    <d v="2015-04-21T00:00:00"/>
    <x v="1"/>
    <s v="DM-13345"/>
    <s v="Denise Monton"/>
    <x v="1"/>
    <s v="United States"/>
    <x v="13"/>
    <x v="7"/>
    <x v="2"/>
    <s v="FUR-CH-10003968"/>
    <x v="0"/>
    <x v="1"/>
    <s v="Novimex Turbo Task Chair"/>
    <n v="127.764"/>
    <n v="2"/>
    <n v="2.8391999999999999"/>
    <x v="2"/>
    <x v="6"/>
  </r>
  <r>
    <s v="CA-2017-122945"/>
    <x v="716"/>
    <d v="2017-11-22T00:00:00"/>
    <x v="1"/>
    <s v="MB-18085"/>
    <s v="Mick Brown"/>
    <x v="0"/>
    <s v="United States"/>
    <x v="18"/>
    <x v="2"/>
    <x v="1"/>
    <s v="FUR-FU-10001196"/>
    <x v="0"/>
    <x v="3"/>
    <s v="DAX Cubicle Frames - 8x10"/>
    <n v="17.309999999999999"/>
    <n v="3"/>
    <n v="5.1929999999999996"/>
    <x v="6"/>
    <x v="0"/>
  </r>
  <r>
    <s v="CA-2016-158778"/>
    <x v="26"/>
    <d v="2016-09-09T00:00:00"/>
    <x v="1"/>
    <s v="DB-13210"/>
    <s v="Dean Braden"/>
    <x v="0"/>
    <s v="United States"/>
    <x v="3"/>
    <x v="3"/>
    <x v="2"/>
    <s v="FUR-FU-10000260"/>
    <x v="0"/>
    <x v="3"/>
    <s v="6&quot; Cubicle Wall Clock, Black"/>
    <n v="58.247999999999998"/>
    <n v="9"/>
    <n v="11.6496"/>
    <x v="4"/>
    <x v="4"/>
  </r>
  <r>
    <s v="CA-2016-158778"/>
    <x v="26"/>
    <d v="2016-09-09T00:00:00"/>
    <x v="1"/>
    <s v="DB-13210"/>
    <s v="Dean Braden"/>
    <x v="0"/>
    <s v="United States"/>
    <x v="3"/>
    <x v="3"/>
    <x v="2"/>
    <s v="FUR-CH-10001146"/>
    <x v="0"/>
    <x v="1"/>
    <s v="Global Task Chair, Black"/>
    <n v="71.245999999999995"/>
    <n v="2"/>
    <n v="-19.338200000000001"/>
    <x v="4"/>
    <x v="4"/>
  </r>
  <r>
    <s v="CA-2016-158778"/>
    <x v="26"/>
    <d v="2016-09-09T00:00:00"/>
    <x v="1"/>
    <s v="DB-13210"/>
    <s v="Dean Braden"/>
    <x v="0"/>
    <s v="United States"/>
    <x v="3"/>
    <x v="3"/>
    <x v="2"/>
    <s v="FUR-CH-10000309"/>
    <x v="0"/>
    <x v="1"/>
    <s v="Global Comet Stacking Arm Chair"/>
    <n v="887.27099999999996"/>
    <n v="3"/>
    <n v="-63.3765"/>
    <x v="4"/>
    <x v="4"/>
  </r>
  <r>
    <s v="CA-2016-101791"/>
    <x v="614"/>
    <d v="2016-05-31T00:00:00"/>
    <x v="1"/>
    <s v="BS-11665"/>
    <s v="Brian Stugart"/>
    <x v="0"/>
    <s v="United States"/>
    <x v="9"/>
    <x v="8"/>
    <x v="3"/>
    <s v="FUR-FU-10003247"/>
    <x v="0"/>
    <x v="3"/>
    <s v="36X48 HARDFLOOR CHAIRMAT"/>
    <n v="25.175999999999998"/>
    <n v="3"/>
    <n v="-33.358199999999997"/>
    <x v="4"/>
    <x v="7"/>
  </r>
  <r>
    <s v="CA-2016-101791"/>
    <x v="614"/>
    <d v="2016-05-31T00:00:00"/>
    <x v="1"/>
    <s v="BS-11665"/>
    <s v="Brian Stugart"/>
    <x v="0"/>
    <s v="United States"/>
    <x v="9"/>
    <x v="8"/>
    <x v="3"/>
    <s v="FUR-FU-10002191"/>
    <x v="0"/>
    <x v="3"/>
    <s v="G.E. Halogen Desk Lamp Bulbs"/>
    <n v="5.5839999999999996"/>
    <n v="2"/>
    <n v="-1.6752"/>
    <x v="4"/>
    <x v="7"/>
  </r>
  <r>
    <s v="CA-2015-113740"/>
    <x v="108"/>
    <d v="2015-08-28T00:00:00"/>
    <x v="0"/>
    <s v="SC-20380"/>
    <s v="Shahid Collister"/>
    <x v="0"/>
    <s v="United States"/>
    <x v="13"/>
    <x v="7"/>
    <x v="2"/>
    <s v="FUR-FU-10000010"/>
    <x v="0"/>
    <x v="3"/>
    <s v="DAX Value U-Channel Document Frames, Easel Back"/>
    <n v="14.91"/>
    <n v="3"/>
    <n v="4.6220999999999997"/>
    <x v="4"/>
    <x v="10"/>
  </r>
  <r>
    <s v="CA-2017-151225"/>
    <x v="526"/>
    <d v="2017-10-29T00:00:00"/>
    <x v="2"/>
    <s v="JM-15655"/>
    <s v="Jim Mitchum"/>
    <x v="1"/>
    <s v="United States"/>
    <x v="2"/>
    <x v="2"/>
    <x v="1"/>
    <s v="FUR-TA-10001539"/>
    <x v="0"/>
    <x v="2"/>
    <s v="Chromcraft Rectangular Conference Tables"/>
    <n v="189.57599999999999"/>
    <n v="1"/>
    <n v="9.4787999999999997"/>
    <x v="3"/>
    <x v="1"/>
  </r>
  <r>
    <s v="US-2014-144078"/>
    <x v="306"/>
    <d v="2014-11-29T00:00:00"/>
    <x v="1"/>
    <s v="RB-19435"/>
    <s v="Richard Bierner"/>
    <x v="0"/>
    <s v="United States"/>
    <x v="2"/>
    <x v="2"/>
    <x v="1"/>
    <s v="FUR-CH-10002335"/>
    <x v="0"/>
    <x v="1"/>
    <s v="Hon GuestStacker Chair"/>
    <n v="725.34400000000005"/>
    <n v="4"/>
    <n v="54.400799999999997"/>
    <x v="4"/>
    <x v="0"/>
  </r>
  <r>
    <s v="CA-2015-136805"/>
    <x v="773"/>
    <d v="2015-05-27T00:00:00"/>
    <x v="0"/>
    <s v="NM-18445"/>
    <s v="Nathan Mautz"/>
    <x v="2"/>
    <s v="United States"/>
    <x v="25"/>
    <x v="17"/>
    <x v="3"/>
    <s v="FUR-FU-10003724"/>
    <x v="0"/>
    <x v="3"/>
    <s v="Westinghouse Clip-On Gooseneck Lamps"/>
    <n v="75.33"/>
    <n v="9"/>
    <n v="19.585799999999999"/>
    <x v="4"/>
    <x v="7"/>
  </r>
  <r>
    <s v="CA-2014-162089"/>
    <x v="693"/>
    <d v="2014-04-01T00:00:00"/>
    <x v="2"/>
    <s v="MP-17470"/>
    <s v="Mark Packer"/>
    <x v="2"/>
    <s v="United States"/>
    <x v="193"/>
    <x v="5"/>
    <x v="3"/>
    <s v="FUR-CH-10002304"/>
    <x v="0"/>
    <x v="1"/>
    <s v="Global Stack Chair without Arms, Black"/>
    <n v="127.30200000000001"/>
    <n v="7"/>
    <n v="-9.093"/>
    <x v="3"/>
    <x v="9"/>
  </r>
  <r>
    <s v="US-2017-158526"/>
    <x v="297"/>
    <d v="2018-01-01T00:00:00"/>
    <x v="0"/>
    <s v="KH-16360"/>
    <s v="Katherine Hughes"/>
    <x v="0"/>
    <s v="United States"/>
    <x v="74"/>
    <x v="0"/>
    <x v="0"/>
    <s v="FUR-CH-10002602"/>
    <x v="0"/>
    <x v="1"/>
    <s v="DMI Arturo Collection Mission-style Design Wood Chair"/>
    <n v="1207.8399999999999"/>
    <n v="8"/>
    <n v="314.03840000000002"/>
    <x v="0"/>
    <x v="5"/>
  </r>
  <r>
    <s v="US-2017-158526"/>
    <x v="297"/>
    <d v="2018-01-01T00:00:00"/>
    <x v="0"/>
    <s v="KH-16360"/>
    <s v="Katherine Hughes"/>
    <x v="0"/>
    <s v="United States"/>
    <x v="74"/>
    <x v="0"/>
    <x v="0"/>
    <s v="FUR-CH-10004495"/>
    <x v="0"/>
    <x v="1"/>
    <s v="Global Leather and Oak Executive Chair, Black"/>
    <n v="300.98"/>
    <n v="1"/>
    <n v="87.284199999999998"/>
    <x v="0"/>
    <x v="5"/>
  </r>
  <r>
    <s v="US-2017-158526"/>
    <x v="297"/>
    <d v="2018-01-01T00:00:00"/>
    <x v="0"/>
    <s v="KH-16360"/>
    <s v="Katherine Hughes"/>
    <x v="0"/>
    <s v="United States"/>
    <x v="74"/>
    <x v="0"/>
    <x v="0"/>
    <s v="FUR-CH-10001270"/>
    <x v="0"/>
    <x v="1"/>
    <s v="Harbour Creations Steel Folding Chair"/>
    <n v="258.75"/>
    <n v="3"/>
    <n v="77.625"/>
    <x v="0"/>
    <x v="5"/>
  </r>
  <r>
    <s v="CA-2017-104885"/>
    <x v="774"/>
    <d v="2017-03-08T00:00:00"/>
    <x v="1"/>
    <s v="DB-13555"/>
    <s v="Dorothy Badders"/>
    <x v="1"/>
    <s v="United States"/>
    <x v="19"/>
    <x v="14"/>
    <x v="2"/>
    <s v="FUR-BO-10003660"/>
    <x v="0"/>
    <x v="0"/>
    <s v="Bush Cubix Collection Bookcases, Fully Assembled"/>
    <n v="441.96"/>
    <n v="2"/>
    <n v="101.6508"/>
    <x v="6"/>
    <x v="9"/>
  </r>
  <r>
    <s v="CA-2015-161452"/>
    <x v="509"/>
    <d v="2015-04-11T00:00:00"/>
    <x v="1"/>
    <s v="CA-11965"/>
    <s v="Carol Adams"/>
    <x v="1"/>
    <s v="United States"/>
    <x v="2"/>
    <x v="2"/>
    <x v="1"/>
    <s v="FUR-CH-10003973"/>
    <x v="0"/>
    <x v="1"/>
    <s v="GuestStacker Chair with Chrome Finish Legs"/>
    <n v="892.22400000000005"/>
    <n v="3"/>
    <n v="89.222399999999993"/>
    <x v="6"/>
    <x v="6"/>
  </r>
  <r>
    <s v="CA-2016-138968"/>
    <x v="775"/>
    <d v="2016-03-16T00:00:00"/>
    <x v="2"/>
    <s v="FC-14335"/>
    <s v="Fred Chung"/>
    <x v="1"/>
    <s v="United States"/>
    <x v="28"/>
    <x v="2"/>
    <x v="1"/>
    <s v="FUR-CH-10000309"/>
    <x v="0"/>
    <x v="1"/>
    <s v="Global Comet Stacking Arm Chair"/>
    <n v="1352.0319999999999"/>
    <n v="4"/>
    <n v="84.501999999999995"/>
    <x v="5"/>
    <x v="9"/>
  </r>
  <r>
    <s v="CA-2015-101889"/>
    <x v="7"/>
    <d v="2015-12-31T00:00:00"/>
    <x v="1"/>
    <s v="DB-13120"/>
    <s v="David Bremer"/>
    <x v="1"/>
    <s v="United States"/>
    <x v="149"/>
    <x v="15"/>
    <x v="2"/>
    <s v="FUR-TA-10004154"/>
    <x v="0"/>
    <x v="2"/>
    <s v="Riverside Furniture Oval Coffee Table, Oval End Table, End Table with Drawer"/>
    <n v="1548.99"/>
    <n v="9"/>
    <n v="-464.697"/>
    <x v="4"/>
    <x v="5"/>
  </r>
  <r>
    <s v="CA-2015-107685"/>
    <x v="737"/>
    <d v="2015-12-02T00:00:00"/>
    <x v="0"/>
    <s v="JM-15865"/>
    <s v="John Murray"/>
    <x v="0"/>
    <s v="United States"/>
    <x v="205"/>
    <x v="34"/>
    <x v="1"/>
    <s v="FUR-FU-10002813"/>
    <x v="0"/>
    <x v="3"/>
    <s v="DAX Contemporary Wood Frame with Silver Metal Mat, Desktop, 11 x 14 Size"/>
    <n v="80.959999999999994"/>
    <n v="4"/>
    <n v="29.145600000000002"/>
    <x v="3"/>
    <x v="0"/>
  </r>
  <r>
    <s v="US-2014-120740"/>
    <x v="776"/>
    <d v="2014-04-15T00:00:00"/>
    <x v="3"/>
    <s v="PS-18970"/>
    <s v="Paul Stevenson"/>
    <x v="2"/>
    <s v="United States"/>
    <x v="2"/>
    <x v="2"/>
    <x v="1"/>
    <s v="FUR-FU-10004091"/>
    <x v="0"/>
    <x v="3"/>
    <s v="Howard Miller 13&quot; Diameter Goldtone Round Wall Clock"/>
    <n v="187.76"/>
    <n v="4"/>
    <n v="76.9816"/>
    <x v="7"/>
    <x v="6"/>
  </r>
  <r>
    <s v="CA-2014-105417"/>
    <x v="777"/>
    <d v="2014-01-12T00:00:00"/>
    <x v="1"/>
    <s v="VS-21820"/>
    <s v="Vivek Sundaresam"/>
    <x v="0"/>
    <s v="United States"/>
    <x v="156"/>
    <x v="5"/>
    <x v="3"/>
    <s v="FUR-FU-10004864"/>
    <x v="0"/>
    <x v="3"/>
    <s v="Howard Miller 14-1/2&quot; Diameter Chrome Round Wall Clock"/>
    <n v="76.727999999999994"/>
    <n v="3"/>
    <n v="-53.709600000000002"/>
    <x v="2"/>
    <x v="8"/>
  </r>
  <r>
    <s v="CA-2014-151967"/>
    <x v="27"/>
    <d v="2014-10-26T00:00:00"/>
    <x v="1"/>
    <s v="NB-18580"/>
    <s v="Nicole Brennan"/>
    <x v="1"/>
    <s v="United States"/>
    <x v="331"/>
    <x v="35"/>
    <x v="0"/>
    <s v="FUR-FU-10000193"/>
    <x v="0"/>
    <x v="3"/>
    <s v="Tenex Chairmats For Use with Hard Floors"/>
    <n v="129.91999999999999"/>
    <n v="4"/>
    <n v="10.393599999999999"/>
    <x v="4"/>
    <x v="1"/>
  </r>
  <r>
    <s v="CA-2015-130974"/>
    <x v="61"/>
    <d v="2015-11-29T00:00:00"/>
    <x v="0"/>
    <s v="MA-17560"/>
    <s v="Matt Abelman"/>
    <x v="2"/>
    <s v="United States"/>
    <x v="114"/>
    <x v="20"/>
    <x v="2"/>
    <s v="FUR-BO-10002916"/>
    <x v="0"/>
    <x v="0"/>
    <s v="Rush Hierlooms Collection 1&quot; Thick Stackable Bookcases"/>
    <n v="170.98"/>
    <n v="1"/>
    <n v="32.486199999999997"/>
    <x v="3"/>
    <x v="0"/>
  </r>
  <r>
    <s v="CA-2015-130974"/>
    <x v="61"/>
    <d v="2015-11-29T00:00:00"/>
    <x v="0"/>
    <s v="MA-17560"/>
    <s v="Matt Abelman"/>
    <x v="2"/>
    <s v="United States"/>
    <x v="114"/>
    <x v="20"/>
    <x v="2"/>
    <s v="FUR-FU-10002506"/>
    <x v="0"/>
    <x v="3"/>
    <s v="Tensor &quot;Hersey Kiss&quot; Styled Floor Lamp"/>
    <n v="38.97"/>
    <n v="3"/>
    <n v="4.6764000000000001"/>
    <x v="3"/>
    <x v="0"/>
  </r>
  <r>
    <s v="CA-2015-130974"/>
    <x v="61"/>
    <d v="2015-11-29T00:00:00"/>
    <x v="0"/>
    <s v="MA-17560"/>
    <s v="Matt Abelman"/>
    <x v="2"/>
    <s v="United States"/>
    <x v="114"/>
    <x v="20"/>
    <x v="2"/>
    <s v="FUR-TA-10004619"/>
    <x v="0"/>
    <x v="2"/>
    <s v="Hon Non-Folding Utility Tables"/>
    <n v="446.06799999999998"/>
    <n v="4"/>
    <n v="0"/>
    <x v="3"/>
    <x v="0"/>
  </r>
  <r>
    <s v="CA-2014-133592"/>
    <x v="252"/>
    <d v="2015-01-07T00:00:00"/>
    <x v="1"/>
    <s v="KM-16375"/>
    <s v="Katherine Murray"/>
    <x v="2"/>
    <s v="United States"/>
    <x v="134"/>
    <x v="38"/>
    <x v="2"/>
    <s v="FUR-BO-10000362"/>
    <x v="0"/>
    <x v="0"/>
    <s v="Sauder Inglewood Library Bookcases"/>
    <n v="341.96"/>
    <n v="2"/>
    <n v="78.650800000000004"/>
    <x v="1"/>
    <x v="5"/>
  </r>
  <r>
    <s v="CA-2014-133592"/>
    <x v="252"/>
    <d v="2015-01-07T00:00:00"/>
    <x v="1"/>
    <s v="KM-16375"/>
    <s v="Katherine Murray"/>
    <x v="2"/>
    <s v="United States"/>
    <x v="134"/>
    <x v="38"/>
    <x v="2"/>
    <s v="FUR-CH-10004218"/>
    <x v="0"/>
    <x v="1"/>
    <s v="Global Fabric Manager's Chair, Dark Gray"/>
    <n v="605.88"/>
    <n v="6"/>
    <n v="151.47"/>
    <x v="1"/>
    <x v="5"/>
  </r>
  <r>
    <s v="CA-2016-169838"/>
    <x v="778"/>
    <d v="2016-11-29T00:00:00"/>
    <x v="1"/>
    <s v="BB-11545"/>
    <s v="Brenda Bowman"/>
    <x v="1"/>
    <s v="United States"/>
    <x v="38"/>
    <x v="17"/>
    <x v="3"/>
    <s v="FUR-TA-10001095"/>
    <x v="0"/>
    <x v="2"/>
    <s v="Chromcraft Round Conference Tables"/>
    <n v="1568.61"/>
    <n v="9"/>
    <n v="329.40809999999999"/>
    <x v="4"/>
    <x v="0"/>
  </r>
  <r>
    <s v="US-2017-128951"/>
    <x v="316"/>
    <d v="2017-07-17T00:00:00"/>
    <x v="2"/>
    <s v="RS-19420"/>
    <s v="Ricardo Sperren"/>
    <x v="1"/>
    <s v="United States"/>
    <x v="122"/>
    <x v="25"/>
    <x v="0"/>
    <s v="FUR-TA-10004575"/>
    <x v="0"/>
    <x v="2"/>
    <s v="Hon 5100 Series Wood Tables"/>
    <n v="872.94"/>
    <n v="3"/>
    <n v="157.1292"/>
    <x v="3"/>
    <x v="3"/>
  </r>
  <r>
    <s v="CA-2016-118899"/>
    <x v="779"/>
    <d v="2016-03-22T00:00:00"/>
    <x v="3"/>
    <s v="MC-17275"/>
    <s v="Marc Crier"/>
    <x v="0"/>
    <s v="United States"/>
    <x v="15"/>
    <x v="13"/>
    <x v="1"/>
    <s v="FUR-CH-10004754"/>
    <x v="0"/>
    <x v="1"/>
    <s v="Global Stack Chair with Arms, Black"/>
    <n v="167.88800000000001"/>
    <n v="7"/>
    <n v="14.690200000000001"/>
    <x v="7"/>
    <x v="9"/>
  </r>
  <r>
    <s v="CA-2017-151799"/>
    <x v="417"/>
    <d v="2017-12-18T00:00:00"/>
    <x v="1"/>
    <s v="BF-11170"/>
    <s v="Ben Ferrer"/>
    <x v="2"/>
    <s v="United States"/>
    <x v="37"/>
    <x v="20"/>
    <x v="2"/>
    <s v="FUR-TA-10003473"/>
    <x v="0"/>
    <x v="2"/>
    <s v="Bretford Rectangular Conference Table Tops"/>
    <n v="526.58199999999999"/>
    <n v="2"/>
    <n v="-52.658200000000001"/>
    <x v="4"/>
    <x v="5"/>
  </r>
  <r>
    <s v="CA-2016-114601"/>
    <x v="238"/>
    <d v="2016-09-02T00:00:00"/>
    <x v="1"/>
    <s v="AA-10480"/>
    <s v="Andrew Allen"/>
    <x v="0"/>
    <s v="United States"/>
    <x v="25"/>
    <x v="17"/>
    <x v="3"/>
    <s v="FUR-TA-10004147"/>
    <x v="0"/>
    <x v="2"/>
    <s v="Hon 4060 Series Tables"/>
    <n v="447.84"/>
    <n v="4"/>
    <n v="98.524799999999999"/>
    <x v="1"/>
    <x v="10"/>
  </r>
  <r>
    <s v="CA-2017-139353"/>
    <x v="780"/>
    <d v="2017-10-30T00:00:00"/>
    <x v="0"/>
    <s v="JM-15250"/>
    <s v="Janet Martin"/>
    <x v="0"/>
    <s v="United States"/>
    <x v="160"/>
    <x v="30"/>
    <x v="0"/>
    <s v="FUR-FU-10001876"/>
    <x v="0"/>
    <x v="3"/>
    <s v="Computer Room Manger, 14&quot;"/>
    <n v="77.951999999999998"/>
    <n v="3"/>
    <n v="15.590400000000001"/>
    <x v="3"/>
    <x v="1"/>
  </r>
  <r>
    <s v="CA-2015-139374"/>
    <x v="468"/>
    <d v="2015-09-14T00:00:00"/>
    <x v="1"/>
    <s v="AR-10345"/>
    <s v="Alex Russell"/>
    <x v="1"/>
    <s v="United States"/>
    <x v="198"/>
    <x v="5"/>
    <x v="3"/>
    <s v="FUR-CH-10003981"/>
    <x v="0"/>
    <x v="1"/>
    <s v="Global Commerce Series Low-Back Swivel/Tilt Chairs"/>
    <n v="179.886"/>
    <n v="1"/>
    <n v="-2.5697999999999999"/>
    <x v="4"/>
    <x v="4"/>
  </r>
  <r>
    <s v="CA-2017-104850"/>
    <x v="234"/>
    <d v="2017-06-19T00:00:00"/>
    <x v="1"/>
    <s v="TW-21025"/>
    <s v="Tamara Willingham"/>
    <x v="2"/>
    <s v="United States"/>
    <x v="15"/>
    <x v="13"/>
    <x v="1"/>
    <s v="FUR-CH-10003774"/>
    <x v="0"/>
    <x v="1"/>
    <s v="Global Wood Trimmed Manager's Task Chair, Khaki"/>
    <n v="291.13600000000002"/>
    <n v="4"/>
    <n v="-25.474399999999999"/>
    <x v="6"/>
    <x v="2"/>
  </r>
  <r>
    <s v="CA-2015-133242"/>
    <x v="311"/>
    <d v="2015-06-24T00:00:00"/>
    <x v="1"/>
    <s v="KH-16510"/>
    <s v="Keith Herrera"/>
    <x v="0"/>
    <s v="United States"/>
    <x v="58"/>
    <x v="25"/>
    <x v="0"/>
    <s v="FUR-FU-10003464"/>
    <x v="0"/>
    <x v="3"/>
    <s v="Seth Thomas 8 1/2&quot; Cubicle Clock"/>
    <n v="60.84"/>
    <n v="3"/>
    <n v="19.468800000000002"/>
    <x v="6"/>
    <x v="2"/>
  </r>
  <r>
    <s v="CA-2015-158323"/>
    <x v="737"/>
    <d v="2015-12-03T00:00:00"/>
    <x v="2"/>
    <s v="AB-10600"/>
    <s v="Ann Blume"/>
    <x v="1"/>
    <s v="United States"/>
    <x v="51"/>
    <x v="30"/>
    <x v="0"/>
    <s v="FUR-FU-10001546"/>
    <x v="0"/>
    <x v="3"/>
    <s v="Dana Swing-Arm Lamps"/>
    <n v="17.088000000000001"/>
    <n v="2"/>
    <n v="1.0680000000000001"/>
    <x v="0"/>
    <x v="0"/>
  </r>
  <r>
    <s v="CA-2017-112844"/>
    <x v="596"/>
    <d v="2017-11-16T00:00:00"/>
    <x v="0"/>
    <s v="SP-20620"/>
    <s v="Stefania Perrino"/>
    <x v="1"/>
    <s v="United States"/>
    <x v="252"/>
    <x v="7"/>
    <x v="2"/>
    <s v="FUR-FU-10004845"/>
    <x v="0"/>
    <x v="3"/>
    <s v="Deflect-o EconoMat Nonstudded, No Bevel Mat"/>
    <n v="154.94999999999999"/>
    <n v="3"/>
    <n v="30.99"/>
    <x v="0"/>
    <x v="0"/>
  </r>
  <r>
    <s v="US-2017-118941"/>
    <x v="661"/>
    <d v="2017-08-12T00:00:00"/>
    <x v="3"/>
    <s v="BB-11545"/>
    <s v="Brenda Bowman"/>
    <x v="1"/>
    <s v="United States"/>
    <x v="11"/>
    <x v="32"/>
    <x v="2"/>
    <s v="FUR-CH-10002331"/>
    <x v="0"/>
    <x v="1"/>
    <s v="Hon 4700 Series Mobuis Mid-Back Task Chairs with Adjustable Arms"/>
    <n v="1779.9"/>
    <n v="5"/>
    <n v="373.779"/>
    <x v="7"/>
    <x v="10"/>
  </r>
  <r>
    <s v="CA-2016-162236"/>
    <x v="114"/>
    <d v="2016-11-06T00:00:00"/>
    <x v="0"/>
    <s v="ER-13855"/>
    <s v="Elpida Rittenbach"/>
    <x v="1"/>
    <s v="United States"/>
    <x v="127"/>
    <x v="30"/>
    <x v="0"/>
    <s v="FUR-TA-10002533"/>
    <x v="0"/>
    <x v="2"/>
    <s v="BPI Conference Tables"/>
    <n v="876.3"/>
    <n v="10"/>
    <n v="-292.10000000000002"/>
    <x v="3"/>
    <x v="0"/>
  </r>
  <r>
    <s v="US-2016-117037"/>
    <x v="586"/>
    <d v="2016-05-20T00:00:00"/>
    <x v="2"/>
    <s v="LW-17215"/>
    <s v="Luke Weiss"/>
    <x v="0"/>
    <s v="United States"/>
    <x v="9"/>
    <x v="8"/>
    <x v="3"/>
    <s v="FUR-FU-10004973"/>
    <x v="0"/>
    <x v="3"/>
    <s v="Flat Face Poster Frame"/>
    <n v="22.608000000000001"/>
    <n v="3"/>
    <n v="-10.1736"/>
    <x v="0"/>
    <x v="7"/>
  </r>
  <r>
    <s v="CA-2017-166184"/>
    <x v="781"/>
    <d v="2017-03-27T00:00:00"/>
    <x v="2"/>
    <s v="HR-14830"/>
    <s v="Harold Ryan"/>
    <x v="1"/>
    <s v="United States"/>
    <x v="13"/>
    <x v="7"/>
    <x v="2"/>
    <s v="FUR-CH-10003396"/>
    <x v="0"/>
    <x v="1"/>
    <s v="Global Deluxe Steno Chair"/>
    <n v="207.846"/>
    <n v="3"/>
    <n v="2.3094000000000001"/>
    <x v="0"/>
    <x v="9"/>
  </r>
  <r>
    <s v="CA-2014-143637"/>
    <x v="782"/>
    <d v="2014-03-29T00:00:00"/>
    <x v="0"/>
    <s v="MS-17710"/>
    <s v="Maurice Satty"/>
    <x v="0"/>
    <s v="United States"/>
    <x v="99"/>
    <x v="2"/>
    <x v="1"/>
    <s v="FUR-FU-10002813"/>
    <x v="0"/>
    <x v="3"/>
    <s v="DAX Contemporary Wood Frame with Silver Metal Mat, Desktop, 11 x 14 Size"/>
    <n v="40.479999999999997"/>
    <n v="2"/>
    <n v="14.572800000000001"/>
    <x v="2"/>
    <x v="9"/>
  </r>
  <r>
    <s v="CA-2016-134334"/>
    <x v="783"/>
    <d v="2016-02-15T00:00:00"/>
    <x v="2"/>
    <s v="DK-13090"/>
    <s v="Dave Kipp"/>
    <x v="0"/>
    <s v="United States"/>
    <x v="218"/>
    <x v="32"/>
    <x v="2"/>
    <s v="FUR-TA-10002356"/>
    <x v="0"/>
    <x v="2"/>
    <s v="Bevis Boat-Shaped Conference Table"/>
    <n v="550.43100000000004"/>
    <n v="3"/>
    <n v="-47.1798"/>
    <x v="5"/>
    <x v="11"/>
  </r>
  <r>
    <s v="CA-2016-134334"/>
    <x v="783"/>
    <d v="2016-02-15T00:00:00"/>
    <x v="2"/>
    <s v="DK-13090"/>
    <s v="Dave Kipp"/>
    <x v="0"/>
    <s v="United States"/>
    <x v="218"/>
    <x v="32"/>
    <x v="2"/>
    <s v="FUR-FU-10003274"/>
    <x v="0"/>
    <x v="3"/>
    <s v="Regeneration Desk Collection"/>
    <n v="10.56"/>
    <n v="6"/>
    <n v="4.6463999999999999"/>
    <x v="5"/>
    <x v="11"/>
  </r>
  <r>
    <s v="US-2017-109316"/>
    <x v="784"/>
    <d v="2017-06-10T00:00:00"/>
    <x v="2"/>
    <s v="MG-17680"/>
    <s v="Maureen Gastineau"/>
    <x v="2"/>
    <s v="United States"/>
    <x v="2"/>
    <x v="2"/>
    <x v="1"/>
    <s v="FUR-BO-10004834"/>
    <x v="0"/>
    <x v="0"/>
    <s v="Riverside Palais Royal Lawyers Bookcase, Royale Cherry Finish"/>
    <n v="1497.6659999999999"/>
    <n v="2"/>
    <n v="140.95679999999999"/>
    <x v="3"/>
    <x v="2"/>
  </r>
  <r>
    <s v="CA-2014-125150"/>
    <x v="785"/>
    <d v="2014-05-23T00:00:00"/>
    <x v="1"/>
    <s v="PW-19030"/>
    <s v="Pauline Webber"/>
    <x v="1"/>
    <s v="United States"/>
    <x v="2"/>
    <x v="2"/>
    <x v="1"/>
    <s v="FUR-CH-10002439"/>
    <x v="0"/>
    <x v="1"/>
    <s v="Iceberg Nesting Folding Chair, 19w x 6d x 43h"/>
    <n v="232.88"/>
    <n v="5"/>
    <n v="17.466000000000001"/>
    <x v="1"/>
    <x v="7"/>
  </r>
  <r>
    <s v="CA-2015-127327"/>
    <x v="136"/>
    <d v="2015-02-07T00:00:00"/>
    <x v="1"/>
    <s v="PW-19030"/>
    <s v="Pauline Webber"/>
    <x v="1"/>
    <s v="United States"/>
    <x v="248"/>
    <x v="7"/>
    <x v="2"/>
    <s v="FUR-CH-10004218"/>
    <x v="0"/>
    <x v="1"/>
    <s v="Global Fabric Manager's Chair, Dark Gray"/>
    <n v="90.882000000000005"/>
    <n v="1"/>
    <n v="15.147"/>
    <x v="4"/>
    <x v="11"/>
  </r>
  <r>
    <s v="CA-2015-137302"/>
    <x v="12"/>
    <d v="2015-05-01T00:00:00"/>
    <x v="1"/>
    <s v="BW-11110"/>
    <s v="Bart Watters"/>
    <x v="1"/>
    <s v="United States"/>
    <x v="53"/>
    <x v="2"/>
    <x v="1"/>
    <s v="FUR-CH-10002017"/>
    <x v="0"/>
    <x v="1"/>
    <s v="SAFCO Optional Arm Kit for Workspace Cribbage Stacking Chair"/>
    <n v="63.936"/>
    <n v="3"/>
    <n v="6.3936000000000002"/>
    <x v="2"/>
    <x v="6"/>
  </r>
  <r>
    <s v="CA-2015-106257"/>
    <x v="315"/>
    <d v="2015-04-17T00:00:00"/>
    <x v="0"/>
    <s v="EB-14110"/>
    <s v="Eugene Barchas"/>
    <x v="0"/>
    <s v="United States"/>
    <x v="2"/>
    <x v="2"/>
    <x v="1"/>
    <s v="FUR-TA-10002530"/>
    <x v="0"/>
    <x v="2"/>
    <s v="Iceberg OfficeWorks 42&quot; Round Tables"/>
    <n v="241.56800000000001"/>
    <n v="2"/>
    <n v="-15.098000000000001"/>
    <x v="4"/>
    <x v="6"/>
  </r>
  <r>
    <s v="CA-2015-149083"/>
    <x v="4"/>
    <d v="2015-09-30T00:00:00"/>
    <x v="1"/>
    <s v="SH-19975"/>
    <s v="Sally Hughsby"/>
    <x v="1"/>
    <s v="United States"/>
    <x v="15"/>
    <x v="13"/>
    <x v="1"/>
    <s v="FUR-CH-10004289"/>
    <x v="0"/>
    <x v="1"/>
    <s v="Global Super Steno Chair"/>
    <n v="307.13600000000002"/>
    <n v="4"/>
    <n v="-11.5176"/>
    <x v="2"/>
    <x v="4"/>
  </r>
  <r>
    <s v="US-2014-137869"/>
    <x v="786"/>
    <d v="2014-04-02T00:00:00"/>
    <x v="1"/>
    <s v="CV-12295"/>
    <s v="Christina VanderZanden"/>
    <x v="0"/>
    <s v="United States"/>
    <x v="67"/>
    <x v="26"/>
    <x v="3"/>
    <s v="FUR-TA-10003954"/>
    <x v="0"/>
    <x v="2"/>
    <s v="Hon 94000 Series Round Tables"/>
    <n v="1184.72"/>
    <n v="4"/>
    <n v="106.62479999999999"/>
    <x v="2"/>
    <x v="9"/>
  </r>
  <r>
    <s v="US-2017-123834"/>
    <x v="720"/>
    <d v="2017-07-25T00:00:00"/>
    <x v="1"/>
    <s v="GM-14500"/>
    <s v="Gene McClure"/>
    <x v="0"/>
    <s v="United States"/>
    <x v="191"/>
    <x v="5"/>
    <x v="3"/>
    <s v="FUR-TA-10001676"/>
    <x v="0"/>
    <x v="2"/>
    <s v="Hon 61000 Series Interactive Training Tables"/>
    <n v="124.404"/>
    <n v="4"/>
    <n v="-21.3264"/>
    <x v="4"/>
    <x v="3"/>
  </r>
  <r>
    <s v="CA-2016-128706"/>
    <x v="787"/>
    <d v="2016-03-02T00:00:00"/>
    <x v="1"/>
    <s v="DW-13540"/>
    <s v="Don Weiss"/>
    <x v="0"/>
    <s v="United States"/>
    <x v="6"/>
    <x v="5"/>
    <x v="3"/>
    <s v="FUR-FU-10004053"/>
    <x v="0"/>
    <x v="3"/>
    <s v="DAX Two-Tone Silver Metal Document Frame"/>
    <n v="16.192"/>
    <n v="2"/>
    <n v="-6.8815999999999997"/>
    <x v="4"/>
    <x v="11"/>
  </r>
  <r>
    <s v="CA-2015-143364"/>
    <x v="788"/>
    <d v="2015-07-19T00:00:00"/>
    <x v="0"/>
    <s v="TG-21310"/>
    <s v="Toby Gnade"/>
    <x v="0"/>
    <s v="United States"/>
    <x v="81"/>
    <x v="22"/>
    <x v="1"/>
    <s v="FUR-CH-10004287"/>
    <x v="0"/>
    <x v="1"/>
    <s v="SAFCO Arco Folding Chair"/>
    <n v="441.92"/>
    <n v="2"/>
    <n v="49.716000000000001"/>
    <x v="2"/>
    <x v="3"/>
  </r>
  <r>
    <s v="CA-2015-143364"/>
    <x v="788"/>
    <d v="2015-07-19T00:00:00"/>
    <x v="0"/>
    <s v="TG-21310"/>
    <s v="Toby Gnade"/>
    <x v="0"/>
    <s v="United States"/>
    <x v="81"/>
    <x v="22"/>
    <x v="1"/>
    <s v="FUR-BO-10001608"/>
    <x v="0"/>
    <x v="0"/>
    <s v="Hon Metal Bookcases, Black"/>
    <n v="127.764"/>
    <n v="6"/>
    <n v="-191.64599999999999"/>
    <x v="2"/>
    <x v="3"/>
  </r>
  <r>
    <s v="CA-2016-101672"/>
    <x v="162"/>
    <d v="2016-10-07T00:00:00"/>
    <x v="1"/>
    <s v="DB-12910"/>
    <s v="Daniel Byrd"/>
    <x v="2"/>
    <s v="United States"/>
    <x v="284"/>
    <x v="2"/>
    <x v="1"/>
    <s v="FUR-CH-10004063"/>
    <x v="0"/>
    <x v="1"/>
    <s v="Global Deluxe High-Back Manager's Chair"/>
    <n v="915.13599999999997"/>
    <n v="4"/>
    <n v="102.9528"/>
    <x v="4"/>
    <x v="1"/>
  </r>
  <r>
    <s v="CA-2016-160241"/>
    <x v="789"/>
    <d v="2016-12-04T00:00:00"/>
    <x v="0"/>
    <s v="DR-12940"/>
    <s v="Daniel Raglin"/>
    <x v="2"/>
    <s v="United States"/>
    <x v="14"/>
    <x v="8"/>
    <x v="3"/>
    <s v="FUR-FU-10003806"/>
    <x v="0"/>
    <x v="3"/>
    <s v="Tenex Chairmat w/ Average Lip, 45&quot; x 53&quot;"/>
    <n v="242.17599999999999"/>
    <n v="4"/>
    <n v="-302.72000000000003"/>
    <x v="2"/>
    <x v="0"/>
  </r>
  <r>
    <s v="CA-2016-155747"/>
    <x v="184"/>
    <d v="2016-06-21T00:00:00"/>
    <x v="1"/>
    <s v="JS-15685"/>
    <s v="Jim Sink"/>
    <x v="1"/>
    <s v="United States"/>
    <x v="3"/>
    <x v="3"/>
    <x v="2"/>
    <s v="FUR-TA-10003392"/>
    <x v="0"/>
    <x v="2"/>
    <s v="Global Adaptabilities Conference Tables"/>
    <n v="337.17599999999999"/>
    <n v="2"/>
    <n v="-118.0116"/>
    <x v="1"/>
    <x v="2"/>
  </r>
  <r>
    <s v="CA-2017-118017"/>
    <x v="587"/>
    <d v="2017-12-06T00:00:00"/>
    <x v="0"/>
    <s v="LC-16870"/>
    <s v="Lena Cacioppo"/>
    <x v="0"/>
    <s v="United States"/>
    <x v="332"/>
    <x v="12"/>
    <x v="1"/>
    <s v="FUR-FU-10004351"/>
    <x v="0"/>
    <x v="3"/>
    <s v="Staple-based wall hangings"/>
    <n v="23.376000000000001"/>
    <n v="3"/>
    <n v="7.0128000000000004"/>
    <x v="0"/>
    <x v="5"/>
  </r>
  <r>
    <s v="CA-2017-118017"/>
    <x v="587"/>
    <d v="2017-12-06T00:00:00"/>
    <x v="0"/>
    <s v="LC-16870"/>
    <s v="Lena Cacioppo"/>
    <x v="0"/>
    <s v="United States"/>
    <x v="332"/>
    <x v="12"/>
    <x v="1"/>
    <s v="FUR-FU-10004270"/>
    <x v="0"/>
    <x v="3"/>
    <s v="Eldon Image Series Desk Accessories, Burgundy"/>
    <n v="16.72"/>
    <n v="5"/>
    <n v="3.3439999999999999"/>
    <x v="0"/>
    <x v="5"/>
  </r>
  <r>
    <s v="CA-2017-118017"/>
    <x v="587"/>
    <d v="2017-12-06T00:00:00"/>
    <x v="0"/>
    <s v="LC-16870"/>
    <s v="Lena Cacioppo"/>
    <x v="0"/>
    <s v="United States"/>
    <x v="332"/>
    <x v="12"/>
    <x v="1"/>
    <s v="FUR-FU-10004053"/>
    <x v="0"/>
    <x v="3"/>
    <s v="DAX Two-Tone Silver Metal Document Frame"/>
    <n v="16.192"/>
    <n v="1"/>
    <n v="4.6551999999999998"/>
    <x v="0"/>
    <x v="5"/>
  </r>
  <r>
    <s v="CA-2016-148684"/>
    <x v="683"/>
    <d v="2016-12-29T00:00:00"/>
    <x v="1"/>
    <s v="TS-21655"/>
    <s v="Trudy Schmidt"/>
    <x v="0"/>
    <s v="United States"/>
    <x v="160"/>
    <x v="31"/>
    <x v="0"/>
    <s v="FUR-FU-10003553"/>
    <x v="0"/>
    <x v="3"/>
    <s v="Howard Miller 13-1/2&quot; Diameter Rosebrook Wall Clock"/>
    <n v="343.85"/>
    <n v="5"/>
    <n v="137.54"/>
    <x v="4"/>
    <x v="5"/>
  </r>
  <r>
    <s v="CA-2017-128363"/>
    <x v="790"/>
    <d v="2017-08-18T00:00:00"/>
    <x v="1"/>
    <s v="DC-12850"/>
    <s v="Dan Campbell"/>
    <x v="0"/>
    <s v="United States"/>
    <x v="10"/>
    <x v="9"/>
    <x v="0"/>
    <s v="FUR-FU-10003268"/>
    <x v="0"/>
    <x v="3"/>
    <s v="Eldon Radial Chair Mat for Low to Medium Pile Carpets"/>
    <n v="31.984000000000002"/>
    <n v="1"/>
    <n v="0"/>
    <x v="2"/>
    <x v="10"/>
  </r>
  <r>
    <s v="CA-2017-128363"/>
    <x v="790"/>
    <d v="2017-08-18T00:00:00"/>
    <x v="1"/>
    <s v="DC-12850"/>
    <s v="Dan Campbell"/>
    <x v="0"/>
    <s v="United States"/>
    <x v="10"/>
    <x v="9"/>
    <x v="0"/>
    <s v="FUR-CH-10002073"/>
    <x v="0"/>
    <x v="1"/>
    <s v="Hon Olson Stacker Chairs"/>
    <n v="423.64800000000002"/>
    <n v="2"/>
    <n v="47.660400000000003"/>
    <x v="2"/>
    <x v="10"/>
  </r>
  <r>
    <s v="CA-2016-149762"/>
    <x v="122"/>
    <d v="2016-12-07T00:00:00"/>
    <x v="1"/>
    <s v="RD-19720"/>
    <s v="Roger Demir"/>
    <x v="0"/>
    <s v="United States"/>
    <x v="333"/>
    <x v="2"/>
    <x v="1"/>
    <s v="FUR-TA-10004147"/>
    <x v="0"/>
    <x v="2"/>
    <s v="Hon 4060 Series Tables"/>
    <n v="268.70400000000001"/>
    <n v="3"/>
    <n v="6.7176"/>
    <x v="4"/>
    <x v="5"/>
  </r>
  <r>
    <s v="CA-2016-149762"/>
    <x v="122"/>
    <d v="2016-12-07T00:00:00"/>
    <x v="1"/>
    <s v="RD-19720"/>
    <s v="Roger Demir"/>
    <x v="0"/>
    <s v="United States"/>
    <x v="333"/>
    <x v="2"/>
    <x v="1"/>
    <s v="FUR-BO-10001337"/>
    <x v="0"/>
    <x v="0"/>
    <s v="O'Sullivan Living Dimensions 2-Shelf Bookcases"/>
    <n v="205.666"/>
    <n v="2"/>
    <n v="-12.098000000000001"/>
    <x v="4"/>
    <x v="5"/>
  </r>
  <r>
    <s v="CA-2016-167605"/>
    <x v="376"/>
    <d v="2016-04-30T00:00:00"/>
    <x v="0"/>
    <s v="RB-19570"/>
    <s v="Rob Beeghly"/>
    <x v="0"/>
    <s v="United States"/>
    <x v="317"/>
    <x v="8"/>
    <x v="3"/>
    <s v="FUR-FU-10001602"/>
    <x v="0"/>
    <x v="3"/>
    <s v="Eldon Delta Triangular Chair Mat, 52&quot; x 58&quot;, Clear"/>
    <n v="30.344000000000001"/>
    <n v="2"/>
    <n v="-31.8612"/>
    <x v="3"/>
    <x v="6"/>
  </r>
  <r>
    <s v="CA-2015-110891"/>
    <x v="141"/>
    <d v="2015-11-24T00:00:00"/>
    <x v="1"/>
    <s v="PO-19195"/>
    <s v="Phillina Ober"/>
    <x v="2"/>
    <s v="United States"/>
    <x v="3"/>
    <x v="3"/>
    <x v="2"/>
    <s v="FUR-CH-10002880"/>
    <x v="0"/>
    <x v="1"/>
    <s v="Global High-Back Leather Tilter, Burgundy"/>
    <n v="344.37200000000001"/>
    <n v="4"/>
    <n v="-93.472399999999993"/>
    <x v="4"/>
    <x v="0"/>
  </r>
  <r>
    <s v="CA-2017-120404"/>
    <x v="93"/>
    <d v="2017-11-24T00:00:00"/>
    <x v="0"/>
    <s v="KH-16330"/>
    <s v="Katharine Harms"/>
    <x v="1"/>
    <s v="United States"/>
    <x v="13"/>
    <x v="7"/>
    <x v="2"/>
    <s v="FUR-FU-10000820"/>
    <x v="0"/>
    <x v="3"/>
    <s v="Tensor Brushed Steel Torchiere Floor Lamp"/>
    <n v="50.97"/>
    <n v="3"/>
    <n v="9.1745999999999999"/>
    <x v="4"/>
    <x v="0"/>
  </r>
  <r>
    <s v="CA-2017-167549"/>
    <x v="730"/>
    <d v="2017-07-27T00:00:00"/>
    <x v="2"/>
    <s v="EM-14200"/>
    <s v="Evan Minnotte"/>
    <x v="2"/>
    <s v="United States"/>
    <x v="144"/>
    <x v="5"/>
    <x v="3"/>
    <s v="FUR-TA-10004767"/>
    <x v="0"/>
    <x v="2"/>
    <s v="Safco Drafting Table"/>
    <n v="298.11599999999999"/>
    <n v="6"/>
    <n v="-4.2587999999999999"/>
    <x v="3"/>
    <x v="3"/>
  </r>
  <r>
    <s v="US-2016-168095"/>
    <x v="791"/>
    <d v="2016-07-20T00:00:00"/>
    <x v="1"/>
    <s v="MC-17425"/>
    <s v="Mark Cousins"/>
    <x v="1"/>
    <s v="United States"/>
    <x v="295"/>
    <x v="36"/>
    <x v="1"/>
    <s v="FUR-CH-10004886"/>
    <x v="0"/>
    <x v="1"/>
    <s v="Bevis Steel Folding Chairs"/>
    <n v="230.28"/>
    <n v="3"/>
    <n v="23.027999999999999"/>
    <x v="2"/>
    <x v="3"/>
  </r>
  <r>
    <s v="CA-2016-146325"/>
    <x v="469"/>
    <d v="2016-12-17T00:00:00"/>
    <x v="2"/>
    <s v="DS-13180"/>
    <s v="David Smith"/>
    <x v="1"/>
    <s v="United States"/>
    <x v="53"/>
    <x v="2"/>
    <x v="1"/>
    <s v="FUR-CH-10001146"/>
    <x v="0"/>
    <x v="1"/>
    <s v="Global Task Chair, Black"/>
    <n v="81.424000000000007"/>
    <n v="2"/>
    <n v="-9.1601999999999997"/>
    <x v="0"/>
    <x v="5"/>
  </r>
  <r>
    <s v="CA-2014-131009"/>
    <x v="29"/>
    <d v="2014-03-05T00:00:00"/>
    <x v="1"/>
    <s v="SC-20380"/>
    <s v="Shahid Collister"/>
    <x v="0"/>
    <s v="United States"/>
    <x v="116"/>
    <x v="5"/>
    <x v="3"/>
    <s v="FUR-CH-10001270"/>
    <x v="0"/>
    <x v="1"/>
    <s v="Harbour Creations Steel Folding Chair"/>
    <n v="362.25"/>
    <n v="6"/>
    <n v="0"/>
    <x v="4"/>
    <x v="9"/>
  </r>
  <r>
    <s v="CA-2014-131009"/>
    <x v="29"/>
    <d v="2014-03-05T00:00:00"/>
    <x v="1"/>
    <s v="SC-20380"/>
    <s v="Shahid Collister"/>
    <x v="0"/>
    <s v="United States"/>
    <x v="116"/>
    <x v="5"/>
    <x v="3"/>
    <s v="FUR-FU-10001095"/>
    <x v="0"/>
    <x v="3"/>
    <s v="DAX Black Cherry Wood-Tone Poster Frame"/>
    <n v="63.552"/>
    <n v="6"/>
    <n v="-34.953600000000002"/>
    <x v="4"/>
    <x v="9"/>
  </r>
  <r>
    <s v="CA-2017-131807"/>
    <x v="702"/>
    <d v="2017-10-10T00:00:00"/>
    <x v="1"/>
    <s v="GG-14650"/>
    <s v="Greg Guthrie"/>
    <x v="1"/>
    <s v="United States"/>
    <x v="297"/>
    <x v="2"/>
    <x v="1"/>
    <s v="FUR-CH-10001190"/>
    <x v="0"/>
    <x v="1"/>
    <s v="Global Deluxe High-Back Office Chair in Storm"/>
    <n v="435.16800000000001"/>
    <n v="4"/>
    <n v="-59.835599999999999"/>
    <x v="2"/>
    <x v="1"/>
  </r>
  <r>
    <s v="CA-2017-131807"/>
    <x v="702"/>
    <d v="2017-10-10T00:00:00"/>
    <x v="1"/>
    <s v="GG-14650"/>
    <s v="Greg Guthrie"/>
    <x v="1"/>
    <s v="United States"/>
    <x v="297"/>
    <x v="2"/>
    <x v="1"/>
    <s v="FUR-FU-10004666"/>
    <x v="0"/>
    <x v="3"/>
    <s v="DAX Clear Channel Poster Frame"/>
    <n v="72.900000000000006"/>
    <n v="5"/>
    <n v="26.972999999999999"/>
    <x v="2"/>
    <x v="1"/>
  </r>
  <r>
    <s v="CA-2017-131807"/>
    <x v="702"/>
    <d v="2017-10-10T00:00:00"/>
    <x v="1"/>
    <s v="GG-14650"/>
    <s v="Greg Guthrie"/>
    <x v="1"/>
    <s v="United States"/>
    <x v="297"/>
    <x v="2"/>
    <x v="1"/>
    <s v="FUR-TA-10004086"/>
    <x v="0"/>
    <x v="2"/>
    <s v="KI Adjustable-Height Table"/>
    <n v="206.352"/>
    <n v="3"/>
    <n v="5.1588000000000003"/>
    <x v="2"/>
    <x v="1"/>
  </r>
  <r>
    <s v="CA-2016-157707"/>
    <x v="792"/>
    <d v="2016-10-12T00:00:00"/>
    <x v="2"/>
    <s v="CC-12610"/>
    <s v="Corey Catlett"/>
    <x v="1"/>
    <s v="United States"/>
    <x v="22"/>
    <x v="12"/>
    <x v="1"/>
    <s v="FUR-BO-10001567"/>
    <x v="0"/>
    <x v="0"/>
    <s v="Bush Westfield Collection Bookcases, Dark Cherry Finish, Fully Assembled"/>
    <n v="90.882000000000005"/>
    <n v="3"/>
    <n v="-190.85220000000001"/>
    <x v="3"/>
    <x v="1"/>
  </r>
  <r>
    <s v="CA-2016-157707"/>
    <x v="792"/>
    <d v="2016-10-12T00:00:00"/>
    <x v="2"/>
    <s v="CC-12610"/>
    <s v="Corey Catlett"/>
    <x v="1"/>
    <s v="United States"/>
    <x v="22"/>
    <x v="12"/>
    <x v="1"/>
    <s v="FUR-CH-10004853"/>
    <x v="0"/>
    <x v="1"/>
    <s v="Global Manager's Adjustable Task Chair, Storm"/>
    <n v="120.78400000000001"/>
    <n v="1"/>
    <n v="13.588200000000001"/>
    <x v="3"/>
    <x v="1"/>
  </r>
  <r>
    <s v="US-2015-126753"/>
    <x v="793"/>
    <d v="2015-08-20T00:00:00"/>
    <x v="1"/>
    <s v="SP-20860"/>
    <s v="Sung Pak"/>
    <x v="1"/>
    <s v="United States"/>
    <x v="3"/>
    <x v="3"/>
    <x v="2"/>
    <s v="FUR-FU-10001488"/>
    <x v="0"/>
    <x v="3"/>
    <s v="Tenex 46&quot; x 60&quot; Computer Anti-Static Chairmat, Rectangular Shaped"/>
    <n v="254.352"/>
    <n v="3"/>
    <n v="0"/>
    <x v="4"/>
    <x v="10"/>
  </r>
  <r>
    <s v="CA-2014-113383"/>
    <x v="767"/>
    <d v="2014-09-13T00:00:00"/>
    <x v="2"/>
    <s v="SF-20065"/>
    <s v="Sandra Flanagan"/>
    <x v="0"/>
    <s v="United States"/>
    <x v="334"/>
    <x v="18"/>
    <x v="2"/>
    <s v="FUR-FU-10001986"/>
    <x v="0"/>
    <x v="3"/>
    <s v="Dana Fluorescent Magnifying Lamp, White, 36&quot;"/>
    <n v="254.9"/>
    <n v="5"/>
    <n v="76.47"/>
    <x v="0"/>
    <x v="4"/>
  </r>
  <r>
    <s v="US-2015-165743"/>
    <x v="141"/>
    <d v="2015-11-23T00:00:00"/>
    <x v="0"/>
    <s v="MM-18055"/>
    <s v="Michelle Moray"/>
    <x v="0"/>
    <s v="United States"/>
    <x v="14"/>
    <x v="12"/>
    <x v="1"/>
    <s v="FUR-BO-10002268"/>
    <x v="0"/>
    <x v="0"/>
    <s v="Sauder Barrister Bookcases"/>
    <n v="145.76400000000001"/>
    <n v="6"/>
    <n v="-247.7988"/>
    <x v="0"/>
    <x v="0"/>
  </r>
  <r>
    <s v="US-2017-105998"/>
    <x v="54"/>
    <d v="2017-11-05T00:00:00"/>
    <x v="2"/>
    <s v="CR-12580"/>
    <s v="Clay Rozendal"/>
    <x v="2"/>
    <s v="United States"/>
    <x v="53"/>
    <x v="2"/>
    <x v="1"/>
    <s v="FUR-TA-10001095"/>
    <x v="0"/>
    <x v="2"/>
    <s v="Chromcraft Round Conference Tables"/>
    <n v="1673.184"/>
    <n v="12"/>
    <n v="20.9148"/>
    <x v="3"/>
    <x v="0"/>
  </r>
  <r>
    <s v="US-2014-148194"/>
    <x v="236"/>
    <d v="2014-05-07T00:00:00"/>
    <x v="2"/>
    <s v="BS-11365"/>
    <s v="Bill Shonely"/>
    <x v="1"/>
    <s v="United States"/>
    <x v="15"/>
    <x v="13"/>
    <x v="1"/>
    <s v="FUR-FU-10001852"/>
    <x v="0"/>
    <x v="3"/>
    <s v="Eldon Regeneration Recycled Desk Accessories, Smoke"/>
    <n v="12.18"/>
    <n v="7"/>
    <n v="3.8976000000000002"/>
    <x v="0"/>
    <x v="7"/>
  </r>
  <r>
    <s v="CA-2014-143210"/>
    <x v="280"/>
    <d v="2014-12-03T00:00:00"/>
    <x v="2"/>
    <s v="AA-10645"/>
    <s v="Anna Andreadi"/>
    <x v="0"/>
    <s v="United States"/>
    <x v="172"/>
    <x v="20"/>
    <x v="2"/>
    <s v="FUR-FU-10003878"/>
    <x v="0"/>
    <x v="3"/>
    <s v="Linden 10&quot; Round Wall Clock, Black"/>
    <n v="45.84"/>
    <n v="3"/>
    <n v="15.585599999999999"/>
    <x v="3"/>
    <x v="5"/>
  </r>
  <r>
    <s v="CA-2014-143210"/>
    <x v="280"/>
    <d v="2014-12-03T00:00:00"/>
    <x v="2"/>
    <s v="AA-10645"/>
    <s v="Anna Andreadi"/>
    <x v="0"/>
    <s v="United States"/>
    <x v="172"/>
    <x v="20"/>
    <x v="2"/>
    <s v="FUR-FU-10002268"/>
    <x v="0"/>
    <x v="3"/>
    <s v="Ultra Door Push Plate"/>
    <n v="9.82"/>
    <n v="2"/>
    <n v="3.2406000000000001"/>
    <x v="3"/>
    <x v="5"/>
  </r>
  <r>
    <s v="CA-2015-110863"/>
    <x v="669"/>
    <d v="2015-11-24T00:00:00"/>
    <x v="1"/>
    <s v="AA-10645"/>
    <s v="Anna Andreadi"/>
    <x v="0"/>
    <s v="United States"/>
    <x v="258"/>
    <x v="37"/>
    <x v="3"/>
    <s v="FUR-CH-10002073"/>
    <x v="0"/>
    <x v="1"/>
    <s v="Hon Olson Stacker Chairs"/>
    <n v="1323.9"/>
    <n v="5"/>
    <n v="383.93099999999998"/>
    <x v="1"/>
    <x v="0"/>
  </r>
  <r>
    <s v="CA-2017-120168"/>
    <x v="794"/>
    <d v="2017-05-25T00:00:00"/>
    <x v="3"/>
    <s v="TB-21625"/>
    <s v="Trudy Brown"/>
    <x v="0"/>
    <s v="United States"/>
    <x v="13"/>
    <x v="7"/>
    <x v="2"/>
    <s v="FUR-FU-10000732"/>
    <x v="0"/>
    <x v="3"/>
    <s v="Eldon 200 Class Desk Accessories"/>
    <n v="18.84"/>
    <n v="3"/>
    <n v="6.0288000000000004"/>
    <x v="7"/>
    <x v="7"/>
  </r>
  <r>
    <s v="US-2014-131870"/>
    <x v="383"/>
    <d v="2014-09-11T00:00:00"/>
    <x v="2"/>
    <s v="NF-18595"/>
    <s v="Nicole Fjeld"/>
    <x v="2"/>
    <s v="United States"/>
    <x v="68"/>
    <x v="15"/>
    <x v="2"/>
    <s v="FUR-FU-10002501"/>
    <x v="0"/>
    <x v="3"/>
    <s v="Nu-Dell Executive Frame"/>
    <n v="60.671999999999997"/>
    <n v="6"/>
    <n v="12.892799999999999"/>
    <x v="3"/>
    <x v="4"/>
  </r>
  <r>
    <s v="CA-2014-129189"/>
    <x v="294"/>
    <d v="2014-07-25T00:00:00"/>
    <x v="1"/>
    <s v="HM-14860"/>
    <s v="Harry Marie"/>
    <x v="1"/>
    <s v="United States"/>
    <x v="144"/>
    <x v="5"/>
    <x v="3"/>
    <s v="FUR-CH-10004997"/>
    <x v="0"/>
    <x v="1"/>
    <s v="Hon Every-Day Series Multi-Task Chairs"/>
    <n v="657.93"/>
    <n v="5"/>
    <n v="-93.99"/>
    <x v="4"/>
    <x v="3"/>
  </r>
  <r>
    <s v="CA-2015-132465"/>
    <x v="795"/>
    <d v="2015-09-15T00:00:00"/>
    <x v="0"/>
    <s v="DM-13525"/>
    <s v="Don Miller"/>
    <x v="1"/>
    <s v="United States"/>
    <x v="13"/>
    <x v="7"/>
    <x v="2"/>
    <s v="FUR-FU-10000277"/>
    <x v="0"/>
    <x v="3"/>
    <s v="Deflect-o DuraMat Antistatic Studded Beveled Mat for Medium Pile Carpeting"/>
    <n v="210.68"/>
    <n v="2"/>
    <n v="50.563200000000002"/>
    <x v="4"/>
    <x v="4"/>
  </r>
  <r>
    <s v="CA-2016-158806"/>
    <x v="796"/>
    <d v="2016-01-11T00:00:00"/>
    <x v="1"/>
    <s v="NM-18520"/>
    <s v="Neoma Murray"/>
    <x v="0"/>
    <s v="United States"/>
    <x v="45"/>
    <x v="5"/>
    <x v="3"/>
    <s v="FUR-FU-10004270"/>
    <x v="0"/>
    <x v="3"/>
    <s v="Executive Impressions 13&quot; Clairmont Wall Clock"/>
    <n v="23.076000000000001"/>
    <n v="3"/>
    <n v="-10.9611"/>
    <x v="4"/>
    <x v="8"/>
  </r>
  <r>
    <s v="CA-2015-119690"/>
    <x v="528"/>
    <d v="2015-06-28T00:00:00"/>
    <x v="2"/>
    <s v="MV-17485"/>
    <s v="Mark Van Huff"/>
    <x v="0"/>
    <s v="United States"/>
    <x v="6"/>
    <x v="5"/>
    <x v="3"/>
    <s v="FUR-FU-10004587"/>
    <x v="0"/>
    <x v="3"/>
    <s v="GE General Use Halogen Bulbs, 100 Watts, 1 Bulb per Pack"/>
    <n v="75.384"/>
    <n v="9"/>
    <n v="-20.730599999999999"/>
    <x v="0"/>
    <x v="2"/>
  </r>
  <r>
    <s v="CA-2017-109393"/>
    <x v="254"/>
    <d v="2017-07-02T00:00:00"/>
    <x v="0"/>
    <s v="JC-15775"/>
    <s v="John Castell"/>
    <x v="0"/>
    <s v="United States"/>
    <x v="2"/>
    <x v="2"/>
    <x v="1"/>
    <s v="FUR-BO-10003966"/>
    <x v="0"/>
    <x v="0"/>
    <s v="Sauder Facets Collection Library, Sky Alder Finish"/>
    <n v="435.99900000000002"/>
    <n v="3"/>
    <n v="5.1294000000000004"/>
    <x v="3"/>
    <x v="2"/>
  </r>
  <r>
    <s v="CA-2017-121489"/>
    <x v="67"/>
    <d v="2017-08-25T00:00:00"/>
    <x v="0"/>
    <s v="CM-11815"/>
    <s v="Candace McMahon"/>
    <x v="1"/>
    <s v="United States"/>
    <x v="15"/>
    <x v="13"/>
    <x v="1"/>
    <s v="FUR-CH-10004698"/>
    <x v="0"/>
    <x v="1"/>
    <s v="Padded Folding Chairs, Black, 4/Carton"/>
    <n v="388.70400000000001"/>
    <n v="6"/>
    <n v="38.870399999999997"/>
    <x v="4"/>
    <x v="10"/>
  </r>
  <r>
    <s v="US-2017-133081"/>
    <x v="745"/>
    <d v="2017-03-15T00:00:00"/>
    <x v="1"/>
    <s v="PV-18985"/>
    <s v="Paul Van Hugh"/>
    <x v="2"/>
    <s v="United States"/>
    <x v="335"/>
    <x v="20"/>
    <x v="2"/>
    <s v="FUR-FU-10001379"/>
    <x v="0"/>
    <x v="3"/>
    <s v="Executive Impressions 16-1/2&quot; Circular Wall Clock"/>
    <n v="26.72"/>
    <n v="1"/>
    <n v="11.7568"/>
    <x v="4"/>
    <x v="9"/>
  </r>
  <r>
    <s v="CA-2014-144974"/>
    <x v="218"/>
    <d v="2014-09-30T00:00:00"/>
    <x v="1"/>
    <s v="CM-12715"/>
    <s v="Craig Molinari"/>
    <x v="1"/>
    <s v="United States"/>
    <x v="3"/>
    <x v="3"/>
    <x v="2"/>
    <s v="FUR-FU-10001095"/>
    <x v="0"/>
    <x v="3"/>
    <s v="DAX Black Cherry Wood-Tone Poster Frame"/>
    <n v="21.184000000000001"/>
    <n v="1"/>
    <n v="4.7664"/>
    <x v="4"/>
    <x v="4"/>
  </r>
  <r>
    <s v="CA-2015-121188"/>
    <x v="797"/>
    <d v="2015-09-04T00:00:00"/>
    <x v="1"/>
    <s v="CB-12025"/>
    <s v="Cassandra Brandow"/>
    <x v="0"/>
    <s v="United States"/>
    <x v="2"/>
    <x v="2"/>
    <x v="1"/>
    <s v="FUR-BO-10004695"/>
    <x v="0"/>
    <x v="0"/>
    <s v="O'Sullivan 2-Door Barrister Bookcase in Odessa Pine"/>
    <n v="307.666"/>
    <n v="2"/>
    <n v="28.956800000000001"/>
    <x v="1"/>
    <x v="10"/>
  </r>
  <r>
    <s v="CA-2015-121188"/>
    <x v="797"/>
    <d v="2015-09-04T00:00:00"/>
    <x v="1"/>
    <s v="CB-12025"/>
    <s v="Cassandra Brandow"/>
    <x v="0"/>
    <s v="United States"/>
    <x v="2"/>
    <x v="2"/>
    <x v="1"/>
    <s v="FUR-FU-10003981"/>
    <x v="0"/>
    <x v="3"/>
    <s v="Eldon Wave Desk Accessories"/>
    <n v="4.16"/>
    <n v="2"/>
    <n v="1.7472000000000001"/>
    <x v="1"/>
    <x v="10"/>
  </r>
  <r>
    <s v="US-2015-160563"/>
    <x v="798"/>
    <d v="2015-10-24T00:00:00"/>
    <x v="1"/>
    <s v="NS-18640"/>
    <s v="Noel Staavos"/>
    <x v="1"/>
    <s v="United States"/>
    <x v="28"/>
    <x v="2"/>
    <x v="1"/>
    <s v="FUR-FU-10001731"/>
    <x v="0"/>
    <x v="3"/>
    <s v="Acrylic Self-Standing Desk Frames"/>
    <n v="16.02"/>
    <n v="6"/>
    <n v="6.0876000000000001"/>
    <x v="4"/>
    <x v="1"/>
  </r>
  <r>
    <s v="CA-2017-151750"/>
    <x v="143"/>
    <d v="2017-01-05T00:00:00"/>
    <x v="1"/>
    <s v="JM-15250"/>
    <s v="Janet Martin"/>
    <x v="0"/>
    <s v="United States"/>
    <x v="156"/>
    <x v="5"/>
    <x v="3"/>
    <s v="FUR-FU-10002116"/>
    <x v="0"/>
    <x v="3"/>
    <s v="Tenex Carpeted, Granite-Look or Clear Contemporary Contour Shape Chair Mats"/>
    <n v="141.41999999999999"/>
    <n v="5"/>
    <n v="-187.38149999999999"/>
    <x v="4"/>
    <x v="8"/>
  </r>
  <r>
    <s v="CA-2017-151750"/>
    <x v="143"/>
    <d v="2017-01-05T00:00:00"/>
    <x v="1"/>
    <s v="JM-15250"/>
    <s v="Janet Martin"/>
    <x v="0"/>
    <s v="United States"/>
    <x v="156"/>
    <x v="5"/>
    <x v="3"/>
    <s v="FUR-CH-10003199"/>
    <x v="0"/>
    <x v="1"/>
    <s v="Office Star - Contemporary Task Swivel Chair"/>
    <n v="310.74400000000003"/>
    <n v="4"/>
    <n v="-26.635200000000001"/>
    <x v="4"/>
    <x v="8"/>
  </r>
  <r>
    <s v="CA-2015-106187"/>
    <x v="799"/>
    <d v="2015-06-29T00:00:00"/>
    <x v="1"/>
    <s v="RF-19345"/>
    <s v="Randy Ferguson"/>
    <x v="1"/>
    <s v="United States"/>
    <x v="336"/>
    <x v="24"/>
    <x v="0"/>
    <s v="FUR-FU-10000794"/>
    <x v="0"/>
    <x v="3"/>
    <s v="Eldon Stackable Tray, Side-Load, Legal, Smoke"/>
    <n v="27.42"/>
    <n v="3"/>
    <n v="9.3228000000000009"/>
    <x v="6"/>
    <x v="2"/>
  </r>
  <r>
    <s v="CA-2016-105753"/>
    <x v="697"/>
    <d v="2016-10-26T00:00:00"/>
    <x v="1"/>
    <s v="LC-16960"/>
    <s v="Lindsay Castell"/>
    <x v="2"/>
    <s v="United States"/>
    <x v="58"/>
    <x v="25"/>
    <x v="0"/>
    <s v="FUR-FU-10000246"/>
    <x v="0"/>
    <x v="3"/>
    <s v="Aluminum Document Frame"/>
    <n v="61.1"/>
    <n v="5"/>
    <n v="18.329999999999998"/>
    <x v="6"/>
    <x v="1"/>
  </r>
  <r>
    <s v="CA-2017-133046"/>
    <x v="534"/>
    <d v="2017-08-01T00:00:00"/>
    <x v="0"/>
    <s v="DK-13375"/>
    <s v="Dennis Kane"/>
    <x v="0"/>
    <s v="United States"/>
    <x v="15"/>
    <x v="13"/>
    <x v="1"/>
    <s v="FUR-FU-10001940"/>
    <x v="0"/>
    <x v="3"/>
    <s v="Staple-based wall hangings"/>
    <n v="23.88"/>
    <n v="3"/>
    <n v="10.507199999999999"/>
    <x v="2"/>
    <x v="3"/>
  </r>
  <r>
    <s v="CA-2017-159149"/>
    <x v="506"/>
    <d v="2017-02-19T00:00:00"/>
    <x v="2"/>
    <s v="CR-12820"/>
    <s v="Cyra Reiten"/>
    <x v="2"/>
    <s v="United States"/>
    <x v="6"/>
    <x v="5"/>
    <x v="3"/>
    <s v="FUR-BO-10001601"/>
    <x v="0"/>
    <x v="0"/>
    <s v="Sauder Mission Library with Doors, Fruitwood Finish"/>
    <n v="89.066400000000002"/>
    <n v="1"/>
    <n v="-17.0274"/>
    <x v="3"/>
    <x v="11"/>
  </r>
  <r>
    <s v="US-2017-167570"/>
    <x v="64"/>
    <d v="2017-12-15T00:00:00"/>
    <x v="1"/>
    <s v="EG-13900"/>
    <s v="Emily Grady"/>
    <x v="0"/>
    <s v="United States"/>
    <x v="3"/>
    <x v="3"/>
    <x v="2"/>
    <s v="FUR-CH-10003396"/>
    <x v="0"/>
    <x v="1"/>
    <s v="Global Deluxe Steno Chair"/>
    <n v="215.54400000000001"/>
    <n v="4"/>
    <n v="-58.504800000000003"/>
    <x v="1"/>
    <x v="5"/>
  </r>
  <r>
    <s v="CA-2017-160122"/>
    <x v="414"/>
    <d v="2017-11-23T00:00:00"/>
    <x v="1"/>
    <s v="RD-19930"/>
    <s v="Russell D'Ascenzo"/>
    <x v="0"/>
    <s v="United States"/>
    <x v="9"/>
    <x v="8"/>
    <x v="3"/>
    <s v="FUR-CH-10000422"/>
    <x v="0"/>
    <x v="1"/>
    <s v="Global Highback Leather Tilter in Burgundy"/>
    <n v="127.386"/>
    <n v="2"/>
    <n v="-25.4772"/>
    <x v="2"/>
    <x v="0"/>
  </r>
  <r>
    <s v="CA-2016-130393"/>
    <x v="193"/>
    <d v="2016-12-03T00:00:00"/>
    <x v="0"/>
    <s v="JM-15865"/>
    <s v="John Murray"/>
    <x v="0"/>
    <s v="United States"/>
    <x v="147"/>
    <x v="5"/>
    <x v="3"/>
    <s v="FUR-CH-10002647"/>
    <x v="0"/>
    <x v="1"/>
    <s v="Situations Contoured Folding Chairs, 4/Set"/>
    <n v="248.43"/>
    <n v="5"/>
    <n v="-17.745000000000001"/>
    <x v="3"/>
    <x v="5"/>
  </r>
  <r>
    <s v="CA-2016-130393"/>
    <x v="193"/>
    <d v="2016-12-03T00:00:00"/>
    <x v="0"/>
    <s v="JM-15865"/>
    <s v="John Murray"/>
    <x v="0"/>
    <s v="United States"/>
    <x v="147"/>
    <x v="5"/>
    <x v="3"/>
    <s v="FUR-CH-10004477"/>
    <x v="0"/>
    <x v="1"/>
    <s v="Global Push Button Manager's Chair, Indigo"/>
    <n v="85.245999999999995"/>
    <n v="2"/>
    <n v="-1.2178"/>
    <x v="3"/>
    <x v="5"/>
  </r>
  <r>
    <s v="CA-2017-101014"/>
    <x v="800"/>
    <d v="2017-09-04T00:00:00"/>
    <x v="1"/>
    <s v="RW-19540"/>
    <s v="Rick Wilson"/>
    <x v="1"/>
    <s v="United States"/>
    <x v="2"/>
    <x v="2"/>
    <x v="1"/>
    <s v="FUR-FU-10003374"/>
    <x v="0"/>
    <x v="3"/>
    <s v="Electrix Fluorescent Magnifier Lamps &amp; Weighted Base"/>
    <n v="148.02000000000001"/>
    <n v="3"/>
    <n v="41.445599999999999"/>
    <x v="6"/>
    <x v="10"/>
  </r>
  <r>
    <s v="US-2017-106551"/>
    <x v="801"/>
    <d v="2017-07-27T00:00:00"/>
    <x v="1"/>
    <s v="EB-13930"/>
    <s v="Eric Barreto"/>
    <x v="0"/>
    <s v="United States"/>
    <x v="9"/>
    <x v="8"/>
    <x v="3"/>
    <s v="FUR-CH-10004997"/>
    <x v="0"/>
    <x v="1"/>
    <s v="Hon Every-Day Series Multi-Task Chairs"/>
    <n v="526.34400000000005"/>
    <n v="4"/>
    <n v="-75.191999999999993"/>
    <x v="2"/>
    <x v="3"/>
  </r>
  <r>
    <s v="CA-2016-116722"/>
    <x v="367"/>
    <d v="2016-11-16T00:00:00"/>
    <x v="1"/>
    <s v="LP-17080"/>
    <s v="Liz Pelletier"/>
    <x v="0"/>
    <s v="United States"/>
    <x v="28"/>
    <x v="2"/>
    <x v="1"/>
    <s v="FUR-FU-10001934"/>
    <x v="0"/>
    <x v="3"/>
    <s v="Magnifier Swing Arm Lamp"/>
    <n v="41.96"/>
    <n v="2"/>
    <n v="10.909599999999999"/>
    <x v="2"/>
    <x v="0"/>
  </r>
  <r>
    <s v="CA-2016-116722"/>
    <x v="367"/>
    <d v="2016-11-16T00:00:00"/>
    <x v="1"/>
    <s v="LP-17080"/>
    <s v="Liz Pelletier"/>
    <x v="0"/>
    <s v="United States"/>
    <x v="28"/>
    <x v="2"/>
    <x v="1"/>
    <s v="FUR-CH-10004997"/>
    <x v="0"/>
    <x v="1"/>
    <s v="Hon Every-Day Series Multi-Task Chairs"/>
    <n v="451.15199999999999"/>
    <n v="3"/>
    <n v="0"/>
    <x v="2"/>
    <x v="0"/>
  </r>
  <r>
    <s v="US-2017-150070"/>
    <x v="87"/>
    <d v="2017-09-12T00:00:00"/>
    <x v="1"/>
    <s v="JA-15970"/>
    <s v="Joseph Airdo"/>
    <x v="0"/>
    <s v="United States"/>
    <x v="337"/>
    <x v="2"/>
    <x v="1"/>
    <s v="FUR-CH-10004860"/>
    <x v="0"/>
    <x v="1"/>
    <s v="Global Low Back Tilter Chair"/>
    <n v="161.56800000000001"/>
    <n v="2"/>
    <n v="-28.2744"/>
    <x v="2"/>
    <x v="4"/>
  </r>
  <r>
    <s v="CA-2017-157350"/>
    <x v="802"/>
    <d v="2017-09-01T00:00:00"/>
    <x v="1"/>
    <s v="DP-13000"/>
    <s v="Darren Powers"/>
    <x v="0"/>
    <s v="United States"/>
    <x v="9"/>
    <x v="8"/>
    <x v="3"/>
    <s v="FUR-FU-10000222"/>
    <x v="0"/>
    <x v="3"/>
    <s v="Seth Thomas 16&quot; Steel Case Clock"/>
    <n v="64.959999999999994"/>
    <n v="5"/>
    <n v="-43.847999999999999"/>
    <x v="6"/>
    <x v="10"/>
  </r>
  <r>
    <s v="CA-2015-131352"/>
    <x v="643"/>
    <d v="2015-10-13T00:00:00"/>
    <x v="1"/>
    <s v="GH-14485"/>
    <s v="Gene Hale"/>
    <x v="1"/>
    <s v="United States"/>
    <x v="144"/>
    <x v="5"/>
    <x v="3"/>
    <s v="FUR-FU-10003708"/>
    <x v="0"/>
    <x v="3"/>
    <s v="Tenex Traditional Chairmats for Medium Pile Carpet, Standard Lip, 36&quot; x 48&quot;"/>
    <n v="72.78"/>
    <n v="3"/>
    <n v="-70.960499999999996"/>
    <x v="2"/>
    <x v="1"/>
  </r>
  <r>
    <s v="CA-2016-118073"/>
    <x v="577"/>
    <d v="2016-08-16T00:00:00"/>
    <x v="1"/>
    <s v="CS-12490"/>
    <s v="Cindy Schnelling"/>
    <x v="1"/>
    <s v="United States"/>
    <x v="49"/>
    <x v="1"/>
    <x v="0"/>
    <s v="FUR-TA-10002533"/>
    <x v="0"/>
    <x v="2"/>
    <s v="BPI Conference Tables"/>
    <n v="562.29250000000002"/>
    <n v="7"/>
    <n v="-255.58750000000001"/>
    <x v="4"/>
    <x v="10"/>
  </r>
  <r>
    <s v="CA-2014-103219"/>
    <x v="77"/>
    <d v="2014-11-13T00:00:00"/>
    <x v="1"/>
    <s v="BF-11215"/>
    <s v="Benjamin Farhat"/>
    <x v="2"/>
    <s v="United States"/>
    <x v="13"/>
    <x v="7"/>
    <x v="2"/>
    <s v="FUR-FU-10004091"/>
    <x v="0"/>
    <x v="3"/>
    <s v="Eldon 200 Class Desk Accessories, Black"/>
    <n v="56.52"/>
    <n v="9"/>
    <n v="21.477599999999999"/>
    <x v="4"/>
    <x v="0"/>
  </r>
  <r>
    <s v="CA-2016-100993"/>
    <x v="223"/>
    <d v="2016-02-10T00:00:00"/>
    <x v="1"/>
    <s v="AZ-10750"/>
    <s v="Annie Zypern"/>
    <x v="0"/>
    <s v="United States"/>
    <x v="53"/>
    <x v="2"/>
    <x v="1"/>
    <s v="FUR-TA-10001095"/>
    <x v="0"/>
    <x v="2"/>
    <s v="Chromcraft Round Conference Tables"/>
    <n v="557.72799999999995"/>
    <n v="4"/>
    <n v="6.9715999999999996"/>
    <x v="2"/>
    <x v="11"/>
  </r>
  <r>
    <s v="CA-2014-167997"/>
    <x v="375"/>
    <d v="2014-01-29T00:00:00"/>
    <x v="2"/>
    <s v="CA-11965"/>
    <s v="Carol Adams"/>
    <x v="1"/>
    <s v="United States"/>
    <x v="338"/>
    <x v="40"/>
    <x v="3"/>
    <s v="FUR-BO-10004409"/>
    <x v="0"/>
    <x v="0"/>
    <s v="Safco Value Mate Series Steel Bookcases, Baked Enamel Finish on Steel, Gray"/>
    <n v="141.96"/>
    <n v="2"/>
    <n v="39.748800000000003"/>
    <x v="0"/>
    <x v="8"/>
  </r>
  <r>
    <s v="CA-2016-131296"/>
    <x v="803"/>
    <d v="2016-10-09T00:00:00"/>
    <x v="1"/>
    <s v="MS-17830"/>
    <s v="Melanie Seite"/>
    <x v="0"/>
    <s v="United States"/>
    <x v="237"/>
    <x v="32"/>
    <x v="2"/>
    <s v="FUR-TA-10002622"/>
    <x v="0"/>
    <x v="2"/>
    <s v="Bush Andora Conference Table, Maple/Graphite Gray Finish"/>
    <n v="239.37200000000001"/>
    <n v="2"/>
    <n v="-23.937200000000001"/>
    <x v="2"/>
    <x v="1"/>
  </r>
  <r>
    <s v="CA-2016-134138"/>
    <x v="285"/>
    <d v="2016-02-20T00:00:00"/>
    <x v="1"/>
    <s v="JD-15790"/>
    <s v="John Dryer"/>
    <x v="0"/>
    <s v="United States"/>
    <x v="31"/>
    <x v="18"/>
    <x v="2"/>
    <s v="FUR-CH-10001545"/>
    <x v="0"/>
    <x v="1"/>
    <s v="Hon Comfortask Task/Swivel Chairs"/>
    <n v="227.96"/>
    <n v="2"/>
    <n v="36.473599999999998"/>
    <x v="4"/>
    <x v="11"/>
  </r>
  <r>
    <s v="CA-2015-168207"/>
    <x v="46"/>
    <d v="2015-11-06T00:00:00"/>
    <x v="1"/>
    <s v="LT-17110"/>
    <s v="Liz Thompson"/>
    <x v="0"/>
    <s v="United States"/>
    <x v="53"/>
    <x v="2"/>
    <x v="1"/>
    <s v="FUR-FU-10004909"/>
    <x v="0"/>
    <x v="3"/>
    <s v="Contemporary Wood/Metal Frame"/>
    <n v="96.96"/>
    <n v="6"/>
    <n v="33.936"/>
    <x v="4"/>
    <x v="0"/>
  </r>
  <r>
    <s v="CA-2015-168207"/>
    <x v="46"/>
    <d v="2015-11-06T00:00:00"/>
    <x v="1"/>
    <s v="LT-17110"/>
    <s v="Liz Thompson"/>
    <x v="0"/>
    <s v="United States"/>
    <x v="53"/>
    <x v="2"/>
    <x v="1"/>
    <s v="FUR-BO-10004357"/>
    <x v="0"/>
    <x v="0"/>
    <s v="O'Sullivan Living Dimensions 3-Shelf Bookcases"/>
    <n v="512.49900000000002"/>
    <n v="3"/>
    <n v="-30.146999999999998"/>
    <x v="4"/>
    <x v="0"/>
  </r>
  <r>
    <s v="CA-2016-144148"/>
    <x v="581"/>
    <d v="2016-08-05T00:00:00"/>
    <x v="1"/>
    <s v="AH-10690"/>
    <s v="Anna HŠberlin"/>
    <x v="1"/>
    <s v="United States"/>
    <x v="28"/>
    <x v="2"/>
    <x v="1"/>
    <s v="FUR-TA-10002774"/>
    <x v="0"/>
    <x v="2"/>
    <s v="Laminate Occasional Tables"/>
    <n v="863.12800000000004"/>
    <n v="7"/>
    <n v="-32.3673"/>
    <x v="2"/>
    <x v="3"/>
  </r>
  <r>
    <s v="CA-2017-107174"/>
    <x v="200"/>
    <d v="2017-11-13T00:00:00"/>
    <x v="1"/>
    <s v="AB-10060"/>
    <s v="Adam Bellavance"/>
    <x v="2"/>
    <s v="United States"/>
    <x v="15"/>
    <x v="13"/>
    <x v="1"/>
    <s v="FUR-TA-10004575"/>
    <x v="0"/>
    <x v="2"/>
    <s v="Hon 5100 Series Wood Tables"/>
    <n v="2036.86"/>
    <n v="7"/>
    <n v="366.63479999999998"/>
    <x v="1"/>
    <x v="0"/>
  </r>
  <r>
    <s v="CA-2017-107174"/>
    <x v="200"/>
    <d v="2017-11-13T00:00:00"/>
    <x v="1"/>
    <s v="AB-10060"/>
    <s v="Adam Bellavance"/>
    <x v="2"/>
    <s v="United States"/>
    <x v="15"/>
    <x v="13"/>
    <x v="1"/>
    <s v="FUR-CH-10003312"/>
    <x v="0"/>
    <x v="1"/>
    <s v="Hon 2090 ÒPillow SoftÓ Series Mid Back Swivel/Tilt Chairs"/>
    <n v="449.56799999999998"/>
    <n v="2"/>
    <n v="-73.0548"/>
    <x v="1"/>
    <x v="0"/>
  </r>
  <r>
    <s v="CA-2015-112767"/>
    <x v="601"/>
    <d v="2015-08-06T00:00:00"/>
    <x v="1"/>
    <s v="DK-12985"/>
    <s v="Darren Koutras"/>
    <x v="0"/>
    <s v="United States"/>
    <x v="76"/>
    <x v="36"/>
    <x v="1"/>
    <s v="FUR-TA-10003469"/>
    <x v="0"/>
    <x v="2"/>
    <s v="Balt Split Level Computer Training Table"/>
    <n v="277.5"/>
    <n v="4"/>
    <n v="-188.7"/>
    <x v="4"/>
    <x v="10"/>
  </r>
  <r>
    <s v="CA-2015-119879"/>
    <x v="32"/>
    <d v="2015-11-25T00:00:00"/>
    <x v="1"/>
    <s v="SS-20410"/>
    <s v="Shahid Shariari"/>
    <x v="0"/>
    <s v="United States"/>
    <x v="3"/>
    <x v="3"/>
    <x v="2"/>
    <s v="FUR-TA-10002958"/>
    <x v="0"/>
    <x v="2"/>
    <s v="Bevis Oval Conference Table, Walnut"/>
    <n v="1252.704"/>
    <n v="8"/>
    <n v="-480.20319999999998"/>
    <x v="4"/>
    <x v="0"/>
  </r>
  <r>
    <s v="CA-2017-155642"/>
    <x v="514"/>
    <d v="2017-05-22T00:00:00"/>
    <x v="1"/>
    <s v="BM-11575"/>
    <s v="Brendan Murry"/>
    <x v="1"/>
    <s v="United States"/>
    <x v="9"/>
    <x v="8"/>
    <x v="3"/>
    <s v="FUR-FU-10004973"/>
    <x v="0"/>
    <x v="3"/>
    <s v="Flat Face Poster Frame"/>
    <n v="22.608000000000001"/>
    <n v="3"/>
    <n v="-10.1736"/>
    <x v="4"/>
    <x v="7"/>
  </r>
  <r>
    <s v="CA-2017-155642"/>
    <x v="514"/>
    <d v="2017-05-22T00:00:00"/>
    <x v="1"/>
    <s v="BM-11575"/>
    <s v="Brendan Murry"/>
    <x v="1"/>
    <s v="United States"/>
    <x v="9"/>
    <x v="8"/>
    <x v="3"/>
    <s v="FUR-FU-10001918"/>
    <x v="0"/>
    <x v="3"/>
    <s v="C-Line Cubicle Keepers Polyproplyene Holder With Velcro Backings"/>
    <n v="1.8919999999999999"/>
    <n v="1"/>
    <n v="-0.99329999999999996"/>
    <x v="4"/>
    <x v="7"/>
  </r>
  <r>
    <s v="CA-2015-136728"/>
    <x v="615"/>
    <d v="2015-09-17T00:00:00"/>
    <x v="0"/>
    <s v="AG-10900"/>
    <s v="Arthur Gainer"/>
    <x v="0"/>
    <s v="United States"/>
    <x v="9"/>
    <x v="8"/>
    <x v="3"/>
    <s v="FUR-CH-10003817"/>
    <x v="0"/>
    <x v="1"/>
    <s v="Global Value Steno Chair, Gray"/>
    <n v="170.072"/>
    <n v="4"/>
    <n v="-12.148"/>
    <x v="4"/>
    <x v="4"/>
  </r>
  <r>
    <s v="US-2017-155866"/>
    <x v="429"/>
    <d v="2017-11-21T00:00:00"/>
    <x v="1"/>
    <s v="CC-12370"/>
    <s v="Christopher Conant"/>
    <x v="0"/>
    <s v="United States"/>
    <x v="13"/>
    <x v="7"/>
    <x v="2"/>
    <s v="FUR-FU-10004091"/>
    <x v="0"/>
    <x v="3"/>
    <s v="Howard Miller 13&quot; Diameter Goldtone Round Wall Clock"/>
    <n v="187.76"/>
    <n v="4"/>
    <n v="76.9816"/>
    <x v="4"/>
    <x v="0"/>
  </r>
  <r>
    <s v="CA-2015-141327"/>
    <x v="737"/>
    <d v="2015-12-03T00:00:00"/>
    <x v="2"/>
    <s v="LR-16915"/>
    <s v="Lena Radford"/>
    <x v="0"/>
    <s v="United States"/>
    <x v="339"/>
    <x v="30"/>
    <x v="0"/>
    <s v="FUR-FU-10000576"/>
    <x v="0"/>
    <x v="3"/>
    <s v="Luxo Professional Fluorescent Magnifier Lamp with Clamp-Mount Base"/>
    <n v="335.74400000000003"/>
    <n v="2"/>
    <n v="25.180800000000001"/>
    <x v="0"/>
    <x v="0"/>
  </r>
  <r>
    <s v="CA-2015-114811"/>
    <x v="428"/>
    <d v="2015-11-08T00:00:00"/>
    <x v="3"/>
    <s v="KD-16495"/>
    <s v="Keith Dawkins"/>
    <x v="1"/>
    <s v="United States"/>
    <x v="13"/>
    <x v="7"/>
    <x v="2"/>
    <s v="FUR-FU-10002240"/>
    <x v="0"/>
    <x v="3"/>
    <s v="Nu-Dell EZ-Mount Plastic Wall Frames"/>
    <n v="11.82"/>
    <n v="3"/>
    <n v="4.7279999999999998"/>
    <x v="7"/>
    <x v="0"/>
  </r>
  <r>
    <s v="CA-2015-114811"/>
    <x v="428"/>
    <d v="2015-11-08T00:00:00"/>
    <x v="3"/>
    <s v="KD-16495"/>
    <s v="Keith Dawkins"/>
    <x v="1"/>
    <s v="United States"/>
    <x v="13"/>
    <x v="7"/>
    <x v="2"/>
    <s v="FUR-CH-10003746"/>
    <x v="0"/>
    <x v="1"/>
    <s v="Hon 4070 Series Pagoda Round Back Stacking Chairs"/>
    <n v="577.76400000000001"/>
    <n v="2"/>
    <n v="115.5528"/>
    <x v="7"/>
    <x v="0"/>
  </r>
  <r>
    <s v="CA-2015-122266"/>
    <x v="12"/>
    <d v="2015-04-30T00:00:00"/>
    <x v="1"/>
    <s v="SA-20830"/>
    <s v="Sue Ann Reed"/>
    <x v="0"/>
    <s v="United States"/>
    <x v="340"/>
    <x v="1"/>
    <x v="0"/>
    <s v="FUR-TA-10000577"/>
    <x v="0"/>
    <x v="2"/>
    <s v="Bretford CR4500 Series Slim Rectangular Table"/>
    <n v="191.5155"/>
    <n v="1"/>
    <n v="-76.606200000000001"/>
    <x v="4"/>
    <x v="6"/>
  </r>
  <r>
    <s v="CA-2016-116337"/>
    <x v="267"/>
    <d v="2016-11-12T00:00:00"/>
    <x v="1"/>
    <s v="MC-17845"/>
    <s v="Michael Chen"/>
    <x v="0"/>
    <s v="United States"/>
    <x v="144"/>
    <x v="5"/>
    <x v="3"/>
    <s v="FUR-FU-10002030"/>
    <x v="0"/>
    <x v="3"/>
    <s v="Executive Impressions 14&quot; Contract Wall Clock with Quartz Movement"/>
    <n v="44.46"/>
    <n v="5"/>
    <n v="-17.783999999999999"/>
    <x v="2"/>
    <x v="0"/>
  </r>
  <r>
    <s v="CA-2014-120775"/>
    <x v="215"/>
    <d v="2014-10-07T00:00:00"/>
    <x v="1"/>
    <s v="RD-19930"/>
    <s v="Russell D'Ascenzo"/>
    <x v="0"/>
    <s v="United States"/>
    <x v="144"/>
    <x v="5"/>
    <x v="3"/>
    <s v="FUR-FU-10000758"/>
    <x v="0"/>
    <x v="3"/>
    <s v="DAX Natural Wood-Tone Poster Frame"/>
    <n v="31.776"/>
    <n v="3"/>
    <n v="-19.0656"/>
    <x v="4"/>
    <x v="1"/>
  </r>
  <r>
    <s v="CA-2016-123050"/>
    <x v="804"/>
    <d v="2016-04-08T00:00:00"/>
    <x v="0"/>
    <s v="BC-11125"/>
    <s v="Becky Castell"/>
    <x v="2"/>
    <s v="United States"/>
    <x v="8"/>
    <x v="7"/>
    <x v="2"/>
    <s v="FUR-FU-10000723"/>
    <x v="0"/>
    <x v="3"/>
    <s v="Deflect-o EconoMat Studded, No Bevel Mat for Low Pile Carpeting"/>
    <n v="82.64"/>
    <n v="2"/>
    <n v="7.4375999999999998"/>
    <x v="4"/>
    <x v="6"/>
  </r>
  <r>
    <s v="CA-2016-162355"/>
    <x v="805"/>
    <d v="2016-07-02T00:00:00"/>
    <x v="0"/>
    <s v="PF-19165"/>
    <s v="Philip Fox"/>
    <x v="0"/>
    <s v="United States"/>
    <x v="244"/>
    <x v="24"/>
    <x v="0"/>
    <s v="FUR-BO-10004695"/>
    <x v="0"/>
    <x v="0"/>
    <s v="O'Sullivan 2-Door Barrister Bookcase in Odessa Pine"/>
    <n v="1266.8599999999999"/>
    <n v="7"/>
    <n v="291.37779999999998"/>
    <x v="3"/>
    <x v="2"/>
  </r>
  <r>
    <s v="CA-2017-102204"/>
    <x v="806"/>
    <d v="2017-05-06T00:00:00"/>
    <x v="1"/>
    <s v="CJ-12010"/>
    <s v="Caroline Jumper"/>
    <x v="0"/>
    <s v="United States"/>
    <x v="51"/>
    <x v="1"/>
    <x v="0"/>
    <s v="FUR-TA-10001889"/>
    <x v="0"/>
    <x v="2"/>
    <s v="Bush Advantage Collection Racetrack Conference Table"/>
    <n v="933.26199999999994"/>
    <n v="4"/>
    <n v="-458.14679999999998"/>
    <x v="2"/>
    <x v="7"/>
  </r>
  <r>
    <s v="CA-2017-102204"/>
    <x v="806"/>
    <d v="2017-05-06T00:00:00"/>
    <x v="1"/>
    <s v="CJ-12010"/>
    <s v="Caroline Jumper"/>
    <x v="0"/>
    <s v="United States"/>
    <x v="51"/>
    <x v="1"/>
    <x v="0"/>
    <s v="FUR-CH-10002024"/>
    <x v="0"/>
    <x v="1"/>
    <s v="HON 5400 Series Task Chairs for Big and Tall"/>
    <n v="2803.92"/>
    <n v="5"/>
    <n v="0"/>
    <x v="2"/>
    <x v="7"/>
  </r>
  <r>
    <s v="CA-2017-103065"/>
    <x v="71"/>
    <d v="2017-10-20T00:00:00"/>
    <x v="3"/>
    <s v="PT-19090"/>
    <s v="Pete Takahito"/>
    <x v="0"/>
    <s v="United States"/>
    <x v="51"/>
    <x v="1"/>
    <x v="0"/>
    <s v="FUR-FU-10000175"/>
    <x v="0"/>
    <x v="3"/>
    <s v="DAX Wood Document Frame."/>
    <n v="43.936"/>
    <n v="4"/>
    <n v="6.0411999999999999"/>
    <x v="7"/>
    <x v="1"/>
  </r>
  <r>
    <s v="CA-2014-109897"/>
    <x v="807"/>
    <d v="2014-08-16T00:00:00"/>
    <x v="1"/>
    <s v="BW-11200"/>
    <s v="Ben Wallace"/>
    <x v="0"/>
    <s v="United States"/>
    <x v="28"/>
    <x v="2"/>
    <x v="1"/>
    <s v="FUR-FU-10002878"/>
    <x v="0"/>
    <x v="3"/>
    <s v="Seth Thomas 14&quot; Day/Date Wall Clock"/>
    <n v="85.44"/>
    <n v="3"/>
    <n v="31.6128"/>
    <x v="4"/>
    <x v="10"/>
  </r>
  <r>
    <s v="CA-2015-140221"/>
    <x v="298"/>
    <d v="2015-03-09T00:00:00"/>
    <x v="0"/>
    <s v="MS-17365"/>
    <s v="Maribeth Schnelling"/>
    <x v="0"/>
    <s v="United States"/>
    <x v="9"/>
    <x v="8"/>
    <x v="3"/>
    <s v="FUR-FU-10000023"/>
    <x v="0"/>
    <x v="3"/>
    <s v="Eldon Wave Desk Accessories"/>
    <n v="4.7119999999999997"/>
    <n v="2"/>
    <n v="-1.8848"/>
    <x v="4"/>
    <x v="9"/>
  </r>
  <r>
    <s v="CA-2017-121790"/>
    <x v="129"/>
    <d v="2017-02-06T00:00:00"/>
    <x v="1"/>
    <s v="LP-17095"/>
    <s v="Liz Preis"/>
    <x v="0"/>
    <s v="United States"/>
    <x v="14"/>
    <x v="8"/>
    <x v="3"/>
    <s v="FUR-TA-10003469"/>
    <x v="0"/>
    <x v="2"/>
    <s v="Balt Split Level Computer Training Table"/>
    <n v="69.375"/>
    <n v="1"/>
    <n v="-47.174999999999997"/>
    <x v="1"/>
    <x v="8"/>
  </r>
  <r>
    <s v="CA-2016-169670"/>
    <x v="683"/>
    <d v="2016-12-31T00:00:00"/>
    <x v="1"/>
    <s v="JE-15715"/>
    <s v="Joe Elijah"/>
    <x v="0"/>
    <s v="United States"/>
    <x v="13"/>
    <x v="7"/>
    <x v="2"/>
    <s v="FUR-CH-10002331"/>
    <x v="0"/>
    <x v="1"/>
    <s v="Hon 4700 Series Mobuis Mid-Back Task Chairs with Adjustable Arms"/>
    <n v="2563.056"/>
    <n v="8"/>
    <n v="313.26240000000001"/>
    <x v="6"/>
    <x v="5"/>
  </r>
  <r>
    <s v="CA-2016-139549"/>
    <x v="697"/>
    <d v="2016-10-25T00:00:00"/>
    <x v="1"/>
    <s v="MY-18295"/>
    <s v="Muhammed Yedwab"/>
    <x v="1"/>
    <s v="United States"/>
    <x v="311"/>
    <x v="2"/>
    <x v="1"/>
    <s v="FUR-CH-10001802"/>
    <x v="0"/>
    <x v="1"/>
    <s v="Hon Every-Day Chair Series Swivel Task Chairs"/>
    <n v="387.13600000000002"/>
    <n v="4"/>
    <n v="4.8391999999999999"/>
    <x v="2"/>
    <x v="1"/>
  </r>
  <r>
    <s v="CA-2017-134810"/>
    <x v="808"/>
    <d v="2017-05-10T00:00:00"/>
    <x v="2"/>
    <s v="MC-17605"/>
    <s v="Matt Connell"/>
    <x v="1"/>
    <s v="United States"/>
    <x v="51"/>
    <x v="30"/>
    <x v="0"/>
    <s v="FUR-CH-10001270"/>
    <x v="0"/>
    <x v="1"/>
    <s v="Harbour Creations Steel Folding Chair"/>
    <n v="207"/>
    <n v="3"/>
    <n v="25.875"/>
    <x v="5"/>
    <x v="7"/>
  </r>
  <r>
    <s v="CA-2015-154284"/>
    <x v="170"/>
    <d v="2015-12-26T00:00:00"/>
    <x v="0"/>
    <s v="SZ-20035"/>
    <s v="Sam Zeldin"/>
    <x v="2"/>
    <s v="United States"/>
    <x v="317"/>
    <x v="8"/>
    <x v="3"/>
    <s v="FUR-FU-10003039"/>
    <x v="0"/>
    <x v="3"/>
    <s v="Howard Miller 11-1/2&quot; Diameter Grantwood Wall Clock"/>
    <n v="51.756"/>
    <n v="3"/>
    <n v="-33.641399999999997"/>
    <x v="2"/>
    <x v="5"/>
  </r>
  <r>
    <s v="US-2015-158911"/>
    <x v="379"/>
    <d v="2015-07-11T00:00:00"/>
    <x v="1"/>
    <s v="RS-19765"/>
    <s v="Roland Schwarz"/>
    <x v="1"/>
    <s v="United States"/>
    <x v="127"/>
    <x v="30"/>
    <x v="0"/>
    <s v="FUR-FU-10003829"/>
    <x v="0"/>
    <x v="3"/>
    <s v="Stackable Trays"/>
    <n v="4.9279999999999999"/>
    <n v="2"/>
    <n v="0.73919999999999997"/>
    <x v="6"/>
    <x v="3"/>
  </r>
  <r>
    <s v="US-2017-167318"/>
    <x v="809"/>
    <d v="2017-08-01T00:00:00"/>
    <x v="1"/>
    <s v="GZ-14545"/>
    <s v="George Zrebassa"/>
    <x v="1"/>
    <s v="United States"/>
    <x v="2"/>
    <x v="2"/>
    <x v="1"/>
    <s v="FUR-CH-10000665"/>
    <x v="0"/>
    <x v="1"/>
    <s v="Global Airflow Leather Mesh Back Chair, Black"/>
    <n v="362.35199999999998"/>
    <n v="3"/>
    <n v="45.293999999999997"/>
    <x v="6"/>
    <x v="3"/>
  </r>
  <r>
    <s v="CA-2017-135419"/>
    <x v="54"/>
    <d v="2017-11-09T00:00:00"/>
    <x v="1"/>
    <s v="BG-11740"/>
    <s v="Bruce Geld"/>
    <x v="0"/>
    <s v="United States"/>
    <x v="175"/>
    <x v="2"/>
    <x v="1"/>
    <s v="FUR-TA-10001086"/>
    <x v="0"/>
    <x v="2"/>
    <s v="SAFCO PlanMaster Boards, 60w x 37-1/2d, White Melamine"/>
    <n v="486.36799999999999"/>
    <n v="4"/>
    <n v="36.477600000000002"/>
    <x v="6"/>
    <x v="0"/>
  </r>
  <r>
    <s v="CA-2014-168312"/>
    <x v="29"/>
    <d v="2014-03-07T00:00:00"/>
    <x v="1"/>
    <s v="GW-14605"/>
    <s v="Giulietta Weimer"/>
    <x v="0"/>
    <s v="United States"/>
    <x v="6"/>
    <x v="5"/>
    <x v="3"/>
    <s v="FUR-TA-10001866"/>
    <x v="0"/>
    <x v="2"/>
    <s v="Bevis Round Conference Room Tables and Bases"/>
    <n v="376.50900000000001"/>
    <n v="3"/>
    <n v="-43.029600000000002"/>
    <x v="6"/>
    <x v="9"/>
  </r>
  <r>
    <s v="US-2017-105935"/>
    <x v="810"/>
    <d v="2017-01-31T00:00:00"/>
    <x v="1"/>
    <s v="BD-11500"/>
    <s v="Bradley Drucker"/>
    <x v="0"/>
    <s v="United States"/>
    <x v="29"/>
    <x v="24"/>
    <x v="0"/>
    <s v="FUR-FU-10002157"/>
    <x v="0"/>
    <x v="3"/>
    <s v="Artistic Insta-Plaque"/>
    <n v="62.72"/>
    <n v="4"/>
    <n v="24.460799999999999"/>
    <x v="2"/>
    <x v="8"/>
  </r>
  <r>
    <s v="CA-2014-161508"/>
    <x v="56"/>
    <d v="2014-07-16T00:00:00"/>
    <x v="1"/>
    <s v="PV-18985"/>
    <s v="Paul Van Hugh"/>
    <x v="2"/>
    <s v="United States"/>
    <x v="256"/>
    <x v="5"/>
    <x v="3"/>
    <s v="FUR-CH-10002126"/>
    <x v="0"/>
    <x v="1"/>
    <s v="Hon Deluxe Fabric Upholstered Stacking Chairs"/>
    <n v="512.35799999999995"/>
    <n v="3"/>
    <n v="-14.6388"/>
    <x v="4"/>
    <x v="3"/>
  </r>
  <r>
    <s v="CA-2016-153269"/>
    <x v="811"/>
    <d v="2016-03-12T00:00:00"/>
    <x v="2"/>
    <s v="PS-18760"/>
    <s v="Pamela Stobb"/>
    <x v="0"/>
    <s v="United States"/>
    <x v="341"/>
    <x v="20"/>
    <x v="2"/>
    <s v="FUR-CH-10002647"/>
    <x v="0"/>
    <x v="1"/>
    <s v="Situations Contoured Folding Chairs, 4/Set"/>
    <n v="354.9"/>
    <n v="5"/>
    <n v="88.724999999999994"/>
    <x v="0"/>
    <x v="9"/>
  </r>
  <r>
    <s v="CA-2017-135076"/>
    <x v="812"/>
    <d v="2017-04-17T00:00:00"/>
    <x v="1"/>
    <s v="YS-21880"/>
    <s v="Yana Sorensen"/>
    <x v="1"/>
    <s v="United States"/>
    <x v="170"/>
    <x v="2"/>
    <x v="1"/>
    <s v="FUR-CH-10003774"/>
    <x v="0"/>
    <x v="1"/>
    <s v="Global Wood Trimmed Manager's Task Chair, Khaki"/>
    <n v="436.70400000000001"/>
    <n v="6"/>
    <n v="-38.211599999999997"/>
    <x v="4"/>
    <x v="6"/>
  </r>
  <r>
    <s v="US-2014-155544"/>
    <x v="813"/>
    <d v="2014-03-25T00:00:00"/>
    <x v="1"/>
    <s v="GM-14440"/>
    <s v="Gary McGarr"/>
    <x v="0"/>
    <s v="United States"/>
    <x v="270"/>
    <x v="9"/>
    <x v="0"/>
    <s v="FUR-FU-10001473"/>
    <x v="0"/>
    <x v="3"/>
    <s v="DAX Wood Document Frame"/>
    <n v="32.951999999999998"/>
    <n v="3"/>
    <n v="6.5903999999999998"/>
    <x v="4"/>
    <x v="9"/>
  </r>
  <r>
    <s v="US-2014-155544"/>
    <x v="813"/>
    <d v="2014-03-25T00:00:00"/>
    <x v="1"/>
    <s v="GM-14440"/>
    <s v="Gary McGarr"/>
    <x v="0"/>
    <s v="United States"/>
    <x v="270"/>
    <x v="9"/>
    <x v="0"/>
    <s v="FUR-CH-10000422"/>
    <x v="0"/>
    <x v="1"/>
    <s v="Global Highback Leather Tilter in Burgundy"/>
    <n v="218.376"/>
    <n v="3"/>
    <n v="-10.918799999999999"/>
    <x v="4"/>
    <x v="9"/>
  </r>
  <r>
    <s v="US-2015-115238"/>
    <x v="11"/>
    <d v="2015-05-04T00:00:00"/>
    <x v="1"/>
    <s v="JW-15220"/>
    <s v="Jane Waco"/>
    <x v="1"/>
    <s v="United States"/>
    <x v="37"/>
    <x v="20"/>
    <x v="2"/>
    <s v="FUR-FU-10002960"/>
    <x v="0"/>
    <x v="3"/>
    <s v="Eldon 200 Class Desk Accessories, Burgundy"/>
    <n v="31.4"/>
    <n v="5"/>
    <n v="13.188000000000001"/>
    <x v="4"/>
    <x v="6"/>
  </r>
  <r>
    <s v="US-2015-115238"/>
    <x v="11"/>
    <d v="2015-05-04T00:00:00"/>
    <x v="1"/>
    <s v="JW-15220"/>
    <s v="Jane Waco"/>
    <x v="1"/>
    <s v="United States"/>
    <x v="37"/>
    <x v="20"/>
    <x v="2"/>
    <s v="FUR-FU-10002445"/>
    <x v="0"/>
    <x v="3"/>
    <s v="DAX Two-Tone Rosewood/Black Document Frame, Desktop, 5 x 7"/>
    <n v="9.48"/>
    <n v="1"/>
    <n v="3.7919999999999998"/>
    <x v="4"/>
    <x v="6"/>
  </r>
  <r>
    <s v="US-2015-115238"/>
    <x v="11"/>
    <d v="2015-05-04T00:00:00"/>
    <x v="1"/>
    <s v="JW-15220"/>
    <s v="Jane Waco"/>
    <x v="1"/>
    <s v="United States"/>
    <x v="37"/>
    <x v="20"/>
    <x v="2"/>
    <s v="FUR-FU-10001025"/>
    <x v="0"/>
    <x v="3"/>
    <s v="Eldon Imˆge Series Desk Accessories, Clear"/>
    <n v="24.3"/>
    <n v="5"/>
    <n v="10.449"/>
    <x v="4"/>
    <x v="6"/>
  </r>
  <r>
    <s v="CA-2017-132199"/>
    <x v="814"/>
    <d v="2017-05-08T00:00:00"/>
    <x v="1"/>
    <s v="BO-11350"/>
    <s v="Bill Overfelt"/>
    <x v="1"/>
    <s v="United States"/>
    <x v="3"/>
    <x v="3"/>
    <x v="2"/>
    <s v="FUR-FU-10004245"/>
    <x v="0"/>
    <x v="3"/>
    <s v="Career Cubicle Clock, 8 1/4&quot;, Black"/>
    <n v="32.448"/>
    <n v="2"/>
    <n v="7.3007999999999997"/>
    <x v="2"/>
    <x v="7"/>
  </r>
  <r>
    <s v="CA-2017-132199"/>
    <x v="814"/>
    <d v="2017-05-08T00:00:00"/>
    <x v="1"/>
    <s v="BO-11350"/>
    <s v="Bill Overfelt"/>
    <x v="1"/>
    <s v="United States"/>
    <x v="3"/>
    <x v="3"/>
    <x v="2"/>
    <s v="FUR-TA-10003748"/>
    <x v="0"/>
    <x v="2"/>
    <s v="Bevis 36 x 72 Conference Tables"/>
    <n v="373.47"/>
    <n v="5"/>
    <n v="-112.041"/>
    <x v="2"/>
    <x v="7"/>
  </r>
  <r>
    <s v="CA-2016-163174"/>
    <x v="238"/>
    <d v="2016-08-30T00:00:00"/>
    <x v="1"/>
    <s v="XP-21865"/>
    <s v="Xylona Preis"/>
    <x v="0"/>
    <s v="United States"/>
    <x v="342"/>
    <x v="24"/>
    <x v="0"/>
    <s v="FUR-FU-10000308"/>
    <x v="0"/>
    <x v="3"/>
    <s v="Deflect-o Glass Clear Studded Chair Mats"/>
    <n v="186.54"/>
    <n v="3"/>
    <n v="41.038800000000002"/>
    <x v="4"/>
    <x v="10"/>
  </r>
  <r>
    <s v="CA-2017-147207"/>
    <x v="815"/>
    <d v="2017-01-04T00:00:00"/>
    <x v="0"/>
    <s v="TS-21655"/>
    <s v="Trudy Schmidt"/>
    <x v="0"/>
    <s v="United States"/>
    <x v="116"/>
    <x v="5"/>
    <x v="3"/>
    <s v="FUR-TA-10002958"/>
    <x v="0"/>
    <x v="2"/>
    <s v="Bevis Oval Conference Table, Walnut"/>
    <n v="913.43"/>
    <n v="5"/>
    <n v="-169.637"/>
    <x v="3"/>
    <x v="8"/>
  </r>
  <r>
    <s v="CA-2016-118745"/>
    <x v="354"/>
    <d v="2016-06-16T00:00:00"/>
    <x v="1"/>
    <s v="SV-20365"/>
    <s v="Seth Vernon"/>
    <x v="0"/>
    <s v="United States"/>
    <x v="2"/>
    <x v="2"/>
    <x v="1"/>
    <s v="FUR-TA-10003473"/>
    <x v="0"/>
    <x v="2"/>
    <s v="Bretford Rectangular Conference Table Tops"/>
    <n v="902.71199999999999"/>
    <n v="3"/>
    <n v="33.851700000000001"/>
    <x v="2"/>
    <x v="2"/>
  </r>
  <r>
    <s v="CA-2016-163972"/>
    <x v="816"/>
    <d v="2016-10-21T00:00:00"/>
    <x v="1"/>
    <s v="MG-17890"/>
    <s v="Michael Granlund"/>
    <x v="2"/>
    <s v="United States"/>
    <x v="99"/>
    <x v="2"/>
    <x v="1"/>
    <s v="FUR-BO-10003894"/>
    <x v="0"/>
    <x v="0"/>
    <s v="Safco Value Mate Steel Bookcase, Baked Enamel Finish on Steel, Black"/>
    <n v="120.666"/>
    <n v="2"/>
    <n v="21.294"/>
    <x v="4"/>
    <x v="1"/>
  </r>
  <r>
    <s v="CA-2016-113726"/>
    <x v="243"/>
    <d v="2016-12-01T00:00:00"/>
    <x v="1"/>
    <s v="SC-20680"/>
    <s v="Steve Carroll"/>
    <x v="2"/>
    <s v="United States"/>
    <x v="15"/>
    <x v="13"/>
    <x v="1"/>
    <s v="FUR-FU-10003535"/>
    <x v="0"/>
    <x v="3"/>
    <s v="Howard Miller Distant Time Traveler Alarm Clock"/>
    <n v="82.26"/>
    <n v="3"/>
    <n v="33.726599999999998"/>
    <x v="1"/>
    <x v="0"/>
  </r>
  <r>
    <s v="CA-2016-163048"/>
    <x v="817"/>
    <d v="2016-02-15T00:00:00"/>
    <x v="1"/>
    <s v="MH-17440"/>
    <s v="Mark Haberlin"/>
    <x v="1"/>
    <s v="United States"/>
    <x v="6"/>
    <x v="5"/>
    <x v="3"/>
    <s v="FUR-CH-10001270"/>
    <x v="0"/>
    <x v="1"/>
    <s v="Harbour Creations Steel Folding Chair"/>
    <n v="241.5"/>
    <n v="4"/>
    <n v="0"/>
    <x v="1"/>
    <x v="11"/>
  </r>
  <r>
    <s v="CA-2017-110625"/>
    <x v="340"/>
    <d v="2017-12-30T00:00:00"/>
    <x v="1"/>
    <s v="JB-16045"/>
    <s v="Julia Barnett"/>
    <x v="2"/>
    <s v="United States"/>
    <x v="343"/>
    <x v="19"/>
    <x v="2"/>
    <s v="FUR-FU-10001473"/>
    <x v="0"/>
    <x v="3"/>
    <s v="DAX Wood Document Frame"/>
    <n v="27.46"/>
    <n v="2"/>
    <n v="9.8856000000000002"/>
    <x v="1"/>
    <x v="5"/>
  </r>
  <r>
    <s v="CA-2016-142594"/>
    <x v="193"/>
    <d v="2016-12-06T00:00:00"/>
    <x v="0"/>
    <s v="EJ-14155"/>
    <s v="Eva Jacobs"/>
    <x v="0"/>
    <s v="United States"/>
    <x v="20"/>
    <x v="20"/>
    <x v="2"/>
    <s v="FUR-FU-10002045"/>
    <x v="0"/>
    <x v="3"/>
    <s v="Executive Impressions 14&quot;"/>
    <n v="111.15"/>
    <n v="5"/>
    <n v="48.905999999999999"/>
    <x v="2"/>
    <x v="5"/>
  </r>
  <r>
    <s v="CA-2016-142594"/>
    <x v="193"/>
    <d v="2016-12-06T00:00:00"/>
    <x v="0"/>
    <s v="EJ-14155"/>
    <s v="Eva Jacobs"/>
    <x v="0"/>
    <s v="United States"/>
    <x v="20"/>
    <x v="20"/>
    <x v="2"/>
    <s v="FUR-TA-10001095"/>
    <x v="0"/>
    <x v="2"/>
    <s v="Chromcraft Round Conference Tables"/>
    <n v="366.00900000000001"/>
    <n v="3"/>
    <n v="-47.058300000000003"/>
    <x v="2"/>
    <x v="5"/>
  </r>
  <r>
    <s v="CA-2017-120061"/>
    <x v="575"/>
    <d v="2017-11-07T00:00:00"/>
    <x v="0"/>
    <s v="SR-20425"/>
    <s v="Sharelle Roach"/>
    <x v="2"/>
    <s v="United States"/>
    <x v="76"/>
    <x v="15"/>
    <x v="2"/>
    <s v="FUR-CH-10001973"/>
    <x v="0"/>
    <x v="1"/>
    <s v="Office Star Flex Back Scooter Chair with White Frame"/>
    <n v="155.37200000000001"/>
    <n v="2"/>
    <n v="-35.513599999999997"/>
    <x v="2"/>
    <x v="0"/>
  </r>
  <r>
    <s v="CA-2015-110814"/>
    <x v="482"/>
    <d v="2015-12-09T00:00:00"/>
    <x v="0"/>
    <s v="BD-11635"/>
    <s v="Brian Derr"/>
    <x v="0"/>
    <s v="United States"/>
    <x v="13"/>
    <x v="7"/>
    <x v="2"/>
    <s v="FUR-CH-10003535"/>
    <x v="0"/>
    <x v="1"/>
    <s v="Global Armless Task Chair, Royal Blue"/>
    <n v="164.64599999999999"/>
    <n v="3"/>
    <n v="12.8058"/>
    <x v="4"/>
    <x v="5"/>
  </r>
  <r>
    <s v="CA-2017-140480"/>
    <x v="220"/>
    <d v="2017-07-12T00:00:00"/>
    <x v="1"/>
    <s v="HE-14800"/>
    <s v="Harold Engle"/>
    <x v="1"/>
    <s v="United States"/>
    <x v="19"/>
    <x v="14"/>
    <x v="2"/>
    <s v="FUR-FU-10003247"/>
    <x v="0"/>
    <x v="3"/>
    <s v="36X48 HARDFLOOR CHAIRMAT"/>
    <n v="83.92"/>
    <n v="4"/>
    <n v="5.8743999999999996"/>
    <x v="4"/>
    <x v="3"/>
  </r>
  <r>
    <s v="CA-2017-140480"/>
    <x v="220"/>
    <d v="2017-07-12T00:00:00"/>
    <x v="1"/>
    <s v="HE-14800"/>
    <s v="Harold Engle"/>
    <x v="1"/>
    <s v="United States"/>
    <x v="19"/>
    <x v="14"/>
    <x v="2"/>
    <s v="FUR-FU-10001057"/>
    <x v="0"/>
    <x v="3"/>
    <s v="Tensor Track Tree Floor Lamp"/>
    <n v="39.979999999999997"/>
    <n v="2"/>
    <n v="9.1953999999999994"/>
    <x v="4"/>
    <x v="3"/>
  </r>
  <r>
    <s v="CA-2016-130820"/>
    <x v="818"/>
    <d v="2016-11-15T00:00:00"/>
    <x v="3"/>
    <s v="ON-18715"/>
    <s v="Odella Nelson"/>
    <x v="1"/>
    <s v="United States"/>
    <x v="259"/>
    <x v="30"/>
    <x v="0"/>
    <s v="FUR-TA-10001768"/>
    <x v="0"/>
    <x v="2"/>
    <s v="Hon Racetrack Conference Tables"/>
    <n v="630.024"/>
    <n v="4"/>
    <n v="-199.5076"/>
    <x v="7"/>
    <x v="0"/>
  </r>
  <r>
    <s v="CA-2017-132290"/>
    <x v="203"/>
    <d v="2017-03-14T00:00:00"/>
    <x v="1"/>
    <s v="MD-17350"/>
    <s v="Maribeth Dona"/>
    <x v="0"/>
    <s v="United States"/>
    <x v="144"/>
    <x v="5"/>
    <x v="3"/>
    <s v="FUR-TA-10002228"/>
    <x v="0"/>
    <x v="2"/>
    <s v="Bevis Traditional Conference Table Top, Plinth Base"/>
    <n v="933.40800000000002"/>
    <n v="4"/>
    <n v="-173.34719999999999"/>
    <x v="4"/>
    <x v="9"/>
  </r>
  <r>
    <s v="CA-2017-118199"/>
    <x v="808"/>
    <d v="2017-05-11T00:00:00"/>
    <x v="2"/>
    <s v="LB-16795"/>
    <s v="Laurel Beltran"/>
    <x v="2"/>
    <s v="United States"/>
    <x v="15"/>
    <x v="13"/>
    <x v="1"/>
    <s v="FUR-TA-10004154"/>
    <x v="0"/>
    <x v="2"/>
    <s v="Riverside Furniture Oval Coffee Table, Oval End Table, End Table with Drawer"/>
    <n v="286.85000000000002"/>
    <n v="1"/>
    <n v="63.106999999999999"/>
    <x v="3"/>
    <x v="7"/>
  </r>
  <r>
    <s v="CA-2017-150091"/>
    <x v="176"/>
    <d v="2017-10-16T00:00:00"/>
    <x v="1"/>
    <s v="NP-18670"/>
    <s v="Nora Paige"/>
    <x v="0"/>
    <s v="United States"/>
    <x v="174"/>
    <x v="18"/>
    <x v="2"/>
    <s v="FUR-FU-10004053"/>
    <x v="0"/>
    <x v="3"/>
    <s v="DAX Two-Tone Silver Metal Document Frame"/>
    <n v="40.479999999999997"/>
    <n v="2"/>
    <n v="17.406400000000001"/>
    <x v="4"/>
    <x v="1"/>
  </r>
  <r>
    <s v="CA-2017-150091"/>
    <x v="176"/>
    <d v="2017-10-16T00:00:00"/>
    <x v="1"/>
    <s v="NP-18670"/>
    <s v="Nora Paige"/>
    <x v="0"/>
    <s v="United States"/>
    <x v="174"/>
    <x v="18"/>
    <x v="2"/>
    <s v="FUR-BO-10003404"/>
    <x v="0"/>
    <x v="0"/>
    <s v="Global Adaptabilites Bookcase, Cherry/Storm Gray Finish"/>
    <n v="2154.9"/>
    <n v="5"/>
    <n v="129.29400000000001"/>
    <x v="4"/>
    <x v="1"/>
  </r>
  <r>
    <s v="CA-2016-118129"/>
    <x v="645"/>
    <d v="2016-12-21T00:00:00"/>
    <x v="0"/>
    <s v="CL-12565"/>
    <s v="Clay Ludtke"/>
    <x v="0"/>
    <s v="United States"/>
    <x v="288"/>
    <x v="3"/>
    <x v="2"/>
    <s v="FUR-FU-10004904"/>
    <x v="0"/>
    <x v="3"/>
    <s v="Eldon &quot;L&quot; Workstation Diamond Chairmat"/>
    <n v="303.92"/>
    <n v="5"/>
    <n v="-30.391999999999999"/>
    <x v="3"/>
    <x v="5"/>
  </r>
  <r>
    <s v="CA-2017-155621"/>
    <x v="819"/>
    <d v="2017-11-13T00:00:00"/>
    <x v="1"/>
    <s v="KN-16450"/>
    <s v="Kean Nguyen"/>
    <x v="1"/>
    <s v="United States"/>
    <x v="237"/>
    <x v="32"/>
    <x v="2"/>
    <s v="FUR-FU-10003535"/>
    <x v="0"/>
    <x v="3"/>
    <s v="Howard Miller Distant Time Traveler Alarm Clock"/>
    <n v="274.2"/>
    <n v="10"/>
    <n v="112.422"/>
    <x v="2"/>
    <x v="0"/>
  </r>
  <r>
    <s v="US-2014-127635"/>
    <x v="94"/>
    <d v="2014-09-18T00:00:00"/>
    <x v="0"/>
    <s v="SC-20260"/>
    <s v="Scott Cohen"/>
    <x v="1"/>
    <s v="United States"/>
    <x v="177"/>
    <x v="5"/>
    <x v="3"/>
    <s v="FUR-FU-10000550"/>
    <x v="0"/>
    <x v="3"/>
    <s v="Stacking Trays by OIC"/>
    <n v="9.9600000000000009"/>
    <n v="5"/>
    <n v="-6.7229999999999999"/>
    <x v="4"/>
    <x v="4"/>
  </r>
  <r>
    <s v="CA-2017-125451"/>
    <x v="409"/>
    <d v="2017-10-24T00:00:00"/>
    <x v="2"/>
    <s v="AH-10075"/>
    <s v="Adam Hart"/>
    <x v="1"/>
    <s v="United States"/>
    <x v="236"/>
    <x v="38"/>
    <x v="2"/>
    <s v="FUR-TA-10001039"/>
    <x v="0"/>
    <x v="2"/>
    <s v="KI Adjustable-Height Table"/>
    <n v="240.744"/>
    <n v="4"/>
    <n v="-13.7568"/>
    <x v="5"/>
    <x v="1"/>
  </r>
  <r>
    <s v="CA-2017-125451"/>
    <x v="409"/>
    <d v="2017-10-24T00:00:00"/>
    <x v="2"/>
    <s v="AH-10075"/>
    <s v="Adam Hart"/>
    <x v="1"/>
    <s v="United States"/>
    <x v="236"/>
    <x v="38"/>
    <x v="2"/>
    <s v="FUR-FU-10004963"/>
    <x v="0"/>
    <x v="3"/>
    <s v="Eldon 400 Class Desk Accessories, Black Carbon"/>
    <n v="35"/>
    <n v="4"/>
    <n v="14.7"/>
    <x v="5"/>
    <x v="1"/>
  </r>
  <r>
    <s v="CA-2017-125451"/>
    <x v="409"/>
    <d v="2017-10-24T00:00:00"/>
    <x v="2"/>
    <s v="AH-10075"/>
    <s v="Adam Hart"/>
    <x v="1"/>
    <s v="United States"/>
    <x v="236"/>
    <x v="38"/>
    <x v="2"/>
    <s v="FUR-FU-10000277"/>
    <x v="0"/>
    <x v="3"/>
    <s v="Deflect-o DuraMat Antistatic Studded Beveled Mat for Medium Pile Carpeting"/>
    <n v="210.68"/>
    <n v="2"/>
    <n v="50.563200000000002"/>
    <x v="5"/>
    <x v="1"/>
  </r>
  <r>
    <s v="CA-2017-125451"/>
    <x v="409"/>
    <d v="2017-10-24T00:00:00"/>
    <x v="2"/>
    <s v="AH-10075"/>
    <s v="Adam Hart"/>
    <x v="1"/>
    <s v="United States"/>
    <x v="236"/>
    <x v="38"/>
    <x v="2"/>
    <s v="FUR-TA-10004915"/>
    <x v="0"/>
    <x v="2"/>
    <s v="Office Impressions End Table, 20-1/2&quot;H x 24&quot;W x 20&quot;D"/>
    <n v="637.89599999999996"/>
    <n v="3"/>
    <n v="-127.5792"/>
    <x v="5"/>
    <x v="1"/>
  </r>
  <r>
    <s v="CA-2016-125087"/>
    <x v="820"/>
    <d v="2016-04-23T00:00:00"/>
    <x v="1"/>
    <s v="TH-21115"/>
    <s v="Thea Hudgings"/>
    <x v="1"/>
    <s v="United States"/>
    <x v="6"/>
    <x v="5"/>
    <x v="3"/>
    <s v="FUR-CH-10002880"/>
    <x v="0"/>
    <x v="1"/>
    <s v="Global High-Back Leather Tilter, Burgundy"/>
    <n v="344.37200000000001"/>
    <n v="4"/>
    <n v="-93.472399999999993"/>
    <x v="2"/>
    <x v="6"/>
  </r>
  <r>
    <s v="CA-2016-125087"/>
    <x v="820"/>
    <d v="2016-04-23T00:00:00"/>
    <x v="1"/>
    <s v="TH-21115"/>
    <s v="Thea Hudgings"/>
    <x v="1"/>
    <s v="United States"/>
    <x v="6"/>
    <x v="5"/>
    <x v="3"/>
    <s v="FUR-FU-10004748"/>
    <x v="0"/>
    <x v="3"/>
    <s v="Howard Miller 16&quot; Diameter Gallery Wall Clock"/>
    <n v="127.88"/>
    <n v="5"/>
    <n v="-67.137"/>
    <x v="2"/>
    <x v="6"/>
  </r>
  <r>
    <s v="US-2017-118556"/>
    <x v="15"/>
    <d v="2017-06-02T00:00:00"/>
    <x v="0"/>
    <s v="TH-21235"/>
    <s v="Tiffany House"/>
    <x v="1"/>
    <s v="United States"/>
    <x v="9"/>
    <x v="8"/>
    <x v="3"/>
    <s v="FUR-CH-10001146"/>
    <x v="0"/>
    <x v="1"/>
    <s v="Global Task Chair, Black"/>
    <n v="106.869"/>
    <n v="3"/>
    <n v="-29.007300000000001"/>
    <x v="2"/>
    <x v="7"/>
  </r>
  <r>
    <s v="US-2016-164196"/>
    <x v="367"/>
    <d v="2016-11-17T00:00:00"/>
    <x v="1"/>
    <s v="AS-10285"/>
    <s v="Alejandro Savely"/>
    <x v="1"/>
    <s v="United States"/>
    <x v="344"/>
    <x v="6"/>
    <x v="3"/>
    <s v="FUR-TA-10001950"/>
    <x v="0"/>
    <x v="2"/>
    <s v="Balt Solid Wood Round Tables"/>
    <n v="2678.94"/>
    <n v="6"/>
    <n v="241.1046"/>
    <x v="6"/>
    <x v="0"/>
  </r>
  <r>
    <s v="US-2017-132031"/>
    <x v="748"/>
    <d v="2017-04-27T00:00:00"/>
    <x v="1"/>
    <s v="PN-18775"/>
    <s v="Parhena Norris"/>
    <x v="2"/>
    <s v="United States"/>
    <x v="345"/>
    <x v="9"/>
    <x v="0"/>
    <s v="FUR-BO-10001972"/>
    <x v="0"/>
    <x v="0"/>
    <s v="O'Sullivan 4-Shelf Bookcase in Odessa Pine"/>
    <n v="387.13600000000002"/>
    <n v="4"/>
    <n v="-14.5176"/>
    <x v="4"/>
    <x v="6"/>
  </r>
  <r>
    <s v="US-2017-132031"/>
    <x v="748"/>
    <d v="2017-04-27T00:00:00"/>
    <x v="1"/>
    <s v="PN-18775"/>
    <s v="Parhena Norris"/>
    <x v="2"/>
    <s v="United States"/>
    <x v="345"/>
    <x v="9"/>
    <x v="0"/>
    <s v="FUR-FU-10000193"/>
    <x v="0"/>
    <x v="3"/>
    <s v="Tenex Chairmats For Use with Hard Floors"/>
    <n v="77.951999999999998"/>
    <n v="3"/>
    <n v="-11.6928"/>
    <x v="4"/>
    <x v="6"/>
  </r>
  <r>
    <s v="CA-2017-142391"/>
    <x v="118"/>
    <d v="2017-09-24T00:00:00"/>
    <x v="3"/>
    <s v="PB-19150"/>
    <s v="Philip Brown"/>
    <x v="0"/>
    <s v="United States"/>
    <x v="15"/>
    <x v="13"/>
    <x v="1"/>
    <s v="FUR-FU-10002759"/>
    <x v="0"/>
    <x v="3"/>
    <s v="12-1/2 Diameter Round Wall Clock"/>
    <n v="199.8"/>
    <n v="10"/>
    <n v="71.927999999999997"/>
    <x v="7"/>
    <x v="4"/>
  </r>
  <r>
    <s v="CA-2016-158841"/>
    <x v="821"/>
    <d v="2016-02-04T00:00:00"/>
    <x v="0"/>
    <s v="SE-20110"/>
    <s v="Sanjit Engle"/>
    <x v="0"/>
    <s v="United States"/>
    <x v="58"/>
    <x v="25"/>
    <x v="0"/>
    <s v="FUR-FU-10001731"/>
    <x v="0"/>
    <x v="3"/>
    <s v="Acrylic Self-Standing Desk Frames"/>
    <n v="18.690000000000001"/>
    <n v="7"/>
    <n v="7.1021999999999998"/>
    <x v="3"/>
    <x v="11"/>
  </r>
  <r>
    <s v="CA-2015-102316"/>
    <x v="822"/>
    <d v="2015-03-03T00:00:00"/>
    <x v="0"/>
    <s v="DH-13075"/>
    <s v="Dave Hallsten"/>
    <x v="1"/>
    <s v="United States"/>
    <x v="2"/>
    <x v="2"/>
    <x v="1"/>
    <s v="FUR-CH-10003396"/>
    <x v="0"/>
    <x v="1"/>
    <s v="Global Deluxe Steno Chair"/>
    <n v="184.75200000000001"/>
    <n v="3"/>
    <n v="-20.784600000000001"/>
    <x v="3"/>
    <x v="9"/>
  </r>
  <r>
    <s v="CA-2016-109400"/>
    <x v="630"/>
    <d v="2016-05-06T00:00:00"/>
    <x v="1"/>
    <s v="NR-18550"/>
    <s v="Nick Radford"/>
    <x v="0"/>
    <s v="United States"/>
    <x v="45"/>
    <x v="5"/>
    <x v="3"/>
    <s v="FUR-CH-10003298"/>
    <x v="0"/>
    <x v="1"/>
    <s v="Office Star - Contemporary Task Swivel chair with Loop Arms, Charcoal"/>
    <n v="366.74400000000003"/>
    <n v="4"/>
    <n v="-110.0232"/>
    <x v="4"/>
    <x v="7"/>
  </r>
  <r>
    <s v="CA-2016-144645"/>
    <x v="821"/>
    <d v="2016-02-08T00:00:00"/>
    <x v="1"/>
    <s v="NS-18640"/>
    <s v="Noel Staavos"/>
    <x v="1"/>
    <s v="United States"/>
    <x v="6"/>
    <x v="5"/>
    <x v="3"/>
    <s v="FUR-FU-10003601"/>
    <x v="0"/>
    <x v="3"/>
    <s v="Deflect-o RollaMat Studded, Beveled Mat for Medium Pile Carpeting"/>
    <n v="73.784000000000006"/>
    <n v="2"/>
    <n v="-77.473200000000006"/>
    <x v="6"/>
    <x v="11"/>
  </r>
  <r>
    <s v="CA-2017-149720"/>
    <x v="182"/>
    <d v="2017-06-07T00:00:00"/>
    <x v="0"/>
    <s v="EM-14065"/>
    <s v="Erin Mull"/>
    <x v="0"/>
    <s v="United States"/>
    <x v="346"/>
    <x v="5"/>
    <x v="3"/>
    <s v="FUR-FU-10002501"/>
    <x v="0"/>
    <x v="3"/>
    <s v="Nu-Dell Executive Frame"/>
    <n v="30.335999999999999"/>
    <n v="6"/>
    <n v="-17.443200000000001"/>
    <x v="0"/>
    <x v="2"/>
  </r>
  <r>
    <s v="CA-2017-118003"/>
    <x v="423"/>
    <d v="2017-12-10T00:00:00"/>
    <x v="1"/>
    <s v="DO-13645"/>
    <s v="Doug O'Connell"/>
    <x v="0"/>
    <s v="United States"/>
    <x v="309"/>
    <x v="18"/>
    <x v="2"/>
    <s v="FUR-FU-10002506"/>
    <x v="0"/>
    <x v="3"/>
    <s v="Tensor &quot;Hersey Kiss&quot; Styled Floor Lamp"/>
    <n v="12.99"/>
    <n v="1"/>
    <n v="1.5588"/>
    <x v="6"/>
    <x v="5"/>
  </r>
  <r>
    <s v="CA-2017-118003"/>
    <x v="423"/>
    <d v="2017-12-10T00:00:00"/>
    <x v="1"/>
    <s v="DO-13645"/>
    <s v="Doug O'Connell"/>
    <x v="0"/>
    <s v="United States"/>
    <x v="309"/>
    <x v="18"/>
    <x v="2"/>
    <s v="FUR-CH-10003817"/>
    <x v="0"/>
    <x v="1"/>
    <s v="Global Value Steno Chair, Gray"/>
    <n v="182.22"/>
    <n v="3"/>
    <n v="45.555"/>
    <x v="6"/>
    <x v="5"/>
  </r>
  <r>
    <s v="CA-2017-118003"/>
    <x v="423"/>
    <d v="2017-12-10T00:00:00"/>
    <x v="1"/>
    <s v="DO-13645"/>
    <s v="Doug O'Connell"/>
    <x v="0"/>
    <s v="United States"/>
    <x v="309"/>
    <x v="18"/>
    <x v="2"/>
    <s v="FUR-CH-10004860"/>
    <x v="0"/>
    <x v="1"/>
    <s v="Global Low Back Tilter Chair"/>
    <n v="302.94"/>
    <n v="3"/>
    <n v="18.176400000000001"/>
    <x v="6"/>
    <x v="5"/>
  </r>
  <r>
    <s v="CA-2016-141887"/>
    <x v="823"/>
    <d v="2016-01-15T00:00:00"/>
    <x v="1"/>
    <s v="MP-17470"/>
    <s v="Mark Packer"/>
    <x v="2"/>
    <s v="United States"/>
    <x v="29"/>
    <x v="15"/>
    <x v="2"/>
    <s v="FUR-FU-10002268"/>
    <x v="0"/>
    <x v="3"/>
    <s v="Ultra Door Push Plate"/>
    <n v="54.991999999999997"/>
    <n v="14"/>
    <n v="8.9361999999999995"/>
    <x v="4"/>
    <x v="8"/>
  </r>
  <r>
    <s v="CA-2017-161172"/>
    <x v="824"/>
    <d v="2017-03-16T00:00:00"/>
    <x v="3"/>
    <s v="SP-20920"/>
    <s v="Susan Pistek"/>
    <x v="0"/>
    <s v="United States"/>
    <x v="29"/>
    <x v="15"/>
    <x v="2"/>
    <s v="FUR-FU-10003424"/>
    <x v="0"/>
    <x v="3"/>
    <s v="Nu-Dell Oak Frame"/>
    <n v="51.264000000000003"/>
    <n v="6"/>
    <n v="7.6896000000000004"/>
    <x v="7"/>
    <x v="9"/>
  </r>
  <r>
    <s v="CA-2017-137624"/>
    <x v="219"/>
    <d v="2017-11-17T00:00:00"/>
    <x v="1"/>
    <s v="ME-17320"/>
    <s v="Maria Etezadi"/>
    <x v="2"/>
    <s v="United States"/>
    <x v="2"/>
    <x v="2"/>
    <x v="1"/>
    <s v="FUR-CH-10001714"/>
    <x v="0"/>
    <x v="1"/>
    <s v="Global Leather &amp; Oak Executive Chair, Burgundy"/>
    <n v="241.42400000000001"/>
    <n v="2"/>
    <n v="-36.2136"/>
    <x v="1"/>
    <x v="0"/>
  </r>
  <r>
    <s v="CA-2016-156748"/>
    <x v="825"/>
    <d v="2016-12-06T00:00:00"/>
    <x v="1"/>
    <s v="BS-11755"/>
    <s v="Bruce Stewart"/>
    <x v="0"/>
    <s v="United States"/>
    <x v="25"/>
    <x v="17"/>
    <x v="3"/>
    <s v="FUR-CH-10000513"/>
    <x v="0"/>
    <x v="1"/>
    <s v="High-Back Leather Manager's Chair"/>
    <n v="389.97"/>
    <n v="3"/>
    <n v="35.097299999999997"/>
    <x v="6"/>
    <x v="0"/>
  </r>
  <r>
    <s v="CA-2015-157287"/>
    <x v="826"/>
    <d v="2015-12-23T00:00:00"/>
    <x v="2"/>
    <s v="HR-14830"/>
    <s v="Harold Ryan"/>
    <x v="1"/>
    <s v="United States"/>
    <x v="3"/>
    <x v="3"/>
    <x v="2"/>
    <s v="FUR-CH-10001270"/>
    <x v="0"/>
    <x v="1"/>
    <s v="Harbour Creations Steel Folding Chair"/>
    <n v="422.625"/>
    <n v="7"/>
    <n v="0"/>
    <x v="5"/>
    <x v="5"/>
  </r>
  <r>
    <s v="CA-2016-119074"/>
    <x v="827"/>
    <d v="2016-03-31T00:00:00"/>
    <x v="1"/>
    <s v="DS-13180"/>
    <s v="David Smith"/>
    <x v="1"/>
    <s v="United States"/>
    <x v="29"/>
    <x v="24"/>
    <x v="0"/>
    <s v="FUR-FU-10004053"/>
    <x v="0"/>
    <x v="3"/>
    <s v="DAX Two-Tone Silver Metal Document Frame"/>
    <n v="20.239999999999998"/>
    <n v="1"/>
    <n v="8.7032000000000007"/>
    <x v="4"/>
    <x v="9"/>
  </r>
  <r>
    <s v="CA-2016-119074"/>
    <x v="827"/>
    <d v="2016-03-31T00:00:00"/>
    <x v="1"/>
    <s v="DS-13180"/>
    <s v="David Smith"/>
    <x v="1"/>
    <s v="United States"/>
    <x v="29"/>
    <x v="24"/>
    <x v="0"/>
    <s v="FUR-FU-10003731"/>
    <x v="0"/>
    <x v="3"/>
    <s v="Eldon Expressions Wood and Plastic Desk Accessories, Oak"/>
    <n v="39.92"/>
    <n v="4"/>
    <n v="11.1776"/>
    <x v="4"/>
    <x v="9"/>
  </r>
  <r>
    <s v="CA-2015-126186"/>
    <x v="795"/>
    <d v="2015-09-12T00:00:00"/>
    <x v="2"/>
    <s v="GB-14530"/>
    <s v="George Bell"/>
    <x v="1"/>
    <s v="United States"/>
    <x v="14"/>
    <x v="12"/>
    <x v="1"/>
    <s v="FUR-FU-10000073"/>
    <x v="0"/>
    <x v="3"/>
    <s v="Deflect-O Glasstique Clear Desk Accessories"/>
    <n v="24.64"/>
    <n v="4"/>
    <n v="4.0039999999999996"/>
    <x v="5"/>
    <x v="4"/>
  </r>
  <r>
    <s v="CA-2016-102092"/>
    <x v="453"/>
    <d v="2016-12-11T00:00:00"/>
    <x v="2"/>
    <s v="PM-18940"/>
    <s v="Paul MacIntyre"/>
    <x v="0"/>
    <s v="United States"/>
    <x v="76"/>
    <x v="25"/>
    <x v="0"/>
    <s v="FUR-TA-10002530"/>
    <x v="0"/>
    <x v="2"/>
    <s v="Iceberg OfficeWorks 42&quot; Round Tables"/>
    <n v="1056.8599999999999"/>
    <n v="7"/>
    <n v="158.529"/>
    <x v="3"/>
    <x v="5"/>
  </r>
  <r>
    <s v="CA-2016-132829"/>
    <x v="207"/>
    <d v="2016-12-26T00:00:00"/>
    <x v="0"/>
    <s v="LA-16780"/>
    <s v="Laura Armstrong"/>
    <x v="1"/>
    <s v="United States"/>
    <x v="6"/>
    <x v="5"/>
    <x v="3"/>
    <s v="FUR-FU-10000206"/>
    <x v="0"/>
    <x v="3"/>
    <s v="GE General Purpose, Extra Long Life, Showcase &amp; Floodlight Incandescent Bulbs"/>
    <n v="2.3279999999999998"/>
    <n v="2"/>
    <n v="-0.75660000000000005"/>
    <x v="0"/>
    <x v="5"/>
  </r>
  <r>
    <s v="CA-2016-123540"/>
    <x v="828"/>
    <d v="2016-04-06T00:00:00"/>
    <x v="0"/>
    <s v="DJ-13420"/>
    <s v="Denny Joy"/>
    <x v="1"/>
    <s v="United States"/>
    <x v="79"/>
    <x v="16"/>
    <x v="3"/>
    <s v="FUR-CH-10000847"/>
    <x v="0"/>
    <x v="1"/>
    <s v="Global Executive Mid-Back Manager's Chair"/>
    <n v="1454.9"/>
    <n v="5"/>
    <n v="378.274"/>
    <x v="4"/>
    <x v="6"/>
  </r>
  <r>
    <s v="US-2017-108315"/>
    <x v="393"/>
    <d v="2017-05-04T00:00:00"/>
    <x v="1"/>
    <s v="MH-18115"/>
    <s v="Mick Hernandez"/>
    <x v="2"/>
    <s v="United States"/>
    <x v="347"/>
    <x v="1"/>
    <x v="0"/>
    <s v="FUR-FU-10000747"/>
    <x v="0"/>
    <x v="3"/>
    <s v="Tenex B1-RE Series Chair Mats for Low Pile Carpets"/>
    <n v="220.70400000000001"/>
    <n v="6"/>
    <n v="-8.2764000000000006"/>
    <x v="4"/>
    <x v="6"/>
  </r>
  <r>
    <s v="CA-2017-106747"/>
    <x v="209"/>
    <d v="2017-07-04T00:00:00"/>
    <x v="2"/>
    <s v="TS-21505"/>
    <s v="Tony Sayre"/>
    <x v="0"/>
    <s v="United States"/>
    <x v="41"/>
    <x v="28"/>
    <x v="2"/>
    <s v="FUR-FU-10004188"/>
    <x v="0"/>
    <x v="3"/>
    <s v="Luxo Professional Combination Clamp-On Lamps"/>
    <n v="102.3"/>
    <n v="1"/>
    <n v="26.597999999999999"/>
    <x v="5"/>
    <x v="3"/>
  </r>
  <r>
    <s v="CA-2017-146164"/>
    <x v="313"/>
    <d v="2017-12-26T00:00:00"/>
    <x v="1"/>
    <s v="CM-12190"/>
    <s v="Charlotte Melton"/>
    <x v="0"/>
    <s v="United States"/>
    <x v="77"/>
    <x v="11"/>
    <x v="3"/>
    <s v="FUR-TA-10004915"/>
    <x v="0"/>
    <x v="2"/>
    <s v="Office Impressions End Table, 20-1/2&quot;H x 24&quot;W x 20&quot;D"/>
    <n v="607.52"/>
    <n v="2"/>
    <n v="97.203199999999995"/>
    <x v="4"/>
    <x v="5"/>
  </r>
  <r>
    <s v="CA-2014-130673"/>
    <x v="321"/>
    <d v="2014-05-22T00:00:00"/>
    <x v="0"/>
    <s v="MC-17590"/>
    <s v="Matt Collister"/>
    <x v="1"/>
    <s v="United States"/>
    <x v="348"/>
    <x v="5"/>
    <x v="3"/>
    <s v="FUR-FU-10003489"/>
    <x v="0"/>
    <x v="3"/>
    <s v="Contemporary Borderless Frame"/>
    <n v="10.332000000000001"/>
    <n v="3"/>
    <n v="-5.9409000000000001"/>
    <x v="3"/>
    <x v="7"/>
  </r>
  <r>
    <s v="CA-2017-101700"/>
    <x v="748"/>
    <d v="2017-04-26T00:00:00"/>
    <x v="2"/>
    <s v="SO-20335"/>
    <s v="Sean O'Donnell"/>
    <x v="0"/>
    <s v="United States"/>
    <x v="349"/>
    <x v="12"/>
    <x v="1"/>
    <s v="FUR-FU-10001025"/>
    <x v="0"/>
    <x v="3"/>
    <s v="Eldon Imˆge Series Desk Accessories, Clear"/>
    <n v="11.664"/>
    <n v="3"/>
    <n v="3.3534000000000002"/>
    <x v="0"/>
    <x v="6"/>
  </r>
  <r>
    <s v="CA-2014-151946"/>
    <x v="829"/>
    <d v="2014-06-09T00:00:00"/>
    <x v="1"/>
    <s v="BT-11440"/>
    <s v="Bobby Trafton"/>
    <x v="0"/>
    <s v="United States"/>
    <x v="13"/>
    <x v="7"/>
    <x v="2"/>
    <s v="FUR-FU-10002878"/>
    <x v="0"/>
    <x v="3"/>
    <s v="Seth Thomas 14&quot; Day/Date Wall Clock"/>
    <n v="56.96"/>
    <n v="2"/>
    <n v="21.075199999999999"/>
    <x v="2"/>
    <x v="2"/>
  </r>
  <r>
    <s v="CA-2014-151946"/>
    <x v="829"/>
    <d v="2014-06-09T00:00:00"/>
    <x v="1"/>
    <s v="BT-11440"/>
    <s v="Bobby Trafton"/>
    <x v="0"/>
    <s v="United States"/>
    <x v="13"/>
    <x v="7"/>
    <x v="2"/>
    <s v="FUR-BO-10003272"/>
    <x v="0"/>
    <x v="0"/>
    <s v="O'Sullivan Living Dimensions 5-Shelf Bookcases"/>
    <n v="353.56799999999998"/>
    <n v="2"/>
    <n v="-44.195999999999998"/>
    <x v="2"/>
    <x v="2"/>
  </r>
  <r>
    <s v="CA-2014-151946"/>
    <x v="829"/>
    <d v="2014-06-09T00:00:00"/>
    <x v="1"/>
    <s v="BT-11440"/>
    <s v="Bobby Trafton"/>
    <x v="0"/>
    <s v="United States"/>
    <x v="13"/>
    <x v="7"/>
    <x v="2"/>
    <s v="FUR-FU-10002191"/>
    <x v="0"/>
    <x v="3"/>
    <s v="G.E. Halogen Desk Lamp Bulbs"/>
    <n v="13.96"/>
    <n v="2"/>
    <n v="6.7008000000000001"/>
    <x v="2"/>
    <x v="2"/>
  </r>
  <r>
    <s v="CA-2017-117513"/>
    <x v="470"/>
    <d v="2017-03-08T00:00:00"/>
    <x v="1"/>
    <s v="BT-11395"/>
    <s v="Bill Tyler"/>
    <x v="1"/>
    <s v="United States"/>
    <x v="2"/>
    <x v="2"/>
    <x v="1"/>
    <s v="FUR-TA-10001520"/>
    <x v="0"/>
    <x v="2"/>
    <s v="Lesro Sheffield Collection Coffee Table, End Table, Center Table, Corner Table"/>
    <n v="399.67200000000003"/>
    <n v="7"/>
    <n v="-14.9877"/>
    <x v="2"/>
    <x v="9"/>
  </r>
  <r>
    <s v="US-2017-119319"/>
    <x v="200"/>
    <d v="2017-11-09T00:00:00"/>
    <x v="0"/>
    <s v="LC-17050"/>
    <s v="Liz Carlisle"/>
    <x v="0"/>
    <s v="United States"/>
    <x v="144"/>
    <x v="5"/>
    <x v="3"/>
    <s v="FUR-FU-10003878"/>
    <x v="0"/>
    <x v="3"/>
    <s v="Linden 10&quot; Round Wall Clock, Black"/>
    <n v="30.56"/>
    <n v="5"/>
    <n v="-19.864000000000001"/>
    <x v="0"/>
    <x v="0"/>
  </r>
  <r>
    <s v="CA-2015-164084"/>
    <x v="395"/>
    <d v="2015-09-12T00:00:00"/>
    <x v="1"/>
    <s v="AG-10525"/>
    <s v="Andy Gerbode"/>
    <x v="1"/>
    <s v="United States"/>
    <x v="13"/>
    <x v="7"/>
    <x v="2"/>
    <s v="FUR-TA-10003569"/>
    <x v="0"/>
    <x v="2"/>
    <s v="Bretford CR8500 Series Meeting Room Furniture"/>
    <n v="481.17599999999999"/>
    <n v="2"/>
    <n v="-120.294"/>
    <x v="2"/>
    <x v="4"/>
  </r>
  <r>
    <s v="CA-2016-107783"/>
    <x v="830"/>
    <d v="2016-07-29T00:00:00"/>
    <x v="2"/>
    <s v="OT-18730"/>
    <s v="Olvera Toch"/>
    <x v="0"/>
    <s v="United States"/>
    <x v="268"/>
    <x v="3"/>
    <x v="2"/>
    <s v="FUR-BO-10004409"/>
    <x v="0"/>
    <x v="0"/>
    <s v="Safco Value Mate Series Steel Bookcases, Baked Enamel Finish on Steel, Gray"/>
    <n v="177.45"/>
    <n v="5"/>
    <n v="-78.078000000000003"/>
    <x v="5"/>
    <x v="3"/>
  </r>
  <r>
    <s v="CA-2017-159793"/>
    <x v="831"/>
    <d v="2017-08-29T00:00:00"/>
    <x v="1"/>
    <s v="SV-20365"/>
    <s v="Seth Vernon"/>
    <x v="0"/>
    <s v="United States"/>
    <x v="3"/>
    <x v="3"/>
    <x v="2"/>
    <s v="FUR-BO-10001798"/>
    <x v="0"/>
    <x v="0"/>
    <s v="Bush Somerset Collection Bookcase"/>
    <n v="130.97999999999999"/>
    <n v="2"/>
    <n v="-89.066400000000002"/>
    <x v="4"/>
    <x v="10"/>
  </r>
  <r>
    <s v="CA-2017-151281"/>
    <x v="437"/>
    <d v="2017-05-02T00:00:00"/>
    <x v="1"/>
    <s v="HM-14980"/>
    <s v="Henry MacAllister"/>
    <x v="0"/>
    <s v="United States"/>
    <x v="15"/>
    <x v="13"/>
    <x v="1"/>
    <s v="FUR-FU-10000397"/>
    <x v="0"/>
    <x v="3"/>
    <s v="Luxo Economy Swing Arm Lamp"/>
    <n v="139.58000000000001"/>
    <n v="7"/>
    <n v="39.0824"/>
    <x v="2"/>
    <x v="6"/>
  </r>
  <r>
    <s v="CA-2015-108259"/>
    <x v="428"/>
    <d v="2015-11-15T00:00:00"/>
    <x v="1"/>
    <s v="NS-18640"/>
    <s v="Noel Staavos"/>
    <x v="1"/>
    <s v="United States"/>
    <x v="51"/>
    <x v="30"/>
    <x v="0"/>
    <s v="FUR-FU-10000023"/>
    <x v="0"/>
    <x v="3"/>
    <s v="Eldon Wave Desk Accessories"/>
    <n v="4.7119999999999997"/>
    <n v="1"/>
    <n v="1.4136"/>
    <x v="1"/>
    <x v="0"/>
  </r>
  <r>
    <s v="CA-2016-113341"/>
    <x v="778"/>
    <d v="2016-11-29T00:00:00"/>
    <x v="1"/>
    <s v="MH-17455"/>
    <s v="Mark Hamilton"/>
    <x v="0"/>
    <s v="United States"/>
    <x v="2"/>
    <x v="2"/>
    <x v="1"/>
    <s v="FUR-CH-10004698"/>
    <x v="0"/>
    <x v="1"/>
    <s v="Padded Folding Chairs, Black, 4/Carton"/>
    <n v="194.352"/>
    <n v="3"/>
    <n v="19.435199999999998"/>
    <x v="4"/>
    <x v="0"/>
  </r>
  <r>
    <s v="US-2015-131842"/>
    <x v="482"/>
    <d v="2015-12-08T00:00:00"/>
    <x v="2"/>
    <s v="RR-19525"/>
    <s v="Rick Reed"/>
    <x v="1"/>
    <s v="United States"/>
    <x v="228"/>
    <x v="9"/>
    <x v="0"/>
    <s v="FUR-CH-10004477"/>
    <x v="0"/>
    <x v="1"/>
    <s v="Global Push Button Manager's Chair, Indigo"/>
    <n v="97.424000000000007"/>
    <n v="2"/>
    <n v="10.9602"/>
    <x v="0"/>
    <x v="5"/>
  </r>
  <r>
    <s v="CA-2014-142769"/>
    <x v="624"/>
    <d v="2014-09-13T00:00:00"/>
    <x v="3"/>
    <s v="RP-19390"/>
    <s v="Resi Pšlking"/>
    <x v="0"/>
    <s v="United States"/>
    <x v="15"/>
    <x v="13"/>
    <x v="1"/>
    <s v="FUR-FU-10001918"/>
    <x v="0"/>
    <x v="3"/>
    <s v="C-Line Cubicle Keepers Polyproplyene Holder With Velcro Backings"/>
    <n v="14.19"/>
    <n v="3"/>
    <n v="5.5340999999999996"/>
    <x v="7"/>
    <x v="4"/>
  </r>
  <r>
    <s v="CA-2017-124765"/>
    <x v="608"/>
    <d v="2017-11-30T00:00:00"/>
    <x v="1"/>
    <s v="HZ-14950"/>
    <s v="Henia Zydlo"/>
    <x v="0"/>
    <s v="United States"/>
    <x v="1"/>
    <x v="1"/>
    <x v="0"/>
    <s v="FUR-BO-10003965"/>
    <x v="0"/>
    <x v="0"/>
    <s v="O'Sullivan Manor Hill 2-Door Library in Brianna Oak"/>
    <n v="723.92"/>
    <n v="5"/>
    <n v="-81.441000000000003"/>
    <x v="2"/>
    <x v="0"/>
  </r>
  <r>
    <s v="CA-2015-131856"/>
    <x v="832"/>
    <d v="2015-05-17T00:00:00"/>
    <x v="1"/>
    <s v="JG-15160"/>
    <s v="James Galang"/>
    <x v="0"/>
    <s v="United States"/>
    <x v="6"/>
    <x v="5"/>
    <x v="3"/>
    <s v="FUR-FU-10000175"/>
    <x v="0"/>
    <x v="3"/>
    <s v="DAX Wood Document Frame."/>
    <n v="21.968"/>
    <n v="4"/>
    <n v="-15.9268"/>
    <x v="2"/>
    <x v="7"/>
  </r>
  <r>
    <s v="CA-2017-126634"/>
    <x v="833"/>
    <d v="2017-04-01T00:00:00"/>
    <x v="0"/>
    <s v="AB-10165"/>
    <s v="Alan Barnes"/>
    <x v="0"/>
    <s v="United States"/>
    <x v="174"/>
    <x v="2"/>
    <x v="1"/>
    <s v="FUR-FU-10004973"/>
    <x v="0"/>
    <x v="3"/>
    <s v="Flat Face Poster Frame"/>
    <n v="94.2"/>
    <n v="5"/>
    <n v="39.564"/>
    <x v="3"/>
    <x v="9"/>
  </r>
  <r>
    <s v="US-2014-159611"/>
    <x v="421"/>
    <d v="2015-01-01T00:00:00"/>
    <x v="0"/>
    <s v="KB-16315"/>
    <s v="Karl Braun"/>
    <x v="0"/>
    <s v="United States"/>
    <x v="59"/>
    <x v="15"/>
    <x v="2"/>
    <s v="FUR-FU-10004904"/>
    <x v="0"/>
    <x v="3"/>
    <s v="Eldon &quot;L&quot; Workstation Diamond Chairmat"/>
    <n v="182.352"/>
    <n v="3"/>
    <n v="-18.235199999999999"/>
    <x v="2"/>
    <x v="5"/>
  </r>
  <r>
    <s v="CA-2017-163265"/>
    <x v="834"/>
    <d v="2017-02-21T00:00:00"/>
    <x v="1"/>
    <s v="JS-16030"/>
    <s v="Joy Smith"/>
    <x v="0"/>
    <s v="United States"/>
    <x v="42"/>
    <x v="8"/>
    <x v="3"/>
    <s v="FUR-CH-10004063"/>
    <x v="0"/>
    <x v="1"/>
    <s v="Global Deluxe High-Back Manager's Chair"/>
    <n v="600.55799999999999"/>
    <n v="3"/>
    <n v="-8.5793999999999997"/>
    <x v="2"/>
    <x v="11"/>
  </r>
  <r>
    <s v="CA-2017-163265"/>
    <x v="834"/>
    <d v="2017-02-21T00:00:00"/>
    <x v="1"/>
    <s v="JS-16030"/>
    <s v="Joy Smith"/>
    <x v="0"/>
    <s v="United States"/>
    <x v="42"/>
    <x v="8"/>
    <x v="3"/>
    <s v="FUR-FU-10004270"/>
    <x v="0"/>
    <x v="3"/>
    <s v="Executive Impressions 13&quot; Clairmont Wall Clock"/>
    <n v="7.6920000000000002"/>
    <n v="1"/>
    <n v="-3.6537000000000002"/>
    <x v="2"/>
    <x v="11"/>
  </r>
  <r>
    <s v="CA-2017-141705"/>
    <x v="835"/>
    <d v="2017-10-26T00:00:00"/>
    <x v="2"/>
    <s v="PO-18850"/>
    <s v="Patrick O'Brill"/>
    <x v="0"/>
    <s v="United States"/>
    <x v="350"/>
    <x v="5"/>
    <x v="3"/>
    <s v="FUR-TA-10004607"/>
    <x v="0"/>
    <x v="2"/>
    <s v="Hon 2111 Invitation Series Straight Table"/>
    <n v="517.40499999999997"/>
    <n v="5"/>
    <n v="-81.3065"/>
    <x v="3"/>
    <x v="1"/>
  </r>
  <r>
    <s v="CA-2017-127096"/>
    <x v="102"/>
    <d v="2017-09-17T00:00:00"/>
    <x v="0"/>
    <s v="CS-12400"/>
    <s v="Christopher Schild"/>
    <x v="2"/>
    <s v="United States"/>
    <x v="28"/>
    <x v="2"/>
    <x v="1"/>
    <s v="FUR-TA-10003473"/>
    <x v="0"/>
    <x v="2"/>
    <s v="Bretford Rectangular Conference Table Tops"/>
    <n v="300.904"/>
    <n v="1"/>
    <n v="11.283899999999999"/>
    <x v="3"/>
    <x v="4"/>
  </r>
  <r>
    <s v="CA-2017-119284"/>
    <x v="836"/>
    <d v="2017-06-20T00:00:00"/>
    <x v="1"/>
    <s v="TS-21205"/>
    <s v="Thomas Seio"/>
    <x v="1"/>
    <s v="United States"/>
    <x v="228"/>
    <x v="9"/>
    <x v="0"/>
    <s v="FUR-FU-10004351"/>
    <x v="0"/>
    <x v="3"/>
    <s v="Staple-based wall hangings"/>
    <n v="31.167999999999999"/>
    <n v="4"/>
    <n v="9.3504000000000005"/>
    <x v="2"/>
    <x v="2"/>
  </r>
  <r>
    <s v="CA-2017-119284"/>
    <x v="836"/>
    <d v="2017-06-20T00:00:00"/>
    <x v="1"/>
    <s v="TS-21205"/>
    <s v="Thomas Seio"/>
    <x v="1"/>
    <s v="United States"/>
    <x v="228"/>
    <x v="9"/>
    <x v="0"/>
    <s v="FUR-TA-10004152"/>
    <x v="0"/>
    <x v="2"/>
    <s v="Barricks 18&quot; x 48&quot; Non-Folding Utility Table with Bottom Storage Shelf"/>
    <n v="120.96"/>
    <n v="2"/>
    <n v="-28.224"/>
    <x v="2"/>
    <x v="2"/>
  </r>
  <r>
    <s v="CA-2014-146815"/>
    <x v="30"/>
    <d v="2014-09-13T00:00:00"/>
    <x v="1"/>
    <s v="PP-18955"/>
    <s v="Paul Prost"/>
    <x v="2"/>
    <s v="United States"/>
    <x v="13"/>
    <x v="7"/>
    <x v="2"/>
    <s v="FUR-CH-10004289"/>
    <x v="0"/>
    <x v="1"/>
    <s v="Global Super Steno Chair"/>
    <n v="172.76400000000001"/>
    <n v="2"/>
    <n v="13.437200000000001"/>
    <x v="2"/>
    <x v="4"/>
  </r>
  <r>
    <s v="CA-2014-119144"/>
    <x v="627"/>
    <d v="2014-11-18T00:00:00"/>
    <x v="2"/>
    <s v="JD-16150"/>
    <s v="Justin Deggeller"/>
    <x v="1"/>
    <s v="United States"/>
    <x v="2"/>
    <x v="2"/>
    <x v="1"/>
    <s v="FUR-BO-10004015"/>
    <x v="0"/>
    <x v="0"/>
    <s v="Bush Andora Bookcase, Maple/Graphite Gray Finish"/>
    <n v="305.97449999999998"/>
    <n v="3"/>
    <n v="25.197900000000001"/>
    <x v="3"/>
    <x v="0"/>
  </r>
  <r>
    <s v="CA-2014-105648"/>
    <x v="749"/>
    <d v="2014-03-07T00:00:00"/>
    <x v="1"/>
    <s v="EJ-14155"/>
    <s v="Eva Jacobs"/>
    <x v="0"/>
    <s v="United States"/>
    <x v="53"/>
    <x v="2"/>
    <x v="1"/>
    <s v="FUR-TA-10002958"/>
    <x v="0"/>
    <x v="2"/>
    <s v="Bevis Oval Conference Table, Walnut"/>
    <n v="626.35199999999998"/>
    <n v="3"/>
    <n v="-23.488199999999999"/>
    <x v="4"/>
    <x v="9"/>
  </r>
  <r>
    <s v="US-2015-145422"/>
    <x v="62"/>
    <d v="2015-12-07T00:00:00"/>
    <x v="1"/>
    <s v="PW-19240"/>
    <s v="Pierre Wener"/>
    <x v="0"/>
    <s v="United States"/>
    <x v="28"/>
    <x v="2"/>
    <x v="1"/>
    <s v="FUR-BO-10002213"/>
    <x v="0"/>
    <x v="0"/>
    <s v="Sauder Forest Hills Library, Woodland Oak Finish"/>
    <n v="359.49900000000002"/>
    <n v="3"/>
    <n v="-29.605799999999999"/>
    <x v="4"/>
    <x v="5"/>
  </r>
  <r>
    <s v="CA-2016-120824"/>
    <x v="21"/>
    <d v="2016-06-16T00:00:00"/>
    <x v="0"/>
    <s v="AW-10930"/>
    <s v="Arthur Wiediger"/>
    <x v="2"/>
    <s v="United States"/>
    <x v="6"/>
    <x v="5"/>
    <x v="3"/>
    <s v="FUR-FU-10001424"/>
    <x v="0"/>
    <x v="3"/>
    <s v="Dax Clear Box Frame"/>
    <n v="6.984"/>
    <n v="2"/>
    <n v="-4.5396000000000001"/>
    <x v="4"/>
    <x v="2"/>
  </r>
  <r>
    <s v="CA-2016-120824"/>
    <x v="21"/>
    <d v="2016-06-16T00:00:00"/>
    <x v="0"/>
    <s v="AW-10930"/>
    <s v="Arthur Wiediger"/>
    <x v="2"/>
    <s v="United States"/>
    <x v="6"/>
    <x v="5"/>
    <x v="3"/>
    <s v="FUR-CH-10000229"/>
    <x v="0"/>
    <x v="1"/>
    <s v="Global Enterprise Series Seating High-Back Swivel/Tilt Chairs"/>
    <n v="379.37200000000001"/>
    <n v="2"/>
    <n v="-119.2312"/>
    <x v="4"/>
    <x v="2"/>
  </r>
  <r>
    <s v="CA-2015-103870"/>
    <x v="7"/>
    <d v="2015-12-31T00:00:00"/>
    <x v="1"/>
    <s v="SP-20860"/>
    <s v="Sung Pak"/>
    <x v="1"/>
    <s v="United States"/>
    <x v="34"/>
    <x v="9"/>
    <x v="0"/>
    <s v="FUR-FU-10002030"/>
    <x v="0"/>
    <x v="3"/>
    <s v="Executive Impressions 14&quot; Contract Wall Clock with Quartz Movement"/>
    <n v="53.351999999999997"/>
    <n v="3"/>
    <n v="16.005600000000001"/>
    <x v="4"/>
    <x v="5"/>
  </r>
  <r>
    <s v="CA-2015-103870"/>
    <x v="7"/>
    <d v="2015-12-31T00:00:00"/>
    <x v="1"/>
    <s v="SP-20860"/>
    <s v="Sung Pak"/>
    <x v="1"/>
    <s v="United States"/>
    <x v="34"/>
    <x v="9"/>
    <x v="0"/>
    <s v="FUR-BO-10002853"/>
    <x v="0"/>
    <x v="0"/>
    <s v="O'Sullivan 5-Shelf Heavy-Duty Bookcases"/>
    <n v="131.10400000000001"/>
    <n v="2"/>
    <n v="8.1940000000000008"/>
    <x v="4"/>
    <x v="5"/>
  </r>
  <r>
    <s v="CA-2017-116988"/>
    <x v="419"/>
    <d v="2017-06-29T00:00:00"/>
    <x v="0"/>
    <s v="PW-19030"/>
    <s v="Pauline Webber"/>
    <x v="1"/>
    <s v="United States"/>
    <x v="15"/>
    <x v="13"/>
    <x v="1"/>
    <s v="FUR-FU-10001290"/>
    <x v="0"/>
    <x v="3"/>
    <s v="Executive Impressions Supervisor Wall Clock"/>
    <n v="126.3"/>
    <n v="3"/>
    <n v="40.415999999999997"/>
    <x v="3"/>
    <x v="2"/>
  </r>
  <r>
    <s v="US-2015-144771"/>
    <x v="837"/>
    <d v="2015-10-04T00:00:00"/>
    <x v="2"/>
    <s v="CK-12205"/>
    <s v="Chloris Kastensmidt"/>
    <x v="0"/>
    <s v="United States"/>
    <x v="351"/>
    <x v="36"/>
    <x v="1"/>
    <s v="FUR-FU-10000629"/>
    <x v="0"/>
    <x v="3"/>
    <s v="9-3/4 Diameter Round Wall Clock"/>
    <n v="11.032"/>
    <n v="1"/>
    <n v="3.0337999999999998"/>
    <x v="3"/>
    <x v="1"/>
  </r>
  <r>
    <s v="CA-2017-128076"/>
    <x v="611"/>
    <d v="2017-02-07T00:00:00"/>
    <x v="1"/>
    <s v="BO-11350"/>
    <s v="Bill Overfelt"/>
    <x v="1"/>
    <s v="United States"/>
    <x v="53"/>
    <x v="2"/>
    <x v="1"/>
    <s v="FUR-FU-10000293"/>
    <x v="0"/>
    <x v="3"/>
    <s v="Eldon Antistatic Chair Mats for Low to Medium Pile Carpets"/>
    <n v="210.58"/>
    <n v="2"/>
    <n v="12.6348"/>
    <x v="2"/>
    <x v="11"/>
  </r>
  <r>
    <s v="CA-2016-114307"/>
    <x v="249"/>
    <d v="2016-07-26T00:00:00"/>
    <x v="1"/>
    <s v="MF-17665"/>
    <s v="Maureen Fritzler"/>
    <x v="1"/>
    <s v="United States"/>
    <x v="11"/>
    <x v="32"/>
    <x v="2"/>
    <s v="FUR-FU-10000794"/>
    <x v="0"/>
    <x v="3"/>
    <s v="Eldon Stackable Tray, Side-Load, Legal, Smoke"/>
    <n v="27.42"/>
    <n v="3"/>
    <n v="9.3228000000000009"/>
    <x v="4"/>
    <x v="3"/>
  </r>
  <r>
    <s v="CA-2016-151148"/>
    <x v="51"/>
    <d v="2016-09-13T00:00:00"/>
    <x v="3"/>
    <s v="PO-19180"/>
    <s v="Philisse Overcash"/>
    <x v="2"/>
    <s v="United States"/>
    <x v="74"/>
    <x v="12"/>
    <x v="1"/>
    <s v="FUR-CH-10002304"/>
    <x v="0"/>
    <x v="1"/>
    <s v="Global Stack Chair without Arms, Black"/>
    <n v="83.135999999999996"/>
    <n v="4"/>
    <n v="5.1959999999999997"/>
    <x v="5"/>
    <x v="4"/>
  </r>
  <r>
    <s v="CA-2016-102813"/>
    <x v="192"/>
    <d v="2016-07-03T00:00:00"/>
    <x v="2"/>
    <s v="EA-14035"/>
    <s v="Erin Ashbrook"/>
    <x v="1"/>
    <s v="United States"/>
    <x v="156"/>
    <x v="5"/>
    <x v="3"/>
    <s v="FUR-CH-10000665"/>
    <x v="0"/>
    <x v="1"/>
    <s v="Global Airflow Leather Mesh Back Chair, Black"/>
    <n v="528.42999999999995"/>
    <n v="5"/>
    <n v="0"/>
    <x v="5"/>
    <x v="3"/>
  </r>
  <r>
    <s v="CA-2017-135377"/>
    <x v="838"/>
    <d v="2017-12-18T00:00:00"/>
    <x v="1"/>
    <s v="BP-11095"/>
    <s v="Bart Pistole"/>
    <x v="1"/>
    <s v="United States"/>
    <x v="13"/>
    <x v="7"/>
    <x v="2"/>
    <s v="FUR-BO-10004015"/>
    <x v="0"/>
    <x v="0"/>
    <s v="Bush Andora Bookcase, Maple/Graphite Gray Finish"/>
    <n v="287.976"/>
    <n v="3"/>
    <n v="7.1993999999999998"/>
    <x v="2"/>
    <x v="5"/>
  </r>
  <r>
    <s v="CA-2015-133585"/>
    <x v="822"/>
    <d v="2015-03-04T00:00:00"/>
    <x v="2"/>
    <s v="CM-12715"/>
    <s v="Craig Molinari"/>
    <x v="1"/>
    <s v="United States"/>
    <x v="6"/>
    <x v="5"/>
    <x v="3"/>
    <s v="FUR-BO-10001811"/>
    <x v="0"/>
    <x v="0"/>
    <s v="Atlantic Metals Mobile 5-Shelf Bookcases, Custom Colors"/>
    <n v="1227.9983999999999"/>
    <n v="6"/>
    <n v="-36.117600000000003"/>
    <x v="0"/>
    <x v="9"/>
  </r>
  <r>
    <s v="CA-2016-116911"/>
    <x v="839"/>
    <d v="2016-09-20T00:00:00"/>
    <x v="1"/>
    <s v="JD-16150"/>
    <s v="Justin Deggeller"/>
    <x v="1"/>
    <s v="United States"/>
    <x v="352"/>
    <x v="42"/>
    <x v="1"/>
    <s v="FUR-TA-10003473"/>
    <x v="0"/>
    <x v="2"/>
    <s v="Bretford Rectangular Conference Table Tops"/>
    <n v="1128.3900000000001"/>
    <n v="3"/>
    <n v="259.52969999999999"/>
    <x v="2"/>
    <x v="4"/>
  </r>
  <r>
    <s v="CA-2017-126914"/>
    <x v="836"/>
    <d v="2017-06-19T00:00:00"/>
    <x v="1"/>
    <s v="JE-15715"/>
    <s v="Joe Elijah"/>
    <x v="0"/>
    <s v="United States"/>
    <x v="91"/>
    <x v="30"/>
    <x v="0"/>
    <s v="FUR-CH-10000847"/>
    <x v="0"/>
    <x v="1"/>
    <s v="Global Executive Mid-Back Manager's Chair"/>
    <n v="698.35199999999998"/>
    <n v="3"/>
    <n v="52.376399999999997"/>
    <x v="4"/>
    <x v="2"/>
  </r>
  <r>
    <s v="CA-2017-126914"/>
    <x v="836"/>
    <d v="2017-06-19T00:00:00"/>
    <x v="1"/>
    <s v="JE-15715"/>
    <s v="Joe Elijah"/>
    <x v="0"/>
    <s v="United States"/>
    <x v="91"/>
    <x v="30"/>
    <x v="0"/>
    <s v="FUR-BO-10000468"/>
    <x v="0"/>
    <x v="0"/>
    <s v="O'Sullivan 2-Shelf Heavy-Duty Bookcases"/>
    <n v="77.727999999999994"/>
    <n v="2"/>
    <n v="-3.8864000000000001"/>
    <x v="4"/>
    <x v="2"/>
  </r>
  <r>
    <s v="CA-2016-140935"/>
    <x v="480"/>
    <d v="2016-11-12T00:00:00"/>
    <x v="2"/>
    <s v="AB-10015"/>
    <s v="Aaron Bergman"/>
    <x v="0"/>
    <s v="United States"/>
    <x v="258"/>
    <x v="37"/>
    <x v="3"/>
    <s v="FUR-BO-10003966"/>
    <x v="0"/>
    <x v="0"/>
    <s v="Sauder Facets Collection Library, Sky Alder Finish"/>
    <n v="341.96"/>
    <n v="2"/>
    <n v="54.7136"/>
    <x v="3"/>
    <x v="0"/>
  </r>
  <r>
    <s v="CA-2016-113082"/>
    <x v="51"/>
    <d v="2016-09-16T00:00:00"/>
    <x v="1"/>
    <s v="MC-17590"/>
    <s v="Matt Collister"/>
    <x v="1"/>
    <s v="United States"/>
    <x v="353"/>
    <x v="7"/>
    <x v="2"/>
    <s v="FUR-FU-10002813"/>
    <x v="0"/>
    <x v="3"/>
    <s v="DAX Contemporary Wood Frame with Silver Metal Mat, Desktop, 11 x 14 Size"/>
    <n v="40.479999999999997"/>
    <n v="2"/>
    <n v="14.572800000000001"/>
    <x v="4"/>
    <x v="4"/>
  </r>
  <r>
    <s v="CA-2015-127754"/>
    <x v="155"/>
    <d v="2015-07-31T00:00:00"/>
    <x v="1"/>
    <s v="CK-12760"/>
    <s v="Cyma Kinney"/>
    <x v="1"/>
    <s v="United States"/>
    <x v="110"/>
    <x v="22"/>
    <x v="1"/>
    <s v="FUR-CH-10003199"/>
    <x v="0"/>
    <x v="1"/>
    <s v="Office Star - Contemporary Task Swivel Chair"/>
    <n v="266.35199999999998"/>
    <n v="3"/>
    <n v="13.317600000000001"/>
    <x v="2"/>
    <x v="3"/>
  </r>
  <r>
    <s v="CA-2015-145324"/>
    <x v="840"/>
    <d v="2015-11-19T00:00:00"/>
    <x v="1"/>
    <s v="DH-13675"/>
    <s v="Duane Huffman"/>
    <x v="2"/>
    <s v="United States"/>
    <x v="95"/>
    <x v="25"/>
    <x v="0"/>
    <s v="FUR-FU-10002759"/>
    <x v="0"/>
    <x v="3"/>
    <s v="12-1/2 Diameter Round Wall Clock"/>
    <n v="39.96"/>
    <n v="2"/>
    <n v="14.3856"/>
    <x v="4"/>
    <x v="0"/>
  </r>
  <r>
    <s v="CA-2015-140718"/>
    <x v="473"/>
    <d v="2015-07-04T00:00:00"/>
    <x v="2"/>
    <s v="FA-14230"/>
    <s v="Frank Atkinson"/>
    <x v="1"/>
    <s v="United States"/>
    <x v="168"/>
    <x v="30"/>
    <x v="0"/>
    <s v="FUR-FU-10000076"/>
    <x v="0"/>
    <x v="3"/>
    <s v="24-Hour Round Wall Clock"/>
    <n v="159.84"/>
    <n v="10"/>
    <n v="45.954000000000001"/>
    <x v="3"/>
    <x v="3"/>
  </r>
  <r>
    <s v="CA-2015-125934"/>
    <x v="795"/>
    <d v="2015-09-18T00:00:00"/>
    <x v="1"/>
    <s v="SN-20560"/>
    <s v="Skye Norling"/>
    <x v="2"/>
    <s v="United States"/>
    <x v="309"/>
    <x v="18"/>
    <x v="2"/>
    <s v="FUR-FU-10002107"/>
    <x v="0"/>
    <x v="3"/>
    <s v="Eldon Pizzaz Desk Accessories"/>
    <n v="8.92"/>
    <n v="4"/>
    <n v="3.9247999999999998"/>
    <x v="1"/>
    <x v="4"/>
  </r>
  <r>
    <s v="CA-2014-120411"/>
    <x v="23"/>
    <d v="2014-09-23T00:00:00"/>
    <x v="2"/>
    <s v="SB-20185"/>
    <s v="Sarah Brown"/>
    <x v="0"/>
    <s v="United States"/>
    <x v="9"/>
    <x v="8"/>
    <x v="3"/>
    <s v="FUR-BO-10004218"/>
    <x v="0"/>
    <x v="0"/>
    <s v="Bush Heritage Pine Collection 5-Shelf Bookcase, Albany Pine Finish, *Special Order"/>
    <n v="493.43"/>
    <n v="5"/>
    <n v="-70.489999999999995"/>
    <x v="0"/>
    <x v="4"/>
  </r>
  <r>
    <s v="CA-2017-101805"/>
    <x v="451"/>
    <d v="2017-12-06T00:00:00"/>
    <x v="1"/>
    <s v="SH-19975"/>
    <s v="Sally Hughsby"/>
    <x v="1"/>
    <s v="United States"/>
    <x v="15"/>
    <x v="13"/>
    <x v="1"/>
    <s v="FUR-FU-10000023"/>
    <x v="0"/>
    <x v="3"/>
    <s v="Eldon Wave Desk Accessories"/>
    <n v="70.680000000000007"/>
    <n v="12"/>
    <n v="31.0992"/>
    <x v="2"/>
    <x v="5"/>
  </r>
  <r>
    <s v="CA-2017-103968"/>
    <x v="451"/>
    <d v="2017-12-07T00:00:00"/>
    <x v="1"/>
    <s v="ML-17755"/>
    <s v="Max Ludwig"/>
    <x v="2"/>
    <s v="United States"/>
    <x v="354"/>
    <x v="2"/>
    <x v="1"/>
    <s v="FUR-FU-10003394"/>
    <x v="0"/>
    <x v="3"/>
    <s v="Tenex &quot;The Solids&quot; Textured Chair Mats"/>
    <n v="629.64"/>
    <n v="9"/>
    <n v="107.03879999999999"/>
    <x v="6"/>
    <x v="5"/>
  </r>
  <r>
    <s v="CA-2016-162159"/>
    <x v="751"/>
    <d v="2016-09-18T00:00:00"/>
    <x v="2"/>
    <s v="CR-12625"/>
    <s v="Corey Roper"/>
    <x v="2"/>
    <s v="United States"/>
    <x v="29"/>
    <x v="24"/>
    <x v="0"/>
    <s v="FUR-CH-10001146"/>
    <x v="0"/>
    <x v="1"/>
    <s v="Global Value Mid-Back Manager's Chair, Gray"/>
    <n v="121.78"/>
    <n v="2"/>
    <n v="30.445"/>
    <x v="3"/>
    <x v="4"/>
  </r>
  <r>
    <s v="CA-2015-111038"/>
    <x v="239"/>
    <d v="2015-12-06T00:00:00"/>
    <x v="1"/>
    <s v="LC-16960"/>
    <s v="Lindsay Castell"/>
    <x v="2"/>
    <s v="United States"/>
    <x v="53"/>
    <x v="2"/>
    <x v="1"/>
    <s v="FUR-CH-10003973"/>
    <x v="0"/>
    <x v="1"/>
    <s v="GuestStacker Chair with Chrome Finish Legs"/>
    <n v="2676.672"/>
    <n v="9"/>
    <n v="267.66719999999998"/>
    <x v="2"/>
    <x v="5"/>
  </r>
  <r>
    <s v="CA-2014-124723"/>
    <x v="31"/>
    <d v="2014-08-12T00:00:00"/>
    <x v="1"/>
    <s v="GZ-14470"/>
    <s v="Gary Zandusky"/>
    <x v="0"/>
    <s v="United States"/>
    <x v="303"/>
    <x v="5"/>
    <x v="3"/>
    <s v="FUR-TA-10001307"/>
    <x v="0"/>
    <x v="2"/>
    <s v="SAFCO PlanMaster Heigh-Adjustable Drafting Table Base, 43w x 30d x 30-37h, Black"/>
    <n v="489.23"/>
    <n v="2"/>
    <n v="41.933999999999997"/>
    <x v="1"/>
    <x v="10"/>
  </r>
  <r>
    <s v="CA-2016-167241"/>
    <x v="404"/>
    <d v="2016-08-22T00:00:00"/>
    <x v="1"/>
    <s v="BD-11320"/>
    <s v="Bill Donatelli"/>
    <x v="0"/>
    <s v="United States"/>
    <x v="2"/>
    <x v="2"/>
    <x v="1"/>
    <s v="FUR-FU-10004071"/>
    <x v="0"/>
    <x v="3"/>
    <s v="Luxo Professional Magnifying Clamp-On Fluorescent Lamps"/>
    <n v="312.02999999999997"/>
    <n v="3"/>
    <n v="43.684199999999997"/>
    <x v="1"/>
    <x v="10"/>
  </r>
  <r>
    <s v="CA-2016-150483"/>
    <x v="841"/>
    <d v="2016-06-04T00:00:00"/>
    <x v="1"/>
    <s v="BP-11290"/>
    <s v="Beth Paige"/>
    <x v="0"/>
    <s v="United States"/>
    <x v="42"/>
    <x v="8"/>
    <x v="3"/>
    <s v="FUR-FU-10001379"/>
    <x v="0"/>
    <x v="3"/>
    <s v="Executive Impressions 16-1/2&quot; Circular Wall Clock"/>
    <n v="32.064"/>
    <n v="3"/>
    <n v="-12.8256"/>
    <x v="4"/>
    <x v="7"/>
  </r>
  <r>
    <s v="CA-2016-150483"/>
    <x v="841"/>
    <d v="2016-06-04T00:00:00"/>
    <x v="1"/>
    <s v="BP-11290"/>
    <s v="Beth Paige"/>
    <x v="0"/>
    <s v="United States"/>
    <x v="42"/>
    <x v="8"/>
    <x v="3"/>
    <s v="FUR-CH-10000422"/>
    <x v="0"/>
    <x v="1"/>
    <s v="Global Highback Leather Tilter in Burgundy"/>
    <n v="191.07900000000001"/>
    <n v="3"/>
    <n v="-38.215800000000002"/>
    <x v="4"/>
    <x v="7"/>
  </r>
  <r>
    <s v="CA-2014-160276"/>
    <x v="842"/>
    <d v="2014-04-08T00:00:00"/>
    <x v="1"/>
    <s v="AH-10690"/>
    <s v="Anna HŠberlin"/>
    <x v="1"/>
    <s v="United States"/>
    <x v="304"/>
    <x v="25"/>
    <x v="0"/>
    <s v="FUR-FU-10003192"/>
    <x v="0"/>
    <x v="3"/>
    <s v="Luxo Adjustable Task Clamp Lamp"/>
    <n v="177.68"/>
    <n v="2"/>
    <n v="46.196800000000003"/>
    <x v="6"/>
    <x v="6"/>
  </r>
  <r>
    <s v="CA-2016-145709"/>
    <x v="803"/>
    <d v="2016-10-08T00:00:00"/>
    <x v="1"/>
    <s v="AH-10690"/>
    <s v="Anna HŠberlin"/>
    <x v="1"/>
    <s v="United States"/>
    <x v="355"/>
    <x v="1"/>
    <x v="0"/>
    <s v="FUR-FU-10002885"/>
    <x v="0"/>
    <x v="3"/>
    <s v="Magna Visual Magnetic Picture Hangers"/>
    <n v="11.568"/>
    <n v="3"/>
    <n v="2.6027999999999998"/>
    <x v="4"/>
    <x v="1"/>
  </r>
  <r>
    <s v="CA-2016-168032"/>
    <x v="772"/>
    <d v="2016-02-03T00:00:00"/>
    <x v="1"/>
    <s v="DF-13135"/>
    <s v="David Flashing"/>
    <x v="0"/>
    <s v="United States"/>
    <x v="88"/>
    <x v="8"/>
    <x v="3"/>
    <s v="FUR-TA-10004256"/>
    <x v="0"/>
    <x v="2"/>
    <s v="Bretford ÒJust In TimeÓ Height-Adjustable Multi-Task Work Tables"/>
    <n v="626.1"/>
    <n v="3"/>
    <n v="-538.44600000000003"/>
    <x v="4"/>
    <x v="8"/>
  </r>
  <r>
    <s v="US-2015-168704"/>
    <x v="315"/>
    <d v="2015-04-17T00:00:00"/>
    <x v="1"/>
    <s v="FP-14320"/>
    <s v="Frank Preis"/>
    <x v="0"/>
    <s v="United States"/>
    <x v="156"/>
    <x v="5"/>
    <x v="3"/>
    <s v="FUR-TA-10000688"/>
    <x v="0"/>
    <x v="2"/>
    <s v="Chromcraft Bull-Nose Wood Round Conference Table Top, Wood Base"/>
    <n v="609.98"/>
    <n v="4"/>
    <n v="-113.282"/>
    <x v="4"/>
    <x v="6"/>
  </r>
  <r>
    <s v="US-2015-168704"/>
    <x v="315"/>
    <d v="2015-04-17T00:00:00"/>
    <x v="1"/>
    <s v="FP-14320"/>
    <s v="Frank Preis"/>
    <x v="0"/>
    <s v="United States"/>
    <x v="156"/>
    <x v="5"/>
    <x v="3"/>
    <s v="FUR-TA-10002530"/>
    <x v="0"/>
    <x v="2"/>
    <s v="Iceberg OfficeWorks 42&quot; Round Tables"/>
    <n v="211.37200000000001"/>
    <n v="2"/>
    <n v="-45.293999999999997"/>
    <x v="4"/>
    <x v="6"/>
  </r>
  <r>
    <s v="CA-2017-143252"/>
    <x v="186"/>
    <d v="2017-12-24T00:00:00"/>
    <x v="1"/>
    <s v="HE-14800"/>
    <s v="Harold Engle"/>
    <x v="1"/>
    <s v="United States"/>
    <x v="79"/>
    <x v="16"/>
    <x v="3"/>
    <s v="FUR-FU-10001057"/>
    <x v="0"/>
    <x v="3"/>
    <s v="Tensor Track Tree Floor Lamp"/>
    <n v="99.95"/>
    <n v="5"/>
    <n v="22.988499999999998"/>
    <x v="6"/>
    <x v="5"/>
  </r>
  <r>
    <s v="CA-2016-102134"/>
    <x v="269"/>
    <d v="2016-03-19T00:00:00"/>
    <x v="1"/>
    <s v="SP-20545"/>
    <s v="Sibella Parks"/>
    <x v="1"/>
    <s v="United States"/>
    <x v="356"/>
    <x v="16"/>
    <x v="3"/>
    <s v="FUR-FU-10003724"/>
    <x v="0"/>
    <x v="3"/>
    <s v="Westinghouse Clip-On Gooseneck Lamps"/>
    <n v="16.739999999999998"/>
    <n v="2"/>
    <n v="4.3524000000000003"/>
    <x v="2"/>
    <x v="9"/>
  </r>
  <r>
    <s v="CA-2017-111717"/>
    <x v="843"/>
    <d v="2017-10-16T00:00:00"/>
    <x v="1"/>
    <s v="SW-20245"/>
    <s v="Scot Wooten"/>
    <x v="0"/>
    <s v="United States"/>
    <x v="14"/>
    <x v="8"/>
    <x v="3"/>
    <s v="FUR-CH-10001545"/>
    <x v="0"/>
    <x v="1"/>
    <s v="Hon Comfortask Task/Swivel Chairs"/>
    <n v="239.358"/>
    <n v="3"/>
    <n v="-47.871600000000001"/>
    <x v="6"/>
    <x v="1"/>
  </r>
  <r>
    <s v="CA-2017-150910"/>
    <x v="313"/>
    <d v="2017-12-28T00:00:00"/>
    <x v="1"/>
    <s v="JL-15130"/>
    <s v="Jack Lebron"/>
    <x v="0"/>
    <s v="United States"/>
    <x v="38"/>
    <x v="9"/>
    <x v="0"/>
    <s v="FUR-TA-10002903"/>
    <x v="0"/>
    <x v="2"/>
    <s v="Bevis Round Bullnose 29&quot; High Table Top"/>
    <n v="934.95600000000002"/>
    <n v="6"/>
    <n v="-249.32159999999999"/>
    <x v="6"/>
    <x v="5"/>
  </r>
  <r>
    <s v="CA-2014-156790"/>
    <x v="98"/>
    <d v="2014-08-10T00:00:00"/>
    <x v="0"/>
    <s v="VG-21790"/>
    <s v="Vivek Gonzalez"/>
    <x v="0"/>
    <s v="United States"/>
    <x v="51"/>
    <x v="1"/>
    <x v="0"/>
    <s v="FUR-BO-10000468"/>
    <x v="0"/>
    <x v="0"/>
    <s v="O'Sullivan 2-Shelf Heavy-Duty Bookcases"/>
    <n v="155.45599999999999"/>
    <n v="4"/>
    <n v="-7.7728000000000002"/>
    <x v="3"/>
    <x v="10"/>
  </r>
  <r>
    <s v="CA-2017-105620"/>
    <x v="19"/>
    <d v="2017-12-28T00:00:00"/>
    <x v="2"/>
    <s v="JH-15430"/>
    <s v="Jennifer Halladay"/>
    <x v="0"/>
    <s v="United States"/>
    <x v="173"/>
    <x v="1"/>
    <x v="0"/>
    <s v="FUR-FU-10004963"/>
    <x v="0"/>
    <x v="3"/>
    <s v="Eldon 400 Class Desk Accessories, Black Carbon"/>
    <n v="21"/>
    <n v="3"/>
    <n v="5.7750000000000004"/>
    <x v="0"/>
    <x v="5"/>
  </r>
  <r>
    <s v="CA-2017-150266"/>
    <x v="608"/>
    <d v="2017-11-30T00:00:00"/>
    <x v="1"/>
    <s v="RO-19780"/>
    <s v="Rose O'Brian"/>
    <x v="0"/>
    <s v="United States"/>
    <x v="6"/>
    <x v="5"/>
    <x v="3"/>
    <s v="FUR-CH-10002126"/>
    <x v="0"/>
    <x v="1"/>
    <s v="Hon Deluxe Fabric Upholstered Stacking Chairs"/>
    <n v="853.93"/>
    <n v="5"/>
    <n v="-24.398"/>
    <x v="2"/>
    <x v="0"/>
  </r>
  <r>
    <s v="CA-2016-157280"/>
    <x v="541"/>
    <d v="2016-11-07T00:00:00"/>
    <x v="2"/>
    <s v="LW-17125"/>
    <s v="Liz Willingham"/>
    <x v="0"/>
    <s v="United States"/>
    <x v="304"/>
    <x v="25"/>
    <x v="0"/>
    <s v="FUR-FU-10004665"/>
    <x v="0"/>
    <x v="3"/>
    <s v="3M Polarizing Task Lamp with Clamp Arm, Light Gray"/>
    <n v="273.95999999999998"/>
    <n v="2"/>
    <n v="71.229600000000005"/>
    <x v="3"/>
    <x v="0"/>
  </r>
  <r>
    <s v="CA-2016-157280"/>
    <x v="541"/>
    <d v="2016-11-07T00:00:00"/>
    <x v="2"/>
    <s v="LW-17125"/>
    <s v="Liz Willingham"/>
    <x v="0"/>
    <s v="United States"/>
    <x v="304"/>
    <x v="25"/>
    <x v="0"/>
    <s v="FUR-FU-10003806"/>
    <x v="0"/>
    <x v="3"/>
    <s v="Tenex Chairmat w/ Average Lip, 45&quot; x 53&quot;"/>
    <n v="756.8"/>
    <n v="5"/>
    <n v="75.680000000000007"/>
    <x v="3"/>
    <x v="0"/>
  </r>
  <r>
    <s v="CA-2016-134180"/>
    <x v="361"/>
    <d v="2016-11-07T00:00:00"/>
    <x v="1"/>
    <s v="JP-16135"/>
    <s v="Julie Prescott"/>
    <x v="2"/>
    <s v="United States"/>
    <x v="3"/>
    <x v="3"/>
    <x v="2"/>
    <s v="FUR-CH-10004886"/>
    <x v="0"/>
    <x v="1"/>
    <s v="Bevis Steel Folding Chairs"/>
    <n v="470.15499999999997"/>
    <n v="7"/>
    <n v="-13.433"/>
    <x v="4"/>
    <x v="0"/>
  </r>
  <r>
    <s v="CA-2017-122308"/>
    <x v="781"/>
    <d v="2017-03-28T00:00:00"/>
    <x v="1"/>
    <s v="MV-17485"/>
    <s v="Mark Van Huff"/>
    <x v="0"/>
    <s v="United States"/>
    <x v="13"/>
    <x v="7"/>
    <x v="2"/>
    <s v="FUR-CH-10000665"/>
    <x v="0"/>
    <x v="1"/>
    <s v="Global Airflow Leather Mesh Back Chair, Black"/>
    <n v="271.76400000000001"/>
    <n v="2"/>
    <n v="60.392000000000003"/>
    <x v="4"/>
    <x v="9"/>
  </r>
  <r>
    <s v="CA-2017-159226"/>
    <x v="844"/>
    <d v="2017-04-27T00:00:00"/>
    <x v="0"/>
    <s v="RL-19615"/>
    <s v="Rob Lucas"/>
    <x v="0"/>
    <s v="United States"/>
    <x v="2"/>
    <x v="2"/>
    <x v="1"/>
    <s v="FUR-BO-10004709"/>
    <x v="0"/>
    <x v="0"/>
    <s v="Bush Westfield Collection Bookcases, Medium Cherry Finish"/>
    <n v="344.98099999999999"/>
    <n v="7"/>
    <n v="28.4102"/>
    <x v="3"/>
    <x v="6"/>
  </r>
  <r>
    <s v="CA-2017-156622"/>
    <x v="68"/>
    <d v="2017-11-26T00:00:00"/>
    <x v="2"/>
    <s v="JP-15460"/>
    <s v="Jennifer Patt"/>
    <x v="1"/>
    <s v="United States"/>
    <x v="144"/>
    <x v="5"/>
    <x v="3"/>
    <s v="FUR-TA-10003008"/>
    <x v="0"/>
    <x v="2"/>
    <s v="Lesro Round Back Collection Coffee Table, End Table"/>
    <n v="127.785"/>
    <n v="1"/>
    <n v="-31.0335"/>
    <x v="0"/>
    <x v="0"/>
  </r>
  <r>
    <s v="CA-2016-110898"/>
    <x v="845"/>
    <d v="2016-03-12T00:00:00"/>
    <x v="1"/>
    <s v="LC-16870"/>
    <s v="Lena Cacioppo"/>
    <x v="0"/>
    <s v="United States"/>
    <x v="9"/>
    <x v="8"/>
    <x v="3"/>
    <s v="FUR-FU-10003773"/>
    <x v="0"/>
    <x v="3"/>
    <s v="Eldon Cleatmat Plus Chair Mats for High Pile Carpets"/>
    <n v="159.04"/>
    <n v="5"/>
    <n v="-194.82400000000001"/>
    <x v="6"/>
    <x v="9"/>
  </r>
  <r>
    <s v="CA-2016-110898"/>
    <x v="845"/>
    <d v="2016-03-12T00:00:00"/>
    <x v="1"/>
    <s v="LC-16870"/>
    <s v="Lena Cacioppo"/>
    <x v="0"/>
    <s v="United States"/>
    <x v="9"/>
    <x v="8"/>
    <x v="3"/>
    <s v="FUR-TA-10000849"/>
    <x v="0"/>
    <x v="2"/>
    <s v="Bevis Rectangular Conference Tables"/>
    <n v="145.97999999999999"/>
    <n v="2"/>
    <n v="-99.266400000000004"/>
    <x v="6"/>
    <x v="9"/>
  </r>
  <r>
    <s v="CA-2015-123092"/>
    <x v="62"/>
    <d v="2015-12-07T00:00:00"/>
    <x v="1"/>
    <s v="JG-15115"/>
    <s v="Jack Garza"/>
    <x v="0"/>
    <s v="United States"/>
    <x v="51"/>
    <x v="30"/>
    <x v="0"/>
    <s v="FUR-FU-10000222"/>
    <x v="0"/>
    <x v="3"/>
    <s v="Seth Thomas 16&quot; Steel Case Clock"/>
    <n v="77.951999999999998"/>
    <n v="3"/>
    <n v="12.667199999999999"/>
    <x v="4"/>
    <x v="5"/>
  </r>
  <r>
    <s v="US-2015-128587"/>
    <x v="37"/>
    <d v="2015-12-30T00:00:00"/>
    <x v="1"/>
    <s v="HM-14860"/>
    <s v="Harry Marie"/>
    <x v="1"/>
    <s v="United States"/>
    <x v="76"/>
    <x v="23"/>
    <x v="3"/>
    <s v="FUR-FU-10003026"/>
    <x v="0"/>
    <x v="3"/>
    <s v="Eldon Regeneration Recycled Desk Accessories, Black"/>
    <n v="9.68"/>
    <n v="2"/>
    <n v="3.7751999999999999"/>
    <x v="6"/>
    <x v="5"/>
  </r>
  <r>
    <s v="CA-2017-159100"/>
    <x v="259"/>
    <d v="2017-10-21T00:00:00"/>
    <x v="1"/>
    <s v="VP-21760"/>
    <s v="Victoria Pisteka"/>
    <x v="1"/>
    <s v="United States"/>
    <x v="11"/>
    <x v="9"/>
    <x v="0"/>
    <s v="FUR-TA-10001950"/>
    <x v="0"/>
    <x v="2"/>
    <s v="Balt Solid Wood Round Tables"/>
    <n v="1875.258"/>
    <n v="7"/>
    <n v="-968.88329999999996"/>
    <x v="2"/>
    <x v="1"/>
  </r>
  <r>
    <s v="CA-2017-137785"/>
    <x v="846"/>
    <d v="2017-05-17T00:00:00"/>
    <x v="1"/>
    <s v="MH-18115"/>
    <s v="Mick Hernandez"/>
    <x v="2"/>
    <s v="United States"/>
    <x v="3"/>
    <x v="3"/>
    <x v="2"/>
    <s v="FUR-CH-10001482"/>
    <x v="0"/>
    <x v="1"/>
    <s v="Office Star - Mesh Screen back chair with Vinyl seat"/>
    <n v="458.43"/>
    <n v="5"/>
    <n v="-124.431"/>
    <x v="4"/>
    <x v="7"/>
  </r>
  <r>
    <s v="CA-2017-107825"/>
    <x v="414"/>
    <d v="2017-11-18T00:00:00"/>
    <x v="3"/>
    <s v="NB-18655"/>
    <s v="Nona Balk"/>
    <x v="1"/>
    <s v="United States"/>
    <x v="79"/>
    <x v="16"/>
    <x v="3"/>
    <s v="FUR-FU-10000206"/>
    <x v="0"/>
    <x v="3"/>
    <s v="GE General Purpose, Extra Long Life, Showcase &amp; Floodlight Incandescent Bulbs"/>
    <n v="5.82"/>
    <n v="2"/>
    <n v="2.7353999999999998"/>
    <x v="7"/>
    <x v="0"/>
  </r>
  <r>
    <s v="CA-2016-121447"/>
    <x v="629"/>
    <d v="2016-02-22T00:00:00"/>
    <x v="2"/>
    <s v="EA-14035"/>
    <s v="Erin Ashbrook"/>
    <x v="1"/>
    <s v="United States"/>
    <x v="13"/>
    <x v="7"/>
    <x v="2"/>
    <s v="FUR-FU-10001861"/>
    <x v="0"/>
    <x v="3"/>
    <s v="Floodlight Indoor Halogen Bulbs, 1 Bulb per Pack, 60 Watts"/>
    <n v="135.80000000000001"/>
    <n v="7"/>
    <n v="66.542000000000002"/>
    <x v="5"/>
    <x v="11"/>
  </r>
  <r>
    <s v="CA-2014-100706"/>
    <x v="439"/>
    <d v="2014-12-18T00:00:00"/>
    <x v="0"/>
    <s v="LE-16810"/>
    <s v="Laurel Elliston"/>
    <x v="0"/>
    <s v="United States"/>
    <x v="76"/>
    <x v="25"/>
    <x v="0"/>
    <s v="FUR-FU-10002268"/>
    <x v="0"/>
    <x v="3"/>
    <s v="Ultra Door Push Plate"/>
    <n v="29.46"/>
    <n v="6"/>
    <n v="9.7218"/>
    <x v="3"/>
    <x v="5"/>
  </r>
  <r>
    <s v="US-2016-141880"/>
    <x v="847"/>
    <d v="2016-08-23T00:00:00"/>
    <x v="2"/>
    <s v="TC-21475"/>
    <s v="Tony Chapman"/>
    <x v="2"/>
    <s v="United States"/>
    <x v="200"/>
    <x v="12"/>
    <x v="1"/>
    <s v="FUR-FU-10001979"/>
    <x v="0"/>
    <x v="3"/>
    <s v="Dana Halogen Swing-Arm Architect Lamp"/>
    <n v="98.328000000000003"/>
    <n v="3"/>
    <n v="9.8328000000000007"/>
    <x v="5"/>
    <x v="10"/>
  </r>
  <r>
    <s v="CA-2015-165799"/>
    <x v="330"/>
    <d v="2015-07-02T00:00:00"/>
    <x v="2"/>
    <s v="SG-20470"/>
    <s v="Sheri Gordon"/>
    <x v="0"/>
    <s v="United States"/>
    <x v="13"/>
    <x v="7"/>
    <x v="2"/>
    <s v="FUR-CH-10001482"/>
    <x v="0"/>
    <x v="1"/>
    <s v="Office Star - Mesh Screen back chair with Vinyl seat"/>
    <n v="117.88200000000001"/>
    <n v="1"/>
    <n v="1.3098000000000001"/>
    <x v="0"/>
    <x v="2"/>
  </r>
  <r>
    <s v="CA-2016-102127"/>
    <x v="517"/>
    <d v="2016-07-02T00:00:00"/>
    <x v="1"/>
    <s v="VP-21760"/>
    <s v="Victoria Pisteka"/>
    <x v="1"/>
    <s v="United States"/>
    <x v="13"/>
    <x v="7"/>
    <x v="2"/>
    <s v="FUR-FU-10003976"/>
    <x v="0"/>
    <x v="3"/>
    <s v="DAX Executive Solid Wood Document Frame, Desktop or Hang, Mahogany, 5 x 7"/>
    <n v="37.74"/>
    <n v="3"/>
    <n v="12.8316"/>
    <x v="6"/>
    <x v="2"/>
  </r>
  <r>
    <s v="US-2016-152415"/>
    <x v="334"/>
    <d v="2016-09-22T00:00:00"/>
    <x v="1"/>
    <s v="PO-18865"/>
    <s v="Patrick O'Donnell"/>
    <x v="0"/>
    <s v="United States"/>
    <x v="357"/>
    <x v="20"/>
    <x v="2"/>
    <s v="FUR-FU-10002597"/>
    <x v="0"/>
    <x v="3"/>
    <s v="C-Line Magnetic Cubicle Keepers, Clear Polypropylene"/>
    <n v="14.82"/>
    <n v="3"/>
    <n v="6.2244000000000002"/>
    <x v="2"/>
    <x v="4"/>
  </r>
  <r>
    <s v="US-2016-152415"/>
    <x v="334"/>
    <d v="2016-09-22T00:00:00"/>
    <x v="1"/>
    <s v="PO-18865"/>
    <s v="Patrick O'Donnell"/>
    <x v="0"/>
    <s v="United States"/>
    <x v="357"/>
    <x v="20"/>
    <x v="2"/>
    <s v="FUR-FU-10004864"/>
    <x v="0"/>
    <x v="3"/>
    <s v="Howard Miller 14-1/2&quot; Diameter Chrome Round Wall Clock"/>
    <n v="191.82"/>
    <n v="3"/>
    <n v="61.382399999999997"/>
    <x v="2"/>
    <x v="4"/>
  </r>
  <r>
    <s v="CA-2017-128041"/>
    <x v="449"/>
    <d v="2017-09-01T00:00:00"/>
    <x v="3"/>
    <s v="RW-19540"/>
    <s v="Rick Wilson"/>
    <x v="1"/>
    <s v="United States"/>
    <x v="15"/>
    <x v="13"/>
    <x v="1"/>
    <s v="FUR-TA-10002607"/>
    <x v="0"/>
    <x v="2"/>
    <s v="KI Conference Tables"/>
    <n v="283.56"/>
    <n v="4"/>
    <n v="45.369599999999998"/>
    <x v="7"/>
    <x v="4"/>
  </r>
  <r>
    <s v="CA-2017-105823"/>
    <x v="848"/>
    <d v="2017-06-26T00:00:00"/>
    <x v="1"/>
    <s v="RB-19465"/>
    <s v="Rick Bensley"/>
    <x v="2"/>
    <s v="United States"/>
    <x v="25"/>
    <x v="17"/>
    <x v="3"/>
    <s v="FUR-CH-10000454"/>
    <x v="0"/>
    <x v="1"/>
    <s v="Hon Deluxe Fabric Upholstered Stacking Chairs, Rounded Back"/>
    <n v="487.96"/>
    <n v="2"/>
    <n v="146.38800000000001"/>
    <x v="4"/>
    <x v="2"/>
  </r>
  <r>
    <s v="CA-2014-138177"/>
    <x v="539"/>
    <d v="2014-09-24T00:00:00"/>
    <x v="1"/>
    <s v="ND-18460"/>
    <s v="Neil Ducich"/>
    <x v="1"/>
    <s v="United States"/>
    <x v="262"/>
    <x v="22"/>
    <x v="1"/>
    <s v="FUR-TA-10004607"/>
    <x v="0"/>
    <x v="2"/>
    <s v="Hon 2111 Invitation Series Straight Table"/>
    <n v="73.915000000000006"/>
    <n v="1"/>
    <n v="-45.827300000000001"/>
    <x v="2"/>
    <x v="4"/>
  </r>
  <r>
    <s v="CA-2014-114335"/>
    <x v="849"/>
    <d v="2014-10-03T00:00:00"/>
    <x v="1"/>
    <s v="XP-21865"/>
    <s v="Xylona Preis"/>
    <x v="0"/>
    <s v="United States"/>
    <x v="358"/>
    <x v="1"/>
    <x v="0"/>
    <s v="FUR-FU-10000277"/>
    <x v="0"/>
    <x v="3"/>
    <s v="Deflect-o DuraMat Antistatic Studded Beveled Mat for Medium Pile Carpeting"/>
    <n v="337.08800000000002"/>
    <n v="4"/>
    <n v="16.854399999999998"/>
    <x v="2"/>
    <x v="4"/>
  </r>
  <r>
    <s v="CA-2015-160227"/>
    <x v="46"/>
    <d v="2015-11-04T00:00:00"/>
    <x v="2"/>
    <s v="ED-13885"/>
    <s v="Emily Ducich"/>
    <x v="2"/>
    <s v="United States"/>
    <x v="13"/>
    <x v="7"/>
    <x v="2"/>
    <s v="FUR-CH-10002073"/>
    <x v="0"/>
    <x v="1"/>
    <s v="Hon Olson Stacker Chairs"/>
    <n v="2621.3220000000001"/>
    <n v="11"/>
    <n v="553.39020000000005"/>
    <x v="3"/>
    <x v="0"/>
  </r>
  <r>
    <s v="CA-2015-149097"/>
    <x v="798"/>
    <d v="2015-10-24T00:00:00"/>
    <x v="1"/>
    <s v="SV-20785"/>
    <s v="Stewart Visinsky"/>
    <x v="0"/>
    <s v="United States"/>
    <x v="2"/>
    <x v="2"/>
    <x v="1"/>
    <s v="FUR-FU-10003424"/>
    <x v="0"/>
    <x v="3"/>
    <s v="Nu-Dell Oak Frame"/>
    <n v="74.760000000000005"/>
    <n v="7"/>
    <n v="23.923200000000001"/>
    <x v="4"/>
    <x v="1"/>
  </r>
  <r>
    <s v="CA-2015-149097"/>
    <x v="798"/>
    <d v="2015-10-24T00:00:00"/>
    <x v="1"/>
    <s v="SV-20785"/>
    <s v="Stewart Visinsky"/>
    <x v="0"/>
    <s v="United States"/>
    <x v="2"/>
    <x v="2"/>
    <x v="1"/>
    <s v="FUR-TA-10001086"/>
    <x v="0"/>
    <x v="2"/>
    <s v="SAFCO PlanMaster Boards, 60w x 37-1/2d, White Melamine"/>
    <n v="364.77600000000001"/>
    <n v="3"/>
    <n v="27.3582"/>
    <x v="4"/>
    <x v="1"/>
  </r>
  <r>
    <s v="CA-2016-132304"/>
    <x v="184"/>
    <d v="2016-06-18T00:00:00"/>
    <x v="1"/>
    <s v="AR-10825"/>
    <s v="Anthony Rawles"/>
    <x v="1"/>
    <s v="United States"/>
    <x v="15"/>
    <x v="13"/>
    <x v="1"/>
    <s v="FUR-TA-10004619"/>
    <x v="0"/>
    <x v="2"/>
    <s v="Hon Non-Folding Utility Tables"/>
    <n v="1115.17"/>
    <n v="7"/>
    <n v="334.55099999999999"/>
    <x v="4"/>
    <x v="2"/>
  </r>
  <r>
    <s v="CA-2016-106278"/>
    <x v="227"/>
    <d v="2016-09-05T00:00:00"/>
    <x v="0"/>
    <s v="BM-11140"/>
    <s v="Becky Martin"/>
    <x v="0"/>
    <s v="United States"/>
    <x v="67"/>
    <x v="13"/>
    <x v="1"/>
    <s v="FUR-CH-10003061"/>
    <x v="0"/>
    <x v="1"/>
    <s v="Global Leather Task Chair, Black"/>
    <n v="215.976"/>
    <n v="3"/>
    <n v="-2.6997"/>
    <x v="0"/>
    <x v="4"/>
  </r>
  <r>
    <s v="CA-2017-147550"/>
    <x v="423"/>
    <d v="2017-12-05T00:00:00"/>
    <x v="2"/>
    <s v="KE-16420"/>
    <s v="Katrina Edelman"/>
    <x v="1"/>
    <s v="United States"/>
    <x v="3"/>
    <x v="3"/>
    <x v="2"/>
    <s v="FUR-FU-10001918"/>
    <x v="0"/>
    <x v="3"/>
    <s v="C-Line Cubicle Keepers Polyproplyene Holder With Velcro Backings"/>
    <n v="11.352"/>
    <n v="3"/>
    <n v="2.6960999999999999"/>
    <x v="5"/>
    <x v="5"/>
  </r>
  <r>
    <s v="CA-2016-108105"/>
    <x v="285"/>
    <d v="2016-02-23T00:00:00"/>
    <x v="1"/>
    <s v="GW-14605"/>
    <s v="Giulietta Weimer"/>
    <x v="0"/>
    <s v="United States"/>
    <x v="0"/>
    <x v="0"/>
    <x v="0"/>
    <s v="FUR-FU-10003773"/>
    <x v="0"/>
    <x v="3"/>
    <s v="Eldon Cleatmat Plus Chair Mats for High Pile Carpets"/>
    <n v="318.08"/>
    <n v="4"/>
    <n v="34.988799999999998"/>
    <x v="1"/>
    <x v="11"/>
  </r>
  <r>
    <s v="CA-2016-143406"/>
    <x v="73"/>
    <d v="2016-09-30T00:00:00"/>
    <x v="1"/>
    <s v="LR-17035"/>
    <s v="Lisa Ryan"/>
    <x v="1"/>
    <s v="United States"/>
    <x v="6"/>
    <x v="5"/>
    <x v="3"/>
    <s v="FUR-CH-10000513"/>
    <x v="0"/>
    <x v="1"/>
    <s v="High-Back Leather Manager's Chair"/>
    <n v="454.96499999999997"/>
    <n v="5"/>
    <n v="-136.48949999999999"/>
    <x v="4"/>
    <x v="4"/>
  </r>
  <r>
    <s v="CA-2015-162950"/>
    <x v="741"/>
    <d v="2015-07-03T00:00:00"/>
    <x v="0"/>
    <s v="DW-13585"/>
    <s v="Dorothy Wardle"/>
    <x v="1"/>
    <s v="United States"/>
    <x v="8"/>
    <x v="15"/>
    <x v="2"/>
    <s v="FUR-BO-10001918"/>
    <x v="0"/>
    <x v="0"/>
    <s v="Sauder Forest Hills Library with Doors, Woodland Oak Finish"/>
    <n v="482.94"/>
    <n v="6"/>
    <n v="-376.69319999999999"/>
    <x v="2"/>
    <x v="2"/>
  </r>
  <r>
    <s v="CA-2015-163181"/>
    <x v="86"/>
    <d v="2015-11-12T00:00:00"/>
    <x v="1"/>
    <s v="AB-10105"/>
    <s v="Adrian Barton"/>
    <x v="0"/>
    <s v="United States"/>
    <x v="6"/>
    <x v="5"/>
    <x v="3"/>
    <s v="FUR-FU-10000193"/>
    <x v="0"/>
    <x v="3"/>
    <s v="Tenex Chairmats For Use with Hard Floors"/>
    <n v="64.959999999999994"/>
    <n v="5"/>
    <n v="-84.447999999999993"/>
    <x v="2"/>
    <x v="0"/>
  </r>
  <r>
    <s v="CA-2017-153045"/>
    <x v="850"/>
    <d v="2017-01-24T00:00:00"/>
    <x v="0"/>
    <s v="NS-18505"/>
    <s v="Neola Schneider"/>
    <x v="0"/>
    <s v="United States"/>
    <x v="3"/>
    <x v="3"/>
    <x v="2"/>
    <s v="FUR-FU-10002759"/>
    <x v="0"/>
    <x v="3"/>
    <s v="12-1/2 Diameter Round Wall Clock"/>
    <n v="31.968"/>
    <n v="2"/>
    <n v="6.3936000000000002"/>
    <x v="2"/>
    <x v="8"/>
  </r>
  <r>
    <s v="CA-2017-153045"/>
    <x v="850"/>
    <d v="2017-01-24T00:00:00"/>
    <x v="0"/>
    <s v="NS-18505"/>
    <s v="Neola Schneider"/>
    <x v="0"/>
    <s v="United States"/>
    <x v="3"/>
    <x v="3"/>
    <x v="2"/>
    <s v="FUR-CH-10000309"/>
    <x v="0"/>
    <x v="1"/>
    <s v="Global Comet Stacking Arm Chair"/>
    <n v="887.27099999999996"/>
    <n v="3"/>
    <n v="-63.3765"/>
    <x v="2"/>
    <x v="8"/>
  </r>
  <r>
    <s v="CA-2016-128916"/>
    <x v="851"/>
    <d v="2016-08-20T00:00:00"/>
    <x v="0"/>
    <s v="MA-17560"/>
    <s v="Matt Abelman"/>
    <x v="2"/>
    <s v="United States"/>
    <x v="6"/>
    <x v="5"/>
    <x v="3"/>
    <s v="FUR-FU-10001940"/>
    <x v="0"/>
    <x v="3"/>
    <s v="Staple-based wall hangings"/>
    <n v="9.5519999999999996"/>
    <n v="3"/>
    <n v="-3.8208000000000002"/>
    <x v="3"/>
    <x v="10"/>
  </r>
  <r>
    <s v="CA-2016-128916"/>
    <x v="851"/>
    <d v="2016-08-20T00:00:00"/>
    <x v="0"/>
    <s v="MA-17560"/>
    <s v="Matt Abelman"/>
    <x v="2"/>
    <s v="United States"/>
    <x v="6"/>
    <x v="5"/>
    <x v="3"/>
    <s v="FUR-FU-10000320"/>
    <x v="0"/>
    <x v="3"/>
    <s v="OIC Stacking Trays"/>
    <n v="5.3440000000000003"/>
    <n v="4"/>
    <n v="-2.1375999999999999"/>
    <x v="3"/>
    <x v="10"/>
  </r>
  <r>
    <s v="CA-2016-130911"/>
    <x v="852"/>
    <d v="2016-03-26T00:00:00"/>
    <x v="0"/>
    <s v="DC-12850"/>
    <s v="Dan Campbell"/>
    <x v="0"/>
    <s v="United States"/>
    <x v="59"/>
    <x v="15"/>
    <x v="2"/>
    <s v="FUR-BO-10004357"/>
    <x v="0"/>
    <x v="0"/>
    <s v="O'Sullivan Living Dimensions 3-Shelf Bookcases"/>
    <n v="301.47000000000003"/>
    <n v="3"/>
    <n v="-241.17599999999999"/>
    <x v="3"/>
    <x v="9"/>
  </r>
  <r>
    <s v="CA-2017-100055"/>
    <x v="15"/>
    <d v="2017-06-01T00:00:00"/>
    <x v="1"/>
    <s v="MD-17860"/>
    <s v="Michael Dominguez"/>
    <x v="1"/>
    <s v="United States"/>
    <x v="359"/>
    <x v="32"/>
    <x v="2"/>
    <s v="FUR-FU-10001473"/>
    <x v="0"/>
    <x v="3"/>
    <s v="DAX Wood Document Frame"/>
    <n v="27.46"/>
    <n v="2"/>
    <n v="9.8856000000000002"/>
    <x v="4"/>
    <x v="7"/>
  </r>
  <r>
    <s v="CA-2016-132990"/>
    <x v="853"/>
    <d v="2016-08-03T00:00:00"/>
    <x v="0"/>
    <s v="KM-16660"/>
    <s v="Khloe Miller"/>
    <x v="0"/>
    <s v="United States"/>
    <x v="3"/>
    <x v="3"/>
    <x v="2"/>
    <s v="FUR-FU-10004864"/>
    <x v="0"/>
    <x v="3"/>
    <s v="Eldon 500 Class Desk Accessories"/>
    <n v="19.312000000000001"/>
    <n v="2"/>
    <n v="3.1381999999999999"/>
    <x v="3"/>
    <x v="10"/>
  </r>
  <r>
    <s v="CA-2016-160108"/>
    <x v="6"/>
    <d v="2016-12-12T00:00:00"/>
    <x v="1"/>
    <s v="AG-10900"/>
    <s v="Arthur Gainer"/>
    <x v="0"/>
    <s v="United States"/>
    <x v="360"/>
    <x v="16"/>
    <x v="3"/>
    <s v="FUR-BO-10003450"/>
    <x v="0"/>
    <x v="0"/>
    <s v="Bush Westfield Collection Bookcases, Dark Cherry Finish"/>
    <n v="405.86"/>
    <n v="7"/>
    <n v="32.468800000000002"/>
    <x v="4"/>
    <x v="5"/>
  </r>
  <r>
    <s v="CA-2016-160108"/>
    <x v="6"/>
    <d v="2016-12-12T00:00:00"/>
    <x v="1"/>
    <s v="AG-10900"/>
    <s v="Arthur Gainer"/>
    <x v="0"/>
    <s v="United States"/>
    <x v="360"/>
    <x v="16"/>
    <x v="3"/>
    <s v="FUR-CH-10002335"/>
    <x v="0"/>
    <x v="1"/>
    <s v="Hon GuestStacker Chair"/>
    <n v="680.01"/>
    <n v="3"/>
    <n v="176.80260000000001"/>
    <x v="4"/>
    <x v="5"/>
  </r>
  <r>
    <s v="US-2016-155768"/>
    <x v="193"/>
    <d v="2016-12-01T00:00:00"/>
    <x v="3"/>
    <s v="LB-16795"/>
    <s v="Laurel Beltran"/>
    <x v="2"/>
    <s v="United States"/>
    <x v="299"/>
    <x v="2"/>
    <x v="1"/>
    <s v="FUR-FU-10000448"/>
    <x v="0"/>
    <x v="3"/>
    <s v="Tenex Chairmats For Use With Carpeted Floors"/>
    <n v="31.96"/>
    <n v="2"/>
    <n v="1.5980000000000001"/>
    <x v="7"/>
    <x v="5"/>
  </r>
  <r>
    <s v="CA-2017-156776"/>
    <x v="854"/>
    <d v="2017-08-11T00:00:00"/>
    <x v="1"/>
    <s v="JL-15505"/>
    <s v="Jeremy Lonsdale"/>
    <x v="0"/>
    <s v="United States"/>
    <x v="327"/>
    <x v="2"/>
    <x v="1"/>
    <s v="FUR-FU-10004848"/>
    <x v="0"/>
    <x v="3"/>
    <s v="Howard Miller 13-3/4&quot; Diameter Brushed Chrome Round Wall Clock"/>
    <n v="51.75"/>
    <n v="1"/>
    <n v="15.525"/>
    <x v="4"/>
    <x v="10"/>
  </r>
  <r>
    <s v="CA-2017-156776"/>
    <x v="854"/>
    <d v="2017-08-11T00:00:00"/>
    <x v="1"/>
    <s v="JL-15505"/>
    <s v="Jeremy Lonsdale"/>
    <x v="0"/>
    <s v="United States"/>
    <x v="327"/>
    <x v="2"/>
    <x v="1"/>
    <s v="FUR-CH-10002317"/>
    <x v="0"/>
    <x v="1"/>
    <s v="Global Enterprise Series Seating Low-Back Swivel/Tilt Chairs"/>
    <n v="207.184"/>
    <n v="1"/>
    <n v="25.898"/>
    <x v="4"/>
    <x v="10"/>
  </r>
  <r>
    <s v="CA-2014-103310"/>
    <x v="769"/>
    <d v="2014-05-15T00:00:00"/>
    <x v="1"/>
    <s v="GM-14680"/>
    <s v="Greg Matthias"/>
    <x v="0"/>
    <s v="United States"/>
    <x v="124"/>
    <x v="2"/>
    <x v="1"/>
    <s v="FUR-CH-10002320"/>
    <x v="0"/>
    <x v="1"/>
    <s v="Hon Pagoda Stacking Chairs"/>
    <n v="256.78399999999999"/>
    <n v="1"/>
    <n v="32.097999999999999"/>
    <x v="2"/>
    <x v="7"/>
  </r>
  <r>
    <s v="CA-2016-152688"/>
    <x v="816"/>
    <d v="2016-10-20T00:00:00"/>
    <x v="2"/>
    <s v="NR-18550"/>
    <s v="Nick Radford"/>
    <x v="0"/>
    <s v="United States"/>
    <x v="361"/>
    <x v="18"/>
    <x v="2"/>
    <s v="FUR-BO-10001337"/>
    <x v="0"/>
    <x v="0"/>
    <s v="O'Sullivan Living Dimensions 2-Shelf Bookcases"/>
    <n v="120.98"/>
    <n v="1"/>
    <n v="12.098000000000001"/>
    <x v="0"/>
    <x v="1"/>
  </r>
  <r>
    <s v="CA-2014-144071"/>
    <x v="489"/>
    <d v="2014-12-15T00:00:00"/>
    <x v="1"/>
    <s v="DJ-13420"/>
    <s v="Denny Joy"/>
    <x v="1"/>
    <s v="United States"/>
    <x v="28"/>
    <x v="2"/>
    <x v="1"/>
    <s v="FUR-FU-10000397"/>
    <x v="0"/>
    <x v="3"/>
    <s v="Luxo Economy Swing Arm Lamp"/>
    <n v="39.880000000000003"/>
    <n v="2"/>
    <n v="11.166399999999999"/>
    <x v="1"/>
    <x v="5"/>
  </r>
  <r>
    <s v="CA-2014-144071"/>
    <x v="489"/>
    <d v="2014-12-15T00:00:00"/>
    <x v="1"/>
    <s v="DJ-13420"/>
    <s v="Denny Joy"/>
    <x v="1"/>
    <s v="United States"/>
    <x v="28"/>
    <x v="2"/>
    <x v="1"/>
    <s v="FUR-FU-10000758"/>
    <x v="0"/>
    <x v="3"/>
    <s v="DAX Natural Wood-Tone Poster Frame"/>
    <n v="79.44"/>
    <n v="3"/>
    <n v="28.598400000000002"/>
    <x v="1"/>
    <x v="5"/>
  </r>
  <r>
    <s v="US-2015-164238"/>
    <x v="793"/>
    <d v="2015-08-20T00:00:00"/>
    <x v="1"/>
    <s v="JW-15955"/>
    <s v="Joni Wasserman"/>
    <x v="0"/>
    <s v="United States"/>
    <x v="3"/>
    <x v="3"/>
    <x v="2"/>
    <s v="FUR-BO-10000780"/>
    <x v="0"/>
    <x v="0"/>
    <s v="O'Sullivan Plantations 2-Door Library in Landvery Oak"/>
    <n v="301.47000000000003"/>
    <n v="3"/>
    <n v="-204.99959999999999"/>
    <x v="4"/>
    <x v="10"/>
  </r>
  <r>
    <s v="CA-2017-103212"/>
    <x v="540"/>
    <d v="2017-10-14T00:00:00"/>
    <x v="2"/>
    <s v="MH-18025"/>
    <s v="Michelle Huthwaite"/>
    <x v="0"/>
    <s v="United States"/>
    <x v="120"/>
    <x v="35"/>
    <x v="0"/>
    <s v="FUR-TA-10003473"/>
    <x v="0"/>
    <x v="2"/>
    <s v="Bretford Rectangular Conference Table Tops"/>
    <n v="1504.52"/>
    <n v="4"/>
    <n v="346.03960000000001"/>
    <x v="5"/>
    <x v="1"/>
  </r>
  <r>
    <s v="CA-2016-126732"/>
    <x v="227"/>
    <d v="2016-09-06T00:00:00"/>
    <x v="1"/>
    <s v="LR-16915"/>
    <s v="Lena Radford"/>
    <x v="0"/>
    <s v="United States"/>
    <x v="2"/>
    <x v="2"/>
    <x v="1"/>
    <s v="FUR-FU-10001889"/>
    <x v="0"/>
    <x v="3"/>
    <s v="Ultra Door Pull Handle"/>
    <n v="94.68"/>
    <n v="9"/>
    <n v="31.244399999999999"/>
    <x v="4"/>
    <x v="4"/>
  </r>
  <r>
    <s v="CA-2016-126732"/>
    <x v="227"/>
    <d v="2016-09-06T00:00:00"/>
    <x v="1"/>
    <s v="LR-16915"/>
    <s v="Lena Radford"/>
    <x v="0"/>
    <s v="United States"/>
    <x v="2"/>
    <x v="2"/>
    <x v="1"/>
    <s v="FUR-TA-10001539"/>
    <x v="0"/>
    <x v="2"/>
    <s v="Chromcraft Rectangular Conference Tables"/>
    <n v="568.72799999999995"/>
    <n v="3"/>
    <n v="28.436399999999999"/>
    <x v="4"/>
    <x v="4"/>
  </r>
  <r>
    <s v="CA-2017-138156"/>
    <x v="441"/>
    <d v="2017-02-14T00:00:00"/>
    <x v="2"/>
    <s v="MM-17260"/>
    <s v="Magdelene Morse"/>
    <x v="0"/>
    <s v="United States"/>
    <x v="29"/>
    <x v="15"/>
    <x v="2"/>
    <s v="FUR-FU-10003601"/>
    <x v="0"/>
    <x v="3"/>
    <s v="Deflect-o RollaMat Studded, Beveled Mat for Medium Pile Carpeting"/>
    <n v="147.56800000000001"/>
    <n v="2"/>
    <n v="-3.6892"/>
    <x v="0"/>
    <x v="11"/>
  </r>
  <r>
    <s v="CA-2014-113271"/>
    <x v="855"/>
    <d v="2014-07-14T00:00:00"/>
    <x v="1"/>
    <s v="DS-13030"/>
    <s v="Darrin Sayre"/>
    <x v="2"/>
    <s v="United States"/>
    <x v="28"/>
    <x v="2"/>
    <x v="1"/>
    <s v="FUR-BO-10004218"/>
    <x v="0"/>
    <x v="0"/>
    <s v="Bush Heritage Pine Collection 5-Shelf Bookcase, Albany Pine Finish, *Special Order"/>
    <n v="119.833"/>
    <n v="1"/>
    <n v="7.0490000000000004"/>
    <x v="2"/>
    <x v="3"/>
  </r>
  <r>
    <s v="CA-2014-168368"/>
    <x v="651"/>
    <d v="2014-02-15T00:00:00"/>
    <x v="0"/>
    <s v="GA-14725"/>
    <s v="Guy Armstrong"/>
    <x v="0"/>
    <s v="United States"/>
    <x v="11"/>
    <x v="23"/>
    <x v="3"/>
    <s v="FUR-CH-10001146"/>
    <x v="0"/>
    <x v="1"/>
    <s v="Global Value Mid-Back Manager's Chair, Gray"/>
    <n v="60.89"/>
    <n v="1"/>
    <n v="15.2225"/>
    <x v="4"/>
    <x v="11"/>
  </r>
  <r>
    <s v="CA-2014-168368"/>
    <x v="651"/>
    <d v="2014-02-15T00:00:00"/>
    <x v="0"/>
    <s v="GA-14725"/>
    <s v="Guy Armstrong"/>
    <x v="0"/>
    <s v="United States"/>
    <x v="11"/>
    <x v="23"/>
    <x v="3"/>
    <s v="FUR-FU-10002298"/>
    <x v="0"/>
    <x v="3"/>
    <s v="Rubbermaid ClusterMat Chairmats, Mat Size- 66&quot; x 60&quot;, Lip 20&quot; x 11&quot; -90 Degree Angle"/>
    <n v="332.94"/>
    <n v="3"/>
    <n v="53.270400000000002"/>
    <x v="4"/>
    <x v="11"/>
  </r>
  <r>
    <s v="CA-2017-111388"/>
    <x v="113"/>
    <d v="2017-09-02T00:00:00"/>
    <x v="3"/>
    <s v="SU-20665"/>
    <s v="Stephanie Ulpright"/>
    <x v="2"/>
    <s v="United States"/>
    <x v="15"/>
    <x v="13"/>
    <x v="1"/>
    <s v="FUR-CH-10003061"/>
    <x v="0"/>
    <x v="1"/>
    <s v="Global Leather Task Chair, Black"/>
    <n v="215.976"/>
    <n v="3"/>
    <n v="-2.6997"/>
    <x v="7"/>
    <x v="4"/>
  </r>
  <r>
    <s v="CA-2015-124499"/>
    <x v="856"/>
    <d v="2015-10-13T00:00:00"/>
    <x v="1"/>
    <s v="FM-14380"/>
    <s v="Fred McMath"/>
    <x v="0"/>
    <s v="United States"/>
    <x v="25"/>
    <x v="17"/>
    <x v="3"/>
    <s v="FUR-CH-10000513"/>
    <x v="0"/>
    <x v="1"/>
    <s v="High-Back Leather Manager's Chair"/>
    <n v="389.97"/>
    <n v="3"/>
    <n v="35.097299999999997"/>
    <x v="4"/>
    <x v="1"/>
  </r>
  <r>
    <s v="CA-2014-125759"/>
    <x v="857"/>
    <d v="2014-02-09T00:00:00"/>
    <x v="2"/>
    <s v="NM-18445"/>
    <s v="Nathan Mautz"/>
    <x v="2"/>
    <s v="United States"/>
    <x v="111"/>
    <x v="34"/>
    <x v="1"/>
    <s v="FUR-FU-10002111"/>
    <x v="0"/>
    <x v="3"/>
    <s v="Master Caster Door Stop, Large Brown"/>
    <n v="14.56"/>
    <n v="2"/>
    <n v="5.5327999999999999"/>
    <x v="5"/>
    <x v="11"/>
  </r>
  <r>
    <s v="CA-2015-151869"/>
    <x v="4"/>
    <d v="2015-09-25T00:00:00"/>
    <x v="3"/>
    <s v="CS-11950"/>
    <s v="Carlos Soltero"/>
    <x v="0"/>
    <s v="United States"/>
    <x v="234"/>
    <x v="7"/>
    <x v="2"/>
    <s v="FUR-CH-10001545"/>
    <x v="0"/>
    <x v="1"/>
    <s v="Hon Comfortask Task/Swivel Chairs"/>
    <n v="102.58199999999999"/>
    <n v="1"/>
    <n v="6.8388"/>
    <x v="7"/>
    <x v="4"/>
  </r>
  <r>
    <s v="CA-2016-100510"/>
    <x v="858"/>
    <d v="2016-05-17T00:00:00"/>
    <x v="1"/>
    <s v="HM-14860"/>
    <s v="Harry Marie"/>
    <x v="1"/>
    <s v="United States"/>
    <x v="13"/>
    <x v="7"/>
    <x v="2"/>
    <s v="FUR-FU-10000320"/>
    <x v="0"/>
    <x v="3"/>
    <s v="OIC Stacking Trays"/>
    <n v="10.02"/>
    <n v="3"/>
    <n v="4.4088000000000003"/>
    <x v="2"/>
    <x v="7"/>
  </r>
  <r>
    <s v="CA-2017-122539"/>
    <x v="451"/>
    <d v="2017-12-05T00:00:00"/>
    <x v="1"/>
    <s v="SC-20305"/>
    <s v="Sean Christensen"/>
    <x v="0"/>
    <s v="United States"/>
    <x v="3"/>
    <x v="3"/>
    <x v="2"/>
    <s v="FUR-CH-10003379"/>
    <x v="0"/>
    <x v="1"/>
    <s v="Global Commerce Series High-Back Swivel/Tilt Chairs"/>
    <n v="398.97199999999998"/>
    <n v="2"/>
    <n v="-28.498000000000001"/>
    <x v="4"/>
    <x v="5"/>
  </r>
  <r>
    <s v="CA-2016-166772"/>
    <x v="649"/>
    <d v="2016-09-24T00:00:00"/>
    <x v="1"/>
    <s v="HJ-14875"/>
    <s v="Heather Jas"/>
    <x v="2"/>
    <s v="United States"/>
    <x v="15"/>
    <x v="13"/>
    <x v="1"/>
    <s v="FUR-BO-10002853"/>
    <x v="0"/>
    <x v="0"/>
    <s v="O'Sullivan 5-Shelf Heavy-Duty Bookcases"/>
    <n v="163.88"/>
    <n v="2"/>
    <n v="40.97"/>
    <x v="4"/>
    <x v="4"/>
  </r>
  <r>
    <s v="CA-2014-161032"/>
    <x v="356"/>
    <d v="2014-11-23T00:00:00"/>
    <x v="1"/>
    <s v="MK-17905"/>
    <s v="Michael Kennedy"/>
    <x v="1"/>
    <s v="United States"/>
    <x v="20"/>
    <x v="16"/>
    <x v="3"/>
    <s v="FUR-CH-10001482"/>
    <x v="0"/>
    <x v="1"/>
    <s v="Office Star - Mesh Screen back chair with Vinyl seat"/>
    <n v="392.94"/>
    <n v="3"/>
    <n v="43.223399999999998"/>
    <x v="2"/>
    <x v="0"/>
  </r>
  <r>
    <s v="CA-2015-102778"/>
    <x v="32"/>
    <d v="2015-11-24T00:00:00"/>
    <x v="2"/>
    <s v="JH-15820"/>
    <s v="John Huston"/>
    <x v="0"/>
    <s v="United States"/>
    <x v="91"/>
    <x v="30"/>
    <x v="0"/>
    <s v="FUR-FU-10000087"/>
    <x v="0"/>
    <x v="3"/>
    <s v="Executive Impressions 14&quot; Two-Color Numerals Wall Clock"/>
    <n v="18.175999999999998"/>
    <n v="1"/>
    <n v="4.7712000000000003"/>
    <x v="0"/>
    <x v="0"/>
  </r>
  <r>
    <s v="CA-2017-154011"/>
    <x v="744"/>
    <d v="2017-06-26T00:00:00"/>
    <x v="1"/>
    <s v="DB-13270"/>
    <s v="Deborah Brumfield"/>
    <x v="2"/>
    <s v="United States"/>
    <x v="144"/>
    <x v="5"/>
    <x v="3"/>
    <s v="FUR-TA-10000688"/>
    <x v="0"/>
    <x v="2"/>
    <s v="Chromcraft Bull-Nose Wood Round Conference Table Top, Wood Base"/>
    <n v="457.48500000000001"/>
    <n v="3"/>
    <n v="-84.961500000000001"/>
    <x v="1"/>
    <x v="2"/>
  </r>
  <r>
    <s v="US-2017-165456"/>
    <x v="147"/>
    <d v="2017-12-03T00:00:00"/>
    <x v="2"/>
    <s v="TB-21625"/>
    <s v="Trudy Brown"/>
    <x v="0"/>
    <s v="United States"/>
    <x v="3"/>
    <x v="3"/>
    <x v="2"/>
    <s v="FUR-CH-10003981"/>
    <x v="0"/>
    <x v="1"/>
    <s v="Global Commerce Series Low-Back Swivel/Tilt Chairs"/>
    <n v="1079.316"/>
    <n v="6"/>
    <n v="-15.418799999999999"/>
    <x v="0"/>
    <x v="0"/>
  </r>
  <r>
    <s v="CA-2017-161340"/>
    <x v="15"/>
    <d v="2017-06-01T00:00:00"/>
    <x v="1"/>
    <s v="AM-10360"/>
    <s v="Alice McCarthy"/>
    <x v="1"/>
    <s v="United States"/>
    <x v="59"/>
    <x v="15"/>
    <x v="2"/>
    <s v="FUR-BO-10004709"/>
    <x v="0"/>
    <x v="0"/>
    <s v="Bush Westfield Collection Bookcases, Medium Cherry Finish"/>
    <n v="115.96"/>
    <n v="4"/>
    <n v="-64.937600000000003"/>
    <x v="4"/>
    <x v="7"/>
  </r>
  <r>
    <s v="US-2015-163433"/>
    <x v="8"/>
    <d v="2015-04-22T00:00:00"/>
    <x v="0"/>
    <s v="MP-17965"/>
    <s v="Michael Paige"/>
    <x v="1"/>
    <s v="United States"/>
    <x v="362"/>
    <x v="5"/>
    <x v="3"/>
    <s v="FUR-CH-10000225"/>
    <x v="0"/>
    <x v="1"/>
    <s v="Global Geo Office Task Chair, Gray"/>
    <n v="56.686"/>
    <n v="1"/>
    <n v="-20.245000000000001"/>
    <x v="4"/>
    <x v="6"/>
  </r>
  <r>
    <s v="US-2017-108343"/>
    <x v="96"/>
    <d v="2017-07-25T00:00:00"/>
    <x v="1"/>
    <s v="AR-10825"/>
    <s v="Anthony Rawles"/>
    <x v="1"/>
    <s v="United States"/>
    <x v="13"/>
    <x v="7"/>
    <x v="2"/>
    <s v="FUR-CH-10002780"/>
    <x v="0"/>
    <x v="1"/>
    <s v="Office Star - Task Chair with Contemporary Loop Arms"/>
    <n v="163.76400000000001"/>
    <n v="2"/>
    <n v="25.474399999999999"/>
    <x v="2"/>
    <x v="3"/>
  </r>
  <r>
    <s v="US-2017-108343"/>
    <x v="96"/>
    <d v="2017-07-25T00:00:00"/>
    <x v="1"/>
    <s v="AR-10825"/>
    <s v="Anthony Rawles"/>
    <x v="1"/>
    <s v="United States"/>
    <x v="13"/>
    <x v="7"/>
    <x v="2"/>
    <s v="FUR-FU-10000747"/>
    <x v="0"/>
    <x v="3"/>
    <s v="Tenex B1-RE Series Chair Mats for Low Pile Carpets"/>
    <n v="183.92"/>
    <n v="4"/>
    <n v="31.266400000000001"/>
    <x v="2"/>
    <x v="3"/>
  </r>
  <r>
    <s v="US-2016-111563"/>
    <x v="114"/>
    <d v="2016-11-08T00:00:00"/>
    <x v="1"/>
    <s v="SM-20005"/>
    <s v="Sally Matthias"/>
    <x v="0"/>
    <s v="United States"/>
    <x v="6"/>
    <x v="5"/>
    <x v="3"/>
    <s v="FUR-FU-10002445"/>
    <x v="0"/>
    <x v="3"/>
    <s v="DAX Two-Tone Rosewood/Black Document Frame, Desktop, 5 x 7"/>
    <n v="11.375999999999999"/>
    <n v="3"/>
    <n v="-5.6879999999999997"/>
    <x v="4"/>
    <x v="0"/>
  </r>
  <r>
    <s v="US-2016-111563"/>
    <x v="114"/>
    <d v="2016-11-08T00:00:00"/>
    <x v="1"/>
    <s v="SM-20005"/>
    <s v="Sally Matthias"/>
    <x v="0"/>
    <s v="United States"/>
    <x v="6"/>
    <x v="5"/>
    <x v="3"/>
    <s v="FUR-FU-10000723"/>
    <x v="0"/>
    <x v="3"/>
    <s v="Deflect-o EconoMat Studded, No Bevel Mat for Low Pile Carpeting"/>
    <n v="66.111999999999995"/>
    <n v="4"/>
    <n v="-84.2928"/>
    <x v="4"/>
    <x v="0"/>
  </r>
  <r>
    <s v="CA-2017-121853"/>
    <x v="204"/>
    <d v="2017-09-29T00:00:00"/>
    <x v="1"/>
    <s v="DB-13660"/>
    <s v="Duane Benoit"/>
    <x v="0"/>
    <s v="United States"/>
    <x v="2"/>
    <x v="2"/>
    <x v="1"/>
    <s v="FUR-CH-10003973"/>
    <x v="0"/>
    <x v="1"/>
    <s v="GuestStacker Chair with Chrome Finish Legs"/>
    <n v="594.81600000000003"/>
    <n v="2"/>
    <n v="59.4816"/>
    <x v="6"/>
    <x v="4"/>
  </r>
  <r>
    <s v="US-2017-130687"/>
    <x v="87"/>
    <d v="2017-09-10T00:00:00"/>
    <x v="2"/>
    <s v="PF-19225"/>
    <s v="Phillip Flathmann"/>
    <x v="0"/>
    <s v="United States"/>
    <x v="71"/>
    <x v="13"/>
    <x v="1"/>
    <s v="FUR-FU-10004053"/>
    <x v="0"/>
    <x v="3"/>
    <s v="DAX Two-Tone Silver Metal Document Frame"/>
    <n v="80.959999999999994"/>
    <n v="4"/>
    <n v="34.812800000000003"/>
    <x v="0"/>
    <x v="4"/>
  </r>
  <r>
    <s v="CA-2017-110198"/>
    <x v="806"/>
    <d v="2017-05-02T00:00:00"/>
    <x v="2"/>
    <s v="AG-10900"/>
    <s v="Arthur Gainer"/>
    <x v="0"/>
    <s v="United States"/>
    <x v="97"/>
    <x v="1"/>
    <x v="0"/>
    <s v="FUR-BO-10001798"/>
    <x v="0"/>
    <x v="0"/>
    <s v="Bush Somerset Collection Bookcase"/>
    <n v="314.35199999999998"/>
    <n v="3"/>
    <n v="-15.717599999999999"/>
    <x v="5"/>
    <x v="7"/>
  </r>
  <r>
    <s v="CA-2017-109085"/>
    <x v="506"/>
    <d v="2017-02-20T00:00:00"/>
    <x v="2"/>
    <s v="CK-12325"/>
    <s v="Christine Kargatis"/>
    <x v="2"/>
    <s v="United States"/>
    <x v="8"/>
    <x v="15"/>
    <x v="2"/>
    <s v="FUR-TA-10001086"/>
    <x v="0"/>
    <x v="2"/>
    <s v="SAFCO PlanMaster Boards, 60w x 37-1/2d, White Melamine"/>
    <n v="455.97"/>
    <n v="5"/>
    <n v="-106.393"/>
    <x v="0"/>
    <x v="11"/>
  </r>
  <r>
    <s v="CA-2017-109085"/>
    <x v="506"/>
    <d v="2017-02-20T00:00:00"/>
    <x v="2"/>
    <s v="CK-12325"/>
    <s v="Christine Kargatis"/>
    <x v="2"/>
    <s v="United States"/>
    <x v="8"/>
    <x v="15"/>
    <x v="2"/>
    <s v="FUR-FU-10004973"/>
    <x v="0"/>
    <x v="3"/>
    <s v="Flat Face Poster Frame"/>
    <n v="30.143999999999998"/>
    <n v="2"/>
    <n v="8.2896000000000001"/>
    <x v="0"/>
    <x v="11"/>
  </r>
  <r>
    <s v="CA-2017-109085"/>
    <x v="506"/>
    <d v="2017-02-20T00:00:00"/>
    <x v="2"/>
    <s v="CK-12325"/>
    <s v="Christine Kargatis"/>
    <x v="2"/>
    <s v="United States"/>
    <x v="8"/>
    <x v="15"/>
    <x v="2"/>
    <s v="FUR-CH-10003981"/>
    <x v="0"/>
    <x v="1"/>
    <s v="Global Commerce Series Low-Back Swivel/Tilt Chairs"/>
    <n v="899.43"/>
    <n v="5"/>
    <n v="-12.849"/>
    <x v="0"/>
    <x v="11"/>
  </r>
  <r>
    <s v="CA-2016-114860"/>
    <x v="286"/>
    <d v="2016-12-28T00:00:00"/>
    <x v="1"/>
    <s v="DN-13690"/>
    <s v="Duane Noonan"/>
    <x v="0"/>
    <s v="United States"/>
    <x v="363"/>
    <x v="2"/>
    <x v="1"/>
    <s v="FUR-FU-10000277"/>
    <x v="0"/>
    <x v="3"/>
    <s v="Deflect-o DuraMat Antistatic Studded Beveled Mat for Medium Pile Carpeting"/>
    <n v="842.72"/>
    <n v="8"/>
    <n v="202.25280000000001"/>
    <x v="6"/>
    <x v="5"/>
  </r>
  <r>
    <s v="CA-2016-114860"/>
    <x v="286"/>
    <d v="2016-12-28T00:00:00"/>
    <x v="1"/>
    <s v="DN-13690"/>
    <s v="Duane Noonan"/>
    <x v="0"/>
    <s v="United States"/>
    <x v="363"/>
    <x v="2"/>
    <x v="1"/>
    <s v="FUR-FU-10001934"/>
    <x v="0"/>
    <x v="3"/>
    <s v="Magnifier Swing Arm Lamp"/>
    <n v="41.96"/>
    <n v="2"/>
    <n v="10.909599999999999"/>
    <x v="6"/>
    <x v="5"/>
  </r>
  <r>
    <s v="CA-2016-159009"/>
    <x v="348"/>
    <d v="2016-09-27T00:00:00"/>
    <x v="1"/>
    <s v="DP-13105"/>
    <s v="Dave Poirier"/>
    <x v="1"/>
    <s v="United States"/>
    <x v="15"/>
    <x v="13"/>
    <x v="1"/>
    <s v="FUR-CH-10003396"/>
    <x v="0"/>
    <x v="1"/>
    <s v="Global Deluxe Steno Chair"/>
    <n v="184.75200000000001"/>
    <n v="3"/>
    <n v="-20.784600000000001"/>
    <x v="4"/>
    <x v="4"/>
  </r>
  <r>
    <s v="CA-2017-148411"/>
    <x v="118"/>
    <d v="2017-09-26T00:00:00"/>
    <x v="2"/>
    <s v="RO-19780"/>
    <s v="Rose O'Brian"/>
    <x v="0"/>
    <s v="United States"/>
    <x v="9"/>
    <x v="8"/>
    <x v="3"/>
    <s v="FUR-CH-10003973"/>
    <x v="0"/>
    <x v="1"/>
    <s v="GuestStacker Chair with Chrome Finish Legs"/>
    <n v="520.46400000000006"/>
    <n v="2"/>
    <n v="-14.8704"/>
    <x v="3"/>
    <x v="4"/>
  </r>
  <r>
    <s v="CA-2016-168046"/>
    <x v="859"/>
    <d v="2016-01-28T00:00:00"/>
    <x v="0"/>
    <s v="JD-15895"/>
    <s v="Jonathan Doherty"/>
    <x v="1"/>
    <s v="United States"/>
    <x v="13"/>
    <x v="7"/>
    <x v="2"/>
    <s v="FUR-TA-10001095"/>
    <x v="0"/>
    <x v="2"/>
    <s v="Chromcraft Round Conference Tables"/>
    <n v="313.72199999999998"/>
    <n v="3"/>
    <n v="-99.345299999999995"/>
    <x v="0"/>
    <x v="8"/>
  </r>
  <r>
    <s v="CA-2016-168046"/>
    <x v="859"/>
    <d v="2016-01-28T00:00:00"/>
    <x v="0"/>
    <s v="JD-15895"/>
    <s v="Jonathan Doherty"/>
    <x v="1"/>
    <s v="United States"/>
    <x v="13"/>
    <x v="7"/>
    <x v="2"/>
    <s v="FUR-FU-10000747"/>
    <x v="0"/>
    <x v="3"/>
    <s v="Tenex B1-RE Series Chair Mats for Low Pile Carpets"/>
    <n v="45.98"/>
    <n v="1"/>
    <n v="7.8166000000000002"/>
    <x v="0"/>
    <x v="8"/>
  </r>
  <r>
    <s v="CA-2017-111591"/>
    <x v="555"/>
    <d v="2017-03-25T00:00:00"/>
    <x v="1"/>
    <s v="PS-18970"/>
    <s v="Paul Stevenson"/>
    <x v="2"/>
    <s v="United States"/>
    <x v="15"/>
    <x v="13"/>
    <x v="1"/>
    <s v="FUR-FU-10002364"/>
    <x v="0"/>
    <x v="3"/>
    <s v="Eldon Expressions Wood Desk Accessories, Oak"/>
    <n v="22.14"/>
    <n v="3"/>
    <n v="6.4206000000000003"/>
    <x v="4"/>
    <x v="9"/>
  </r>
  <r>
    <s v="CA-2017-113460"/>
    <x v="388"/>
    <d v="2017-11-09T00:00:00"/>
    <x v="0"/>
    <s v="KN-16390"/>
    <s v="Katherine Nockton"/>
    <x v="1"/>
    <s v="United States"/>
    <x v="218"/>
    <x v="32"/>
    <x v="2"/>
    <s v="FUR-CH-10000422"/>
    <x v="0"/>
    <x v="1"/>
    <s v="Global Highback Leather Tilter in Burgundy"/>
    <n v="272.97000000000003"/>
    <n v="3"/>
    <n v="43.675199999999997"/>
    <x v="3"/>
    <x v="0"/>
  </r>
  <r>
    <s v="CA-2015-111339"/>
    <x v="860"/>
    <d v="2015-05-31T00:00:00"/>
    <x v="2"/>
    <s v="VP-21760"/>
    <s v="Victoria Pisteka"/>
    <x v="1"/>
    <s v="United States"/>
    <x v="29"/>
    <x v="15"/>
    <x v="2"/>
    <s v="FUR-FU-10002506"/>
    <x v="0"/>
    <x v="3"/>
    <s v="Tensor &quot;Hersey Kiss&quot; Styled Floor Lamp"/>
    <n v="41.567999999999998"/>
    <n v="4"/>
    <n v="-4.1567999999999996"/>
    <x v="3"/>
    <x v="7"/>
  </r>
  <r>
    <s v="CA-2015-111339"/>
    <x v="860"/>
    <d v="2015-05-31T00:00:00"/>
    <x v="2"/>
    <s v="VP-21760"/>
    <s v="Victoria Pisteka"/>
    <x v="1"/>
    <s v="United States"/>
    <x v="29"/>
    <x v="15"/>
    <x v="2"/>
    <s v="FUR-CH-10000863"/>
    <x v="0"/>
    <x v="1"/>
    <s v="Novimex Swivel Fabric Task Chair"/>
    <n v="317.05799999999999"/>
    <n v="3"/>
    <n v="-86.058599999999998"/>
    <x v="3"/>
    <x v="7"/>
  </r>
  <r>
    <s v="CA-2014-154158"/>
    <x v="520"/>
    <d v="2014-12-27T00:00:00"/>
    <x v="0"/>
    <s v="CC-12670"/>
    <s v="Craig Carreira"/>
    <x v="0"/>
    <s v="United States"/>
    <x v="26"/>
    <x v="1"/>
    <x v="0"/>
    <s v="FUR-CH-10004698"/>
    <x v="0"/>
    <x v="1"/>
    <s v="Padded Folding Chairs, Black, 4/Carton"/>
    <n v="64.784000000000006"/>
    <n v="1"/>
    <n v="6.4783999999999997"/>
    <x v="4"/>
    <x v="5"/>
  </r>
  <r>
    <s v="CA-2017-163097"/>
    <x v="60"/>
    <d v="2017-08-31T00:00:00"/>
    <x v="1"/>
    <s v="SF-20200"/>
    <s v="Sarah Foster"/>
    <x v="0"/>
    <s v="United States"/>
    <x v="81"/>
    <x v="22"/>
    <x v="1"/>
    <s v="FUR-FU-10004973"/>
    <x v="0"/>
    <x v="3"/>
    <s v="Flat Face Poster Frame"/>
    <n v="120.57599999999999"/>
    <n v="8"/>
    <n v="33.1584"/>
    <x v="4"/>
    <x v="10"/>
  </r>
  <r>
    <s v="CA-2015-130848"/>
    <x v="551"/>
    <d v="2015-10-25T00:00:00"/>
    <x v="3"/>
    <s v="DG-13300"/>
    <s v="Deirdre Greer"/>
    <x v="1"/>
    <s v="United States"/>
    <x v="22"/>
    <x v="12"/>
    <x v="1"/>
    <s v="FUR-CH-10000422"/>
    <x v="0"/>
    <x v="1"/>
    <s v="Global Highback Leather Tilter in Burgundy"/>
    <n v="582.33600000000001"/>
    <n v="8"/>
    <n v="-29.116800000000001"/>
    <x v="7"/>
    <x v="1"/>
  </r>
  <r>
    <s v="CA-2014-125997"/>
    <x v="23"/>
    <d v="2014-09-23T00:00:00"/>
    <x v="2"/>
    <s v="MW-18220"/>
    <s v="Mitch Webber"/>
    <x v="0"/>
    <s v="United States"/>
    <x v="13"/>
    <x v="7"/>
    <x v="2"/>
    <s v="FUR-CH-10001394"/>
    <x v="0"/>
    <x v="1"/>
    <s v="Global Leather Executive Chair"/>
    <n v="631.78200000000004"/>
    <n v="2"/>
    <n v="140.39599999999999"/>
    <x v="0"/>
    <x v="4"/>
  </r>
  <r>
    <s v="CA-2014-125997"/>
    <x v="23"/>
    <d v="2014-09-23T00:00:00"/>
    <x v="2"/>
    <s v="MW-18220"/>
    <s v="Mitch Webber"/>
    <x v="0"/>
    <s v="United States"/>
    <x v="13"/>
    <x v="7"/>
    <x v="2"/>
    <s v="FUR-BO-10002213"/>
    <x v="0"/>
    <x v="0"/>
    <s v="DMI Eclipse Executive Suite Bookcases"/>
    <n v="801.56799999999998"/>
    <n v="2"/>
    <n v="-10.019600000000001"/>
    <x v="0"/>
    <x v="4"/>
  </r>
  <r>
    <s v="CA-2014-159814"/>
    <x v="861"/>
    <d v="2014-06-28T00:00:00"/>
    <x v="1"/>
    <s v="LP-17080"/>
    <s v="Liz Pelletier"/>
    <x v="0"/>
    <s v="United States"/>
    <x v="104"/>
    <x v="22"/>
    <x v="1"/>
    <s v="FUR-FU-10001731"/>
    <x v="0"/>
    <x v="3"/>
    <s v="Acrylic Self-Standing Desk Frames"/>
    <n v="4.2720000000000002"/>
    <n v="2"/>
    <n v="0.96120000000000005"/>
    <x v="4"/>
    <x v="2"/>
  </r>
  <r>
    <s v="CA-2016-105459"/>
    <x v="577"/>
    <d v="2016-08-17T00:00:00"/>
    <x v="0"/>
    <s v="NP-18700"/>
    <s v="Nora Preis"/>
    <x v="0"/>
    <s v="United States"/>
    <x v="13"/>
    <x v="7"/>
    <x v="2"/>
    <s v="FUR-TA-10001095"/>
    <x v="0"/>
    <x v="2"/>
    <s v="Chromcraft Round Conference Tables"/>
    <n v="209.148"/>
    <n v="2"/>
    <n v="-66.230199999999996"/>
    <x v="2"/>
    <x v="10"/>
  </r>
  <r>
    <s v="CA-2017-162789"/>
    <x v="320"/>
    <d v="2017-09-24T00:00:00"/>
    <x v="0"/>
    <s v="LC-17140"/>
    <s v="Logan Currie"/>
    <x v="0"/>
    <s v="United States"/>
    <x v="13"/>
    <x v="7"/>
    <x v="2"/>
    <s v="FUR-FU-10004864"/>
    <x v="0"/>
    <x v="3"/>
    <s v="Eldon 500 Class Desk Accessories"/>
    <n v="12.07"/>
    <n v="1"/>
    <n v="3.9830999999999999"/>
    <x v="3"/>
    <x v="4"/>
  </r>
  <r>
    <s v="US-2017-110149"/>
    <x v="247"/>
    <d v="2017-12-13T00:00:00"/>
    <x v="2"/>
    <s v="WB-21850"/>
    <s v="William Brown"/>
    <x v="0"/>
    <s v="United States"/>
    <x v="3"/>
    <x v="3"/>
    <x v="2"/>
    <s v="FUR-FU-10001475"/>
    <x v="0"/>
    <x v="3"/>
    <s v="Contract Clock, 14&quot;, Brown"/>
    <n v="87.92"/>
    <n v="5"/>
    <n v="15.385999999999999"/>
    <x v="0"/>
    <x v="5"/>
  </r>
  <r>
    <s v="CA-2015-164777"/>
    <x v="369"/>
    <d v="2015-01-29T00:00:00"/>
    <x v="2"/>
    <s v="SC-20305"/>
    <s v="Sean Christensen"/>
    <x v="0"/>
    <s v="United States"/>
    <x v="2"/>
    <x v="2"/>
    <x v="1"/>
    <s v="FUR-CH-10002024"/>
    <x v="0"/>
    <x v="1"/>
    <s v="HON 5400 Series Task Chairs for Big and Tall"/>
    <n v="2803.92"/>
    <n v="5"/>
    <n v="0"/>
    <x v="3"/>
    <x v="8"/>
  </r>
  <r>
    <s v="CA-2015-127824"/>
    <x v="862"/>
    <d v="2015-10-22T00:00:00"/>
    <x v="1"/>
    <s v="JC-15775"/>
    <s v="John Castell"/>
    <x v="0"/>
    <s v="United States"/>
    <x v="15"/>
    <x v="13"/>
    <x v="1"/>
    <s v="FUR-FU-10002505"/>
    <x v="0"/>
    <x v="3"/>
    <s v="Eldon 100 Class Desk Accessories"/>
    <n v="10.11"/>
    <n v="3"/>
    <n v="3.2351999999999999"/>
    <x v="4"/>
    <x v="1"/>
  </r>
  <r>
    <s v="CA-2014-116246"/>
    <x v="639"/>
    <d v="2014-09-17T00:00:00"/>
    <x v="0"/>
    <s v="LW-17215"/>
    <s v="Luke Weiss"/>
    <x v="0"/>
    <s v="United States"/>
    <x v="13"/>
    <x v="7"/>
    <x v="2"/>
    <s v="FUR-CH-10002024"/>
    <x v="0"/>
    <x v="1"/>
    <s v="HON 5400 Series Task Chairs for Big and Tall"/>
    <n v="3785.2919999999999"/>
    <n v="6"/>
    <n v="420.58800000000002"/>
    <x v="2"/>
    <x v="4"/>
  </r>
  <r>
    <s v="CA-2014-167486"/>
    <x v="863"/>
    <d v="2014-12-01T00:00:00"/>
    <x v="1"/>
    <s v="JO-15145"/>
    <s v="Jack O'Briant"/>
    <x v="1"/>
    <s v="United States"/>
    <x v="252"/>
    <x v="7"/>
    <x v="2"/>
    <s v="FUR-FU-10003268"/>
    <x v="0"/>
    <x v="3"/>
    <s v="Eldon Radial Chair Mat for Low to Medium Pile Carpets"/>
    <n v="199.9"/>
    <n v="5"/>
    <n v="39.979999999999997"/>
    <x v="4"/>
    <x v="0"/>
  </r>
  <r>
    <s v="CA-2014-152100"/>
    <x v="89"/>
    <d v="2014-05-16T00:00:00"/>
    <x v="1"/>
    <s v="VW-21775"/>
    <s v="Victoria Wilson"/>
    <x v="1"/>
    <s v="United States"/>
    <x v="156"/>
    <x v="5"/>
    <x v="3"/>
    <s v="FUR-CH-10000015"/>
    <x v="0"/>
    <x v="1"/>
    <s v="Hon Multipurpose Stacking Arm Chairs"/>
    <n v="1212.96"/>
    <n v="8"/>
    <n v="-69.311999999999998"/>
    <x v="2"/>
    <x v="7"/>
  </r>
  <r>
    <s v="CA-2015-166219"/>
    <x v="797"/>
    <d v="2015-09-01T00:00:00"/>
    <x v="1"/>
    <s v="BP-11185"/>
    <s v="Ben Peterman"/>
    <x v="1"/>
    <s v="United States"/>
    <x v="144"/>
    <x v="5"/>
    <x v="3"/>
    <s v="FUR-TA-10004607"/>
    <x v="0"/>
    <x v="2"/>
    <s v="Hon 2111 Invitation Series Straight Table"/>
    <n v="103.48099999999999"/>
    <n v="1"/>
    <n v="-16.261299999999999"/>
    <x v="4"/>
    <x v="10"/>
  </r>
  <r>
    <s v="CA-2017-136882"/>
    <x v="706"/>
    <d v="2017-06-03T00:00:00"/>
    <x v="1"/>
    <s v="DN-13690"/>
    <s v="Duane Noonan"/>
    <x v="0"/>
    <s v="United States"/>
    <x v="169"/>
    <x v="37"/>
    <x v="3"/>
    <s v="FUR-FU-10003664"/>
    <x v="0"/>
    <x v="3"/>
    <s v="Electrix Architect's Clamp-On Swing Arm Lamp, Black"/>
    <n v="477.3"/>
    <n v="5"/>
    <n v="138.417"/>
    <x v="1"/>
    <x v="7"/>
  </r>
  <r>
    <s v="US-2017-109610"/>
    <x v="608"/>
    <d v="2017-11-30T00:00:00"/>
    <x v="0"/>
    <s v="BS-11590"/>
    <s v="Brendan Sweed"/>
    <x v="1"/>
    <s v="United States"/>
    <x v="74"/>
    <x v="0"/>
    <x v="0"/>
    <s v="FUR-CH-10001854"/>
    <x v="0"/>
    <x v="1"/>
    <s v="Office Star - Professional Matrix Back Chair with 2-to-1 Synchro Tilt and Mesh Fabric Seat"/>
    <n v="701.96"/>
    <n v="2"/>
    <n v="168.47040000000001"/>
    <x v="2"/>
    <x v="0"/>
  </r>
  <r>
    <s v="CA-2016-126858"/>
    <x v="185"/>
    <d v="2016-11-23T00:00:00"/>
    <x v="1"/>
    <s v="JM-15265"/>
    <s v="Janet Molinari"/>
    <x v="1"/>
    <s v="United States"/>
    <x v="15"/>
    <x v="13"/>
    <x v="1"/>
    <s v="FUR-FU-10000448"/>
    <x v="0"/>
    <x v="3"/>
    <s v="Tenex Chairmats For Use With Carpeted Floors"/>
    <n v="31.96"/>
    <n v="2"/>
    <n v="1.5980000000000001"/>
    <x v="4"/>
    <x v="0"/>
  </r>
  <r>
    <s v="CA-2017-102925"/>
    <x v="864"/>
    <d v="2017-11-10T00:00:00"/>
    <x v="0"/>
    <s v="CD-12280"/>
    <s v="Christina DeMoss"/>
    <x v="0"/>
    <s v="United States"/>
    <x v="13"/>
    <x v="7"/>
    <x v="2"/>
    <s v="FUR-TA-10003469"/>
    <x v="0"/>
    <x v="2"/>
    <s v="Balt Split Level Computer Training Table"/>
    <n v="166.5"/>
    <n v="2"/>
    <n v="-66.599999999999994"/>
    <x v="2"/>
    <x v="0"/>
  </r>
  <r>
    <s v="CA-2017-102925"/>
    <x v="864"/>
    <d v="2017-11-10T00:00:00"/>
    <x v="0"/>
    <s v="CD-12280"/>
    <s v="Christina DeMoss"/>
    <x v="0"/>
    <s v="United States"/>
    <x v="13"/>
    <x v="7"/>
    <x v="2"/>
    <s v="FUR-CH-10004875"/>
    <x v="0"/>
    <x v="1"/>
    <s v="Harbour Creations 67200 Series Stacking Chairs"/>
    <n v="128.124"/>
    <n v="2"/>
    <n v="24.2012"/>
    <x v="2"/>
    <x v="0"/>
  </r>
  <r>
    <s v="CA-2017-102925"/>
    <x v="864"/>
    <d v="2017-11-10T00:00:00"/>
    <x v="0"/>
    <s v="CD-12280"/>
    <s v="Christina DeMoss"/>
    <x v="0"/>
    <s v="United States"/>
    <x v="13"/>
    <x v="7"/>
    <x v="2"/>
    <s v="FUR-FU-10004245"/>
    <x v="0"/>
    <x v="3"/>
    <s v="Career Cubicle Clock, 8 1/4&quot;, Black"/>
    <n v="101.4"/>
    <n v="5"/>
    <n v="38.531999999999996"/>
    <x v="2"/>
    <x v="0"/>
  </r>
  <r>
    <s v="CA-2015-100818"/>
    <x v="151"/>
    <d v="2015-06-05T00:00:00"/>
    <x v="0"/>
    <s v="JM-15265"/>
    <s v="Janet Molinari"/>
    <x v="1"/>
    <s v="United States"/>
    <x v="9"/>
    <x v="8"/>
    <x v="3"/>
    <s v="FUR-FU-10002703"/>
    <x v="0"/>
    <x v="3"/>
    <s v="Tenex Traditional Chairmats for Hard Floors, Average Lip, 36&quot; x 48&quot;"/>
    <n v="51.56"/>
    <n v="2"/>
    <n v="-61.872"/>
    <x v="2"/>
    <x v="7"/>
  </r>
  <r>
    <s v="CA-2016-164770"/>
    <x v="674"/>
    <d v="2016-12-04T00:00:00"/>
    <x v="0"/>
    <s v="MY-18295"/>
    <s v="Muhammed Yedwab"/>
    <x v="1"/>
    <s v="United States"/>
    <x v="6"/>
    <x v="5"/>
    <x v="3"/>
    <s v="FUR-BO-10003893"/>
    <x v="0"/>
    <x v="0"/>
    <s v="Sauder Camden County Collection Library"/>
    <n v="781.86400000000003"/>
    <n v="10"/>
    <n v="-137.976"/>
    <x v="3"/>
    <x v="5"/>
  </r>
  <r>
    <s v="CA-2017-130505"/>
    <x v="176"/>
    <d v="2017-10-12T00:00:00"/>
    <x v="3"/>
    <s v="NF-18385"/>
    <s v="Natalie Fritzler"/>
    <x v="0"/>
    <s v="United States"/>
    <x v="167"/>
    <x v="47"/>
    <x v="2"/>
    <s v="FUR-TA-10001932"/>
    <x v="0"/>
    <x v="2"/>
    <s v="Chromcraft 48&quot; x 96&quot; Racetrack Double Pedestal Table"/>
    <n v="673.34400000000005"/>
    <n v="3"/>
    <n v="-76.953599999999994"/>
    <x v="7"/>
    <x v="1"/>
  </r>
  <r>
    <s v="CA-2016-105207"/>
    <x v="865"/>
    <d v="2016-01-08T00:00:00"/>
    <x v="1"/>
    <s v="BO-11350"/>
    <s v="Bill Overfelt"/>
    <x v="1"/>
    <s v="United States"/>
    <x v="364"/>
    <x v="37"/>
    <x v="3"/>
    <s v="FUR-TA-10000617"/>
    <x v="0"/>
    <x v="2"/>
    <s v="Hon Practical Foundations 30 x 60 Training Table, Light Gray/Charcoal"/>
    <n v="1592.85"/>
    <n v="7"/>
    <n v="350.42700000000002"/>
    <x v="2"/>
    <x v="8"/>
  </r>
  <r>
    <s v="CA-2016-149237"/>
    <x v="205"/>
    <d v="2016-05-30T00:00:00"/>
    <x v="1"/>
    <s v="CM-12235"/>
    <s v="Chris McAfee"/>
    <x v="0"/>
    <s v="United States"/>
    <x v="79"/>
    <x v="16"/>
    <x v="3"/>
    <s v="FUR-FU-10002088"/>
    <x v="0"/>
    <x v="3"/>
    <s v="Nu-Dell Float Frame 11 x 14 1/2"/>
    <n v="26.94"/>
    <n v="3"/>
    <n v="11.3148"/>
    <x v="4"/>
    <x v="7"/>
  </r>
  <r>
    <s v="US-2015-158589"/>
    <x v="141"/>
    <d v="2015-11-24T00:00:00"/>
    <x v="1"/>
    <s v="KW-16570"/>
    <s v="Kelly Williams"/>
    <x v="0"/>
    <s v="United States"/>
    <x v="28"/>
    <x v="2"/>
    <x v="1"/>
    <s v="FUR-FU-10001546"/>
    <x v="0"/>
    <x v="3"/>
    <s v="Dana Swing-Arm Lamps"/>
    <n v="32.04"/>
    <n v="3"/>
    <n v="8.01"/>
    <x v="4"/>
    <x v="0"/>
  </r>
  <r>
    <s v="CA-2017-142461"/>
    <x v="703"/>
    <d v="2017-06-03T00:00:00"/>
    <x v="0"/>
    <s v="KT-16480"/>
    <s v="Kean Thornton"/>
    <x v="0"/>
    <s v="United States"/>
    <x v="144"/>
    <x v="5"/>
    <x v="3"/>
    <s v="FUR-BO-10001811"/>
    <x v="0"/>
    <x v="0"/>
    <s v="Atlantic Metals Mobile 5-Shelf Bookcases, Custom Colors"/>
    <n v="204.66640000000001"/>
    <n v="1"/>
    <n v="-6.0195999999999996"/>
    <x v="4"/>
    <x v="7"/>
  </r>
  <r>
    <s v="CA-2017-156958"/>
    <x v="446"/>
    <d v="2017-12-06T00:00:00"/>
    <x v="2"/>
    <s v="PB-18805"/>
    <s v="Patrick Bzostek"/>
    <x v="2"/>
    <s v="United States"/>
    <x v="15"/>
    <x v="13"/>
    <x v="1"/>
    <s v="FUR-FU-10003268"/>
    <x v="0"/>
    <x v="3"/>
    <s v="Eldon Radial Chair Mat for Low to Medium Pile Carpets"/>
    <n v="199.9"/>
    <n v="5"/>
    <n v="39.979999999999997"/>
    <x v="5"/>
    <x v="5"/>
  </r>
  <r>
    <s v="CA-2016-116596"/>
    <x v="78"/>
    <d v="2016-10-31T00:00:00"/>
    <x v="1"/>
    <s v="BW-11200"/>
    <s v="Ben Wallace"/>
    <x v="0"/>
    <s v="United States"/>
    <x v="13"/>
    <x v="7"/>
    <x v="2"/>
    <s v="FUR-CH-10000553"/>
    <x v="0"/>
    <x v="1"/>
    <s v="Metal Folding Chairs, Beige, 4/Carton"/>
    <n v="427.64400000000001"/>
    <n v="14"/>
    <n v="80.777199999999993"/>
    <x v="4"/>
    <x v="1"/>
  </r>
  <r>
    <s v="CA-2017-124191"/>
    <x v="235"/>
    <d v="2017-06-14T00:00:00"/>
    <x v="0"/>
    <s v="TS-21610"/>
    <s v="Troy Staebel"/>
    <x v="0"/>
    <s v="United States"/>
    <x v="9"/>
    <x v="8"/>
    <x v="3"/>
    <s v="FUR-FU-10002364"/>
    <x v="0"/>
    <x v="3"/>
    <s v="Eldon Expressions Wood Desk Accessories, Oak"/>
    <n v="8.8559999999999999"/>
    <n v="3"/>
    <n v="-6.8634000000000004"/>
    <x v="3"/>
    <x v="2"/>
  </r>
  <r>
    <s v="CA-2016-148747"/>
    <x v="228"/>
    <d v="2016-09-27T00:00:00"/>
    <x v="2"/>
    <s v="AS-10045"/>
    <s v="Aaron Smayling"/>
    <x v="1"/>
    <s v="United States"/>
    <x v="28"/>
    <x v="2"/>
    <x v="1"/>
    <s v="FUR-BO-10002613"/>
    <x v="0"/>
    <x v="0"/>
    <s v="Atlantic Metals Mobile 4-Shelf Bookcases, Custom Colors"/>
    <n v="477.666"/>
    <n v="2"/>
    <n v="84.293999999999997"/>
    <x v="3"/>
    <x v="4"/>
  </r>
  <r>
    <s v="CA-2015-135727"/>
    <x v="866"/>
    <d v="2015-05-16T00:00:00"/>
    <x v="0"/>
    <s v="PS-18970"/>
    <s v="Paul Stevenson"/>
    <x v="2"/>
    <s v="United States"/>
    <x v="43"/>
    <x v="22"/>
    <x v="1"/>
    <s v="FUR-CH-10004540"/>
    <x v="0"/>
    <x v="1"/>
    <s v="Global Chrome Stack Chair"/>
    <n v="191.96799999999999"/>
    <n v="7"/>
    <n v="16.7972"/>
    <x v="2"/>
    <x v="7"/>
  </r>
  <r>
    <s v="CA-2015-135251"/>
    <x v="867"/>
    <d v="2015-08-10T00:00:00"/>
    <x v="1"/>
    <s v="RP-19270"/>
    <s v="Rachel Payne"/>
    <x v="1"/>
    <s v="United States"/>
    <x v="6"/>
    <x v="5"/>
    <x v="3"/>
    <s v="FUR-BO-10003965"/>
    <x v="0"/>
    <x v="0"/>
    <s v="O'Sullivan Manor Hill 2-Door Library in Brianna Oak"/>
    <n v="369.19920000000002"/>
    <n v="3"/>
    <n v="-114.01739999999999"/>
    <x v="4"/>
    <x v="10"/>
  </r>
  <r>
    <s v="CA-2016-125724"/>
    <x v="710"/>
    <d v="2016-09-27T00:00:00"/>
    <x v="1"/>
    <s v="SM-20950"/>
    <s v="Suzanne McNair"/>
    <x v="1"/>
    <s v="United States"/>
    <x v="131"/>
    <x v="12"/>
    <x v="1"/>
    <s v="FUR-FU-10000246"/>
    <x v="0"/>
    <x v="3"/>
    <s v="Aluminum Document Frame"/>
    <n v="68.432000000000002"/>
    <n v="7"/>
    <n v="8.5540000000000003"/>
    <x v="2"/>
    <x v="4"/>
  </r>
  <r>
    <s v="CA-2015-111612"/>
    <x v="44"/>
    <d v="2015-12-02T00:00:00"/>
    <x v="1"/>
    <s v="EB-14110"/>
    <s v="Eugene Barchas"/>
    <x v="0"/>
    <s v="United States"/>
    <x v="29"/>
    <x v="15"/>
    <x v="2"/>
    <s v="FUR-FU-10003799"/>
    <x v="0"/>
    <x v="3"/>
    <s v="Seth Thomas 13 1/2&quot; Wall Clock"/>
    <n v="71.12"/>
    <n v="5"/>
    <n v="9.7789999999999999"/>
    <x v="4"/>
    <x v="0"/>
  </r>
  <r>
    <s v="CA-2014-103086"/>
    <x v="868"/>
    <d v="2014-10-19T00:00:00"/>
    <x v="0"/>
    <s v="EB-14170"/>
    <s v="Evan Bailliet"/>
    <x v="0"/>
    <s v="United States"/>
    <x v="6"/>
    <x v="5"/>
    <x v="3"/>
    <s v="FUR-FU-10004586"/>
    <x v="0"/>
    <x v="3"/>
    <s v="G.E. Longer-Life Indoor Recessed Floodlight Bulbs"/>
    <n v="5.3120000000000003"/>
    <n v="2"/>
    <n v="-1.5935999999999999"/>
    <x v="3"/>
    <x v="1"/>
  </r>
  <r>
    <s v="CA-2016-129280"/>
    <x v="869"/>
    <d v="2016-05-05T00:00:00"/>
    <x v="2"/>
    <s v="SM-20905"/>
    <s v="Susan MacKendrick"/>
    <x v="0"/>
    <s v="United States"/>
    <x v="19"/>
    <x v="15"/>
    <x v="2"/>
    <s v="FUR-FU-10001876"/>
    <x v="0"/>
    <x v="3"/>
    <s v="Computer Room Manger, 14&quot;"/>
    <n v="51.968000000000004"/>
    <n v="2"/>
    <n v="10.393599999999999"/>
    <x v="3"/>
    <x v="7"/>
  </r>
  <r>
    <s v="CA-2014-130428"/>
    <x v="870"/>
    <d v="2014-03-31T00:00:00"/>
    <x v="3"/>
    <s v="TG-21640"/>
    <s v="Trudy Glocke"/>
    <x v="0"/>
    <s v="United States"/>
    <x v="26"/>
    <x v="1"/>
    <x v="0"/>
    <s v="FUR-CH-10002965"/>
    <x v="0"/>
    <x v="1"/>
    <s v="Global Leather Highback Executive Chair with Pneumatic Height Adjustment, Black"/>
    <n v="1125.4880000000001"/>
    <n v="7"/>
    <n v="98.480199999999996"/>
    <x v="7"/>
    <x v="9"/>
  </r>
  <r>
    <s v="CA-2015-148495"/>
    <x v="871"/>
    <d v="2015-08-13T00:00:00"/>
    <x v="3"/>
    <s v="SF-20065"/>
    <s v="Sandra Flanagan"/>
    <x v="0"/>
    <s v="United States"/>
    <x v="135"/>
    <x v="2"/>
    <x v="1"/>
    <s v="FUR-FU-10001889"/>
    <x v="0"/>
    <x v="3"/>
    <s v="Ultra Door Pull Handle"/>
    <n v="31.56"/>
    <n v="3"/>
    <n v="10.4148"/>
    <x v="7"/>
    <x v="10"/>
  </r>
  <r>
    <s v="CA-2015-143147"/>
    <x v="753"/>
    <d v="2015-05-28T00:00:00"/>
    <x v="0"/>
    <s v="PS-18760"/>
    <s v="Pamela Stobb"/>
    <x v="0"/>
    <s v="United States"/>
    <x v="21"/>
    <x v="5"/>
    <x v="3"/>
    <s v="FUR-CH-10000863"/>
    <x v="0"/>
    <x v="1"/>
    <s v="Novimex Swivel Fabric Task Chair"/>
    <n v="105.68600000000001"/>
    <n v="1"/>
    <n v="-28.686199999999999"/>
    <x v="3"/>
    <x v="7"/>
  </r>
  <r>
    <s v="CA-2015-143147"/>
    <x v="753"/>
    <d v="2015-05-28T00:00:00"/>
    <x v="0"/>
    <s v="PS-18760"/>
    <s v="Pamela Stobb"/>
    <x v="0"/>
    <s v="United States"/>
    <x v="21"/>
    <x v="5"/>
    <x v="3"/>
    <s v="FUR-CH-10004754"/>
    <x v="0"/>
    <x v="1"/>
    <s v="Global Stack Chair with Arms, Black"/>
    <n v="104.93"/>
    <n v="5"/>
    <n v="-4.4969999999999999"/>
    <x v="3"/>
    <x v="7"/>
  </r>
  <r>
    <s v="CA-2017-152975"/>
    <x v="732"/>
    <d v="2017-09-16T00:00:00"/>
    <x v="2"/>
    <s v="RB-19705"/>
    <s v="Roger Barcio"/>
    <x v="2"/>
    <s v="United States"/>
    <x v="13"/>
    <x v="7"/>
    <x v="2"/>
    <s v="FUR-CH-10003298"/>
    <x v="0"/>
    <x v="1"/>
    <s v="Office Star - Contemporary Task Swivel chair with Loop Arms, Charcoal"/>
    <n v="589.41"/>
    <n v="5"/>
    <n v="-6.5490000000000004"/>
    <x v="3"/>
    <x v="4"/>
  </r>
  <r>
    <s v="CA-2017-116127"/>
    <x v="542"/>
    <d v="2017-06-27T00:00:00"/>
    <x v="0"/>
    <s v="SB-20185"/>
    <s v="Sarah Brown"/>
    <x v="0"/>
    <s v="United States"/>
    <x v="13"/>
    <x v="7"/>
    <x v="2"/>
    <s v="FUR-BO-10002213"/>
    <x v="0"/>
    <x v="0"/>
    <s v="DMI Eclipse Executive Suite Bookcases"/>
    <n v="400.78399999999999"/>
    <n v="1"/>
    <n v="-5.0098000000000003"/>
    <x v="3"/>
    <x v="2"/>
  </r>
  <r>
    <s v="US-2016-105452"/>
    <x v="830"/>
    <d v="2016-08-01T00:00:00"/>
    <x v="1"/>
    <s v="BF-11005"/>
    <s v="Barry Franz"/>
    <x v="2"/>
    <s v="United States"/>
    <x v="102"/>
    <x v="5"/>
    <x v="3"/>
    <s v="FUR-FU-10003691"/>
    <x v="0"/>
    <x v="3"/>
    <s v="Eldon Image Series Desk Accessories, Ebony"/>
    <n v="24.7"/>
    <n v="5"/>
    <n v="-9.8800000000000008"/>
    <x v="4"/>
    <x v="3"/>
  </r>
  <r>
    <s v="US-2016-105452"/>
    <x v="830"/>
    <d v="2016-08-01T00:00:00"/>
    <x v="1"/>
    <s v="BF-11005"/>
    <s v="Barry Franz"/>
    <x v="2"/>
    <s v="United States"/>
    <x v="102"/>
    <x v="5"/>
    <x v="3"/>
    <s v="FUR-FU-10003806"/>
    <x v="0"/>
    <x v="3"/>
    <s v="Tenex Chairmat w/ Average Lip, 45&quot; x 53&quot;"/>
    <n v="302.72000000000003"/>
    <n v="5"/>
    <n v="-378.4"/>
    <x v="4"/>
    <x v="3"/>
  </r>
  <r>
    <s v="CA-2015-149517"/>
    <x v="208"/>
    <d v="2015-09-23T00:00:00"/>
    <x v="1"/>
    <s v="FC-14245"/>
    <s v="Frank Carlisle"/>
    <x v="2"/>
    <s v="United States"/>
    <x v="155"/>
    <x v="2"/>
    <x v="1"/>
    <s v="FUR-FU-10003464"/>
    <x v="0"/>
    <x v="3"/>
    <s v="Seth Thomas 8 1/2&quot; Cubicle Clock"/>
    <n v="60.84"/>
    <n v="3"/>
    <n v="19.468800000000002"/>
    <x v="4"/>
    <x v="4"/>
  </r>
  <r>
    <s v="CA-2016-129861"/>
    <x v="9"/>
    <d v="2016-06-23T00:00:00"/>
    <x v="1"/>
    <s v="DM-13345"/>
    <s v="Denise Monton"/>
    <x v="1"/>
    <s v="United States"/>
    <x v="77"/>
    <x v="7"/>
    <x v="2"/>
    <s v="FUR-TA-10003715"/>
    <x v="0"/>
    <x v="2"/>
    <s v="Hon 2111 Invitation Series Corner Table"/>
    <n v="376.86599999999999"/>
    <n v="3"/>
    <n v="-213.5574"/>
    <x v="6"/>
    <x v="2"/>
  </r>
  <r>
    <s v="CA-2016-130638"/>
    <x v="872"/>
    <d v="2016-05-19T00:00:00"/>
    <x v="0"/>
    <s v="SC-20095"/>
    <s v="Sanjit Chand"/>
    <x v="0"/>
    <s v="United States"/>
    <x v="2"/>
    <x v="2"/>
    <x v="1"/>
    <s v="FUR-FU-10002116"/>
    <x v="0"/>
    <x v="3"/>
    <s v="Tenex Carpeted, Granite-Look or Clear Contemporary Contour Shape Chair Mats"/>
    <n v="282.83999999999997"/>
    <n v="4"/>
    <n v="19.7988"/>
    <x v="0"/>
    <x v="7"/>
  </r>
  <r>
    <s v="CA-2017-137449"/>
    <x v="656"/>
    <d v="2017-06-30T00:00:00"/>
    <x v="2"/>
    <s v="ME-17725"/>
    <s v="Max Engle"/>
    <x v="0"/>
    <s v="United States"/>
    <x v="144"/>
    <x v="5"/>
    <x v="3"/>
    <s v="FUR-TA-10002855"/>
    <x v="0"/>
    <x v="2"/>
    <s v="Bevis Round Conference Table Top &amp; Single Column Base"/>
    <n v="307.31400000000002"/>
    <n v="3"/>
    <n v="-39.511800000000001"/>
    <x v="5"/>
    <x v="2"/>
  </r>
  <r>
    <s v="CA-2017-137449"/>
    <x v="656"/>
    <d v="2017-06-30T00:00:00"/>
    <x v="2"/>
    <s v="ME-17725"/>
    <s v="Max Engle"/>
    <x v="0"/>
    <s v="United States"/>
    <x v="144"/>
    <x v="5"/>
    <x v="3"/>
    <s v="FUR-BO-10000780"/>
    <x v="0"/>
    <x v="0"/>
    <s v="O'Sullivan Plantations 2-Door Library in Landvery Oak"/>
    <n v="409.99919999999997"/>
    <n v="3"/>
    <n v="-96.470399999999998"/>
    <x v="5"/>
    <x v="2"/>
  </r>
  <r>
    <s v="CA-2014-151330"/>
    <x v="873"/>
    <d v="2014-10-17T00:00:00"/>
    <x v="2"/>
    <s v="TC-21295"/>
    <s v="Toby Carlisle"/>
    <x v="0"/>
    <s v="United States"/>
    <x v="114"/>
    <x v="20"/>
    <x v="2"/>
    <s v="FUR-CH-10000749"/>
    <x v="0"/>
    <x v="1"/>
    <s v="Office Star - Ergonomic Mid Back Chair with 2-Way Adjustable Arms"/>
    <n v="1628.82"/>
    <n v="9"/>
    <n v="260.6112"/>
    <x v="0"/>
    <x v="1"/>
  </r>
  <r>
    <s v="CA-2014-124702"/>
    <x v="356"/>
    <d v="2014-11-25T00:00:00"/>
    <x v="1"/>
    <s v="MH-17785"/>
    <s v="Maya Herman"/>
    <x v="1"/>
    <s v="United States"/>
    <x v="15"/>
    <x v="13"/>
    <x v="1"/>
    <s v="FUR-FU-10003553"/>
    <x v="0"/>
    <x v="3"/>
    <s v="Howard Miller 13-1/2&quot; Diameter Rosebrook Wall Clock"/>
    <n v="137.54"/>
    <n v="2"/>
    <n v="55.015999999999998"/>
    <x v="1"/>
    <x v="0"/>
  </r>
  <r>
    <s v="CA-2014-124702"/>
    <x v="356"/>
    <d v="2014-11-25T00:00:00"/>
    <x v="1"/>
    <s v="MH-17785"/>
    <s v="Maya Herman"/>
    <x v="1"/>
    <s v="United States"/>
    <x v="15"/>
    <x v="13"/>
    <x v="1"/>
    <s v="FUR-TA-10003008"/>
    <x v="0"/>
    <x v="2"/>
    <s v="Lesro Round Back Collection Coffee Table, End Table"/>
    <n v="730.2"/>
    <n v="4"/>
    <n v="94.926000000000002"/>
    <x v="1"/>
    <x v="0"/>
  </r>
  <r>
    <s v="CA-2015-116638"/>
    <x v="874"/>
    <d v="2015-01-31T00:00:00"/>
    <x v="0"/>
    <s v="JH-15985"/>
    <s v="Joseph Holt"/>
    <x v="0"/>
    <s v="United States"/>
    <x v="41"/>
    <x v="30"/>
    <x v="0"/>
    <s v="FUR-TA-10000198"/>
    <x v="0"/>
    <x v="2"/>
    <s v="Chromcraft Bull-Nose Wood Oval Conference Tables &amp; Bases"/>
    <n v="4297.6440000000002"/>
    <n v="13"/>
    <n v="-1862.3124"/>
    <x v="0"/>
    <x v="8"/>
  </r>
  <r>
    <s v="CA-2014-104563"/>
    <x v="600"/>
    <d v="2014-03-12T00:00:00"/>
    <x v="1"/>
    <s v="CM-12715"/>
    <s v="Craig Molinari"/>
    <x v="1"/>
    <s v="United States"/>
    <x v="15"/>
    <x v="13"/>
    <x v="1"/>
    <s v="FUR-CH-10002780"/>
    <x v="0"/>
    <x v="1"/>
    <s v="Office Star - Task Chair with Contemporary Loop Arms"/>
    <n v="436.70400000000001"/>
    <n v="6"/>
    <n v="21.8352"/>
    <x v="2"/>
    <x v="9"/>
  </r>
  <r>
    <s v="CA-2014-104563"/>
    <x v="600"/>
    <d v="2014-03-12T00:00:00"/>
    <x v="1"/>
    <s v="CM-12715"/>
    <s v="Craig Molinari"/>
    <x v="1"/>
    <s v="United States"/>
    <x v="15"/>
    <x v="13"/>
    <x v="1"/>
    <s v="FUR-CH-10004495"/>
    <x v="0"/>
    <x v="1"/>
    <s v="Global Leather and Oak Executive Chair, Black"/>
    <n v="481.56799999999998"/>
    <n v="2"/>
    <n v="54.176400000000001"/>
    <x v="2"/>
    <x v="9"/>
  </r>
  <r>
    <s v="CA-2016-107104"/>
    <x v="675"/>
    <d v="2016-11-30T00:00:00"/>
    <x v="1"/>
    <s v="MS-17365"/>
    <s v="Maribeth Schnelling"/>
    <x v="0"/>
    <s v="United States"/>
    <x v="2"/>
    <x v="2"/>
    <x v="1"/>
    <s v="FUR-BO-10002213"/>
    <x v="0"/>
    <x v="0"/>
    <s v="DMI Eclipse Executive Suite Bookcases"/>
    <n v="3406.6640000000002"/>
    <n v="8"/>
    <n v="160.31360000000001"/>
    <x v="4"/>
    <x v="0"/>
  </r>
  <r>
    <s v="CA-2016-107104"/>
    <x v="675"/>
    <d v="2016-11-30T00:00:00"/>
    <x v="1"/>
    <s v="MS-17365"/>
    <s v="Maribeth Schnelling"/>
    <x v="0"/>
    <s v="United States"/>
    <x v="2"/>
    <x v="2"/>
    <x v="1"/>
    <s v="FUR-FU-10002937"/>
    <x v="0"/>
    <x v="3"/>
    <s v="GE 48&quot; Fluorescent Tube, Cool White Energy Saver, 34 Watts, 30/Box"/>
    <n v="595.38"/>
    <n v="6"/>
    <n v="297.69"/>
    <x v="4"/>
    <x v="0"/>
  </r>
  <r>
    <s v="CA-2014-156160"/>
    <x v="875"/>
    <d v="2014-09-29T00:00:00"/>
    <x v="1"/>
    <s v="AS-10090"/>
    <s v="Adam Shillingsburg"/>
    <x v="0"/>
    <s v="United States"/>
    <x v="13"/>
    <x v="7"/>
    <x v="2"/>
    <s v="FUR-FU-10001876"/>
    <x v="0"/>
    <x v="3"/>
    <s v="Computer Room Manger, 14&quot;"/>
    <n v="97.44"/>
    <n v="3"/>
    <n v="35.078400000000002"/>
    <x v="1"/>
    <x v="4"/>
  </r>
  <r>
    <s v="CA-2014-156160"/>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s v="CA-2017-157448"/>
    <x v="716"/>
    <d v="2017-11-20T00:00:00"/>
    <x v="1"/>
    <s v="LC-16885"/>
    <s v="Lena Creighton"/>
    <x v="0"/>
    <s v="United States"/>
    <x v="2"/>
    <x v="2"/>
    <x v="1"/>
    <s v="FUR-FU-10003268"/>
    <x v="0"/>
    <x v="3"/>
    <s v="Eldon Radial Chair Mat for Low to Medium Pile Carpets"/>
    <n v="119.94"/>
    <n v="3"/>
    <n v="23.988"/>
    <x v="4"/>
    <x v="0"/>
  </r>
  <r>
    <s v="CA-2017-157448"/>
    <x v="716"/>
    <d v="2017-11-20T00:00:00"/>
    <x v="1"/>
    <s v="LC-16885"/>
    <s v="Lena Creighton"/>
    <x v="0"/>
    <s v="United States"/>
    <x v="2"/>
    <x v="2"/>
    <x v="1"/>
    <s v="FUR-FU-10001847"/>
    <x v="0"/>
    <x v="3"/>
    <s v="Eldon Image Series Black Desk Accessories"/>
    <n v="12.42"/>
    <n v="3"/>
    <n v="4.4711999999999996"/>
    <x v="4"/>
    <x v="0"/>
  </r>
  <r>
    <s v="CA-2016-137393"/>
    <x v="349"/>
    <d v="2016-05-10T00:00:00"/>
    <x v="1"/>
    <s v="GM-14500"/>
    <s v="Gene McClure"/>
    <x v="0"/>
    <s v="United States"/>
    <x v="175"/>
    <x v="2"/>
    <x v="1"/>
    <s v="FUR-FU-10001617"/>
    <x v="0"/>
    <x v="3"/>
    <s v="Executive Impressions 8-1/2&quot; Career Panel/Partition Cubicle Clock"/>
    <n v="41.6"/>
    <n v="4"/>
    <n v="14.144"/>
    <x v="4"/>
    <x v="7"/>
  </r>
  <r>
    <s v="CA-2017-122770"/>
    <x v="838"/>
    <d v="2017-12-18T00:00:00"/>
    <x v="1"/>
    <s v="EP-13915"/>
    <s v="Emily Phan"/>
    <x v="0"/>
    <s v="United States"/>
    <x v="28"/>
    <x v="2"/>
    <x v="1"/>
    <s v="FUR-FU-10001473"/>
    <x v="0"/>
    <x v="3"/>
    <s v="Eldon Executive Woodline II Desk Accessories, Mahogany"/>
    <n v="201.04"/>
    <n v="8"/>
    <n v="54.280799999999999"/>
    <x v="2"/>
    <x v="5"/>
  </r>
  <r>
    <s v="CA-2015-130183"/>
    <x v="18"/>
    <d v="2015-11-17T00:00:00"/>
    <x v="1"/>
    <s v="PO-18850"/>
    <s v="Patrick O'Brill"/>
    <x v="0"/>
    <s v="United States"/>
    <x v="6"/>
    <x v="5"/>
    <x v="3"/>
    <s v="FUR-BO-10001811"/>
    <x v="0"/>
    <x v="0"/>
    <s v="Atlantic Metals Mobile 5-Shelf Bookcases, Custom Colors"/>
    <n v="613.99919999999997"/>
    <n v="3"/>
    <n v="-18.058800000000002"/>
    <x v="4"/>
    <x v="0"/>
  </r>
  <r>
    <s v="CA-2016-122511"/>
    <x v="237"/>
    <d v="2016-03-11T00:00:00"/>
    <x v="3"/>
    <s v="BT-11485"/>
    <s v="Brad Thomas"/>
    <x v="2"/>
    <s v="United States"/>
    <x v="3"/>
    <x v="3"/>
    <x v="2"/>
    <s v="FUR-FU-10001037"/>
    <x v="0"/>
    <x v="3"/>
    <s v="DAX Charcoal/Nickel-Tone Document Frame, 5 x 7"/>
    <n v="30.335999999999999"/>
    <n v="4"/>
    <n v="9.48"/>
    <x v="7"/>
    <x v="9"/>
  </r>
  <r>
    <s v="CA-2016-161746"/>
    <x v="59"/>
    <d v="2016-10-27T00:00:00"/>
    <x v="1"/>
    <s v="CS-11950"/>
    <s v="Carlos Soltero"/>
    <x v="0"/>
    <s v="United States"/>
    <x v="2"/>
    <x v="2"/>
    <x v="1"/>
    <s v="FUR-CH-10004626"/>
    <x v="0"/>
    <x v="1"/>
    <s v="Office Star Flex Back Scooter Chair with Aluminum Finish Frame"/>
    <n v="242.136"/>
    <n v="3"/>
    <n v="12.1068"/>
    <x v="6"/>
    <x v="1"/>
  </r>
  <r>
    <s v="CA-2016-161746"/>
    <x v="59"/>
    <d v="2016-10-27T00:00:00"/>
    <x v="1"/>
    <s v="CS-11950"/>
    <s v="Carlos Soltero"/>
    <x v="0"/>
    <s v="United States"/>
    <x v="2"/>
    <x v="2"/>
    <x v="1"/>
    <s v="FUR-FU-10003731"/>
    <x v="0"/>
    <x v="3"/>
    <s v="Eldon Expressions Wood and Plastic Desk Accessories, Oak"/>
    <n v="19.96"/>
    <n v="2"/>
    <n v="5.5888"/>
    <x v="6"/>
    <x v="1"/>
  </r>
  <r>
    <s v="CA-2014-114251"/>
    <x v="726"/>
    <d v="2014-11-10T00:00:00"/>
    <x v="1"/>
    <s v="MD-17350"/>
    <s v="Maribeth Dona"/>
    <x v="0"/>
    <s v="United States"/>
    <x v="3"/>
    <x v="3"/>
    <x v="2"/>
    <s v="FUR-FU-10001468"/>
    <x v="0"/>
    <x v="3"/>
    <s v="Tenex Antistatic Computer Chair Mats"/>
    <n v="273.56799999999998"/>
    <n v="2"/>
    <n v="-34.195999999999998"/>
    <x v="2"/>
    <x v="0"/>
  </r>
  <r>
    <s v="CA-2016-119641"/>
    <x v="710"/>
    <d v="2016-09-26T00:00:00"/>
    <x v="1"/>
    <s v="CS-12250"/>
    <s v="Chris Selesnick"/>
    <x v="1"/>
    <s v="United States"/>
    <x v="356"/>
    <x v="16"/>
    <x v="3"/>
    <s v="FUR-FU-10002445"/>
    <x v="0"/>
    <x v="3"/>
    <s v="DAX Two-Tone Rosewood/Black Document Frame, Desktop, 5 x 7"/>
    <n v="18.96"/>
    <n v="2"/>
    <n v="7.5839999999999996"/>
    <x v="4"/>
    <x v="4"/>
  </r>
  <r>
    <s v="CA-2016-105781"/>
    <x v="285"/>
    <d v="2016-02-20T00:00:00"/>
    <x v="1"/>
    <s v="JF-15565"/>
    <s v="Jill Fjeld"/>
    <x v="0"/>
    <s v="United States"/>
    <x v="13"/>
    <x v="7"/>
    <x v="2"/>
    <s v="FUR-CH-10001802"/>
    <x v="0"/>
    <x v="1"/>
    <s v="Hon Every-Day Chair Series Swivel Task Chairs"/>
    <n v="326.64600000000002"/>
    <n v="3"/>
    <n v="39.923400000000001"/>
    <x v="4"/>
    <x v="11"/>
  </r>
  <r>
    <s v="CA-2014-114321"/>
    <x v="663"/>
    <d v="2014-08-25T00:00:00"/>
    <x v="1"/>
    <s v="NC-18535"/>
    <s v="Nick Crebassa"/>
    <x v="1"/>
    <s v="United States"/>
    <x v="247"/>
    <x v="25"/>
    <x v="0"/>
    <s v="FUR-CH-10001797"/>
    <x v="0"/>
    <x v="1"/>
    <s v="Safco Chair Connectors, 6/Carton"/>
    <n v="500.24"/>
    <n v="13"/>
    <n v="145.06960000000001"/>
    <x v="2"/>
    <x v="10"/>
  </r>
  <r>
    <s v="CA-2015-117086"/>
    <x v="428"/>
    <d v="2015-11-12T00:00:00"/>
    <x v="1"/>
    <s v="QJ-19255"/>
    <s v="Quincy Jones"/>
    <x v="1"/>
    <s v="United States"/>
    <x v="259"/>
    <x v="43"/>
    <x v="2"/>
    <s v="FUR-BO-10004834"/>
    <x v="0"/>
    <x v="0"/>
    <s v="Riverside Palais Royal Lawyers Bookcase, Royale Cherry Finish"/>
    <n v="4404.8999999999996"/>
    <n v="5"/>
    <n v="1013.127"/>
    <x v="4"/>
    <x v="0"/>
  </r>
  <r>
    <s v="CA-2017-137505"/>
    <x v="241"/>
    <d v="2017-11-24T00:00:00"/>
    <x v="3"/>
    <s v="BP-11290"/>
    <s v="Beth Paige"/>
    <x v="0"/>
    <s v="United States"/>
    <x v="2"/>
    <x v="2"/>
    <x v="1"/>
    <s v="FUR-TA-10000617"/>
    <x v="0"/>
    <x v="2"/>
    <s v="Hon Practical Foundations 30 x 60 Training Table, Light Gray/Charcoal"/>
    <n v="364.08"/>
    <n v="2"/>
    <n v="9.1020000000000003"/>
    <x v="7"/>
    <x v="0"/>
  </r>
  <r>
    <s v="CA-2017-137505"/>
    <x v="241"/>
    <d v="2017-11-24T00:00:00"/>
    <x v="3"/>
    <s v="BP-11290"/>
    <s v="Beth Paige"/>
    <x v="0"/>
    <s v="United States"/>
    <x v="2"/>
    <x v="2"/>
    <x v="1"/>
    <s v="FUR-TA-10001676"/>
    <x v="0"/>
    <x v="2"/>
    <s v="Hon 61000 Series Interactive Training Tables"/>
    <n v="71.087999999999994"/>
    <n v="2"/>
    <n v="-1.7771999999999999"/>
    <x v="7"/>
    <x v="0"/>
  </r>
  <r>
    <s v="US-2014-140914"/>
    <x v="163"/>
    <d v="2014-11-15T00:00:00"/>
    <x v="1"/>
    <s v="BH-11710"/>
    <s v="Brosina Hoffman"/>
    <x v="0"/>
    <s v="United States"/>
    <x v="9"/>
    <x v="8"/>
    <x v="3"/>
    <s v="FUR-FU-10000175"/>
    <x v="0"/>
    <x v="3"/>
    <s v="DAX Wood Document Frame."/>
    <n v="10.984"/>
    <n v="2"/>
    <n v="-7.9634"/>
    <x v="4"/>
    <x v="0"/>
  </r>
  <r>
    <s v="US-2014-140914"/>
    <x v="163"/>
    <d v="2014-11-15T00:00:00"/>
    <x v="1"/>
    <s v="BH-11710"/>
    <s v="Brosina Hoffman"/>
    <x v="0"/>
    <s v="United States"/>
    <x v="9"/>
    <x v="8"/>
    <x v="3"/>
    <s v="FUR-CH-10003379"/>
    <x v="0"/>
    <x v="1"/>
    <s v="Global Commerce Series High-Back Swivel/Tilt Chairs"/>
    <n v="797.94399999999996"/>
    <n v="4"/>
    <n v="-56.996000000000002"/>
    <x v="4"/>
    <x v="0"/>
  </r>
  <r>
    <s v="CA-2017-113705"/>
    <x v="582"/>
    <d v="2017-03-29T00:00:00"/>
    <x v="0"/>
    <s v="LC-16870"/>
    <s v="Lena Cacioppo"/>
    <x v="0"/>
    <s v="United States"/>
    <x v="52"/>
    <x v="25"/>
    <x v="0"/>
    <s v="FUR-TA-10002533"/>
    <x v="0"/>
    <x v="2"/>
    <s v="BPI Conference Tables"/>
    <n v="292.10000000000002"/>
    <n v="2"/>
    <n v="58.42"/>
    <x v="3"/>
    <x v="9"/>
  </r>
  <r>
    <s v="CA-2016-146913"/>
    <x v="359"/>
    <d v="2016-11-05T00:00:00"/>
    <x v="1"/>
    <s v="SF-20965"/>
    <s v="Sylvia Foulston"/>
    <x v="1"/>
    <s v="United States"/>
    <x v="28"/>
    <x v="2"/>
    <x v="1"/>
    <s v="FUR-CH-10001854"/>
    <x v="0"/>
    <x v="1"/>
    <s v="Office Star - Professional Matrix Back Chair with 2-to-1 Synchro Tilt and Mesh Fabric Seat"/>
    <n v="1403.92"/>
    <n v="5"/>
    <n v="70.195999999999998"/>
    <x v="2"/>
    <x v="1"/>
  </r>
  <r>
    <s v="CA-2016-123533"/>
    <x v="243"/>
    <d v="2016-11-30T00:00:00"/>
    <x v="1"/>
    <s v="SC-20050"/>
    <s v="Sample Company A"/>
    <x v="2"/>
    <s v="United States"/>
    <x v="173"/>
    <x v="1"/>
    <x v="0"/>
    <s v="FUR-BO-10001619"/>
    <x v="0"/>
    <x v="0"/>
    <s v="O'Sullivan Cherrywood Estates Traditional Bookcase"/>
    <n v="339.92"/>
    <n v="5"/>
    <n v="8.4979999999999993"/>
    <x v="6"/>
    <x v="0"/>
  </r>
  <r>
    <s v="CA-2014-169019"/>
    <x v="503"/>
    <d v="2014-07-30T00:00:00"/>
    <x v="1"/>
    <s v="LF-17185"/>
    <s v="Luke Foster"/>
    <x v="0"/>
    <s v="United States"/>
    <x v="21"/>
    <x v="5"/>
    <x v="3"/>
    <s v="FUR-FU-10004666"/>
    <x v="0"/>
    <x v="3"/>
    <s v="DAX Clear Channel Poster Frame"/>
    <n v="17.495999999999999"/>
    <n v="3"/>
    <n v="-10.0602"/>
    <x v="4"/>
    <x v="3"/>
  </r>
  <r>
    <s v="CA-2015-149748"/>
    <x v="151"/>
    <d v="2015-06-02T00:00:00"/>
    <x v="0"/>
    <s v="EM-13825"/>
    <s v="Elizabeth Moffitt"/>
    <x v="1"/>
    <s v="United States"/>
    <x v="309"/>
    <x v="18"/>
    <x v="2"/>
    <s v="FUR-FU-10001847"/>
    <x v="0"/>
    <x v="3"/>
    <s v="Eldon Image Series Black Desk Accessories"/>
    <n v="8.2799999999999994"/>
    <n v="2"/>
    <n v="2.9807999999999999"/>
    <x v="3"/>
    <x v="7"/>
  </r>
  <r>
    <s v="US-2014-114377"/>
    <x v="726"/>
    <d v="2014-11-05T00:00:00"/>
    <x v="3"/>
    <s v="BG-11035"/>
    <s v="Barry Gonzalez"/>
    <x v="0"/>
    <s v="United States"/>
    <x v="247"/>
    <x v="25"/>
    <x v="0"/>
    <s v="FUR-CH-10004754"/>
    <x v="0"/>
    <x v="1"/>
    <s v="Global Stack Chair with Arms, Black"/>
    <n v="149.9"/>
    <n v="5"/>
    <n v="40.472999999999999"/>
    <x v="7"/>
    <x v="0"/>
  </r>
  <r>
    <s v="CA-2017-144491"/>
    <x v="582"/>
    <d v="2017-04-01T00:00:00"/>
    <x v="1"/>
    <s v="CJ-12010"/>
    <s v="Caroline Jumper"/>
    <x v="0"/>
    <s v="United States"/>
    <x v="6"/>
    <x v="5"/>
    <x v="3"/>
    <s v="FUR-BO-10001811"/>
    <x v="0"/>
    <x v="0"/>
    <s v="Atlantic Metals Mobile 5-Shelf Bookcases, Custom Colors"/>
    <n v="1023.332"/>
    <n v="5"/>
    <n v="-30.097999999999999"/>
    <x v="2"/>
    <x v="9"/>
  </r>
  <r>
    <s v="CA-2017-144491"/>
    <x v="582"/>
    <d v="2017-04-01T00:00:00"/>
    <x v="1"/>
    <s v="CJ-12010"/>
    <s v="Caroline Jumper"/>
    <x v="0"/>
    <s v="United States"/>
    <x v="6"/>
    <x v="5"/>
    <x v="3"/>
    <s v="FUR-CH-10004063"/>
    <x v="0"/>
    <x v="1"/>
    <s v="Global Deluxe High-Back Manager's Chair"/>
    <n v="600.55799999999999"/>
    <n v="3"/>
    <n v="-8.5793999999999997"/>
    <x v="2"/>
    <x v="9"/>
  </r>
  <r>
    <s v="CA-2017-144491"/>
    <x v="582"/>
    <d v="2017-04-01T00:00:00"/>
    <x v="1"/>
    <s v="CJ-12010"/>
    <s v="Caroline Jumper"/>
    <x v="0"/>
    <s v="United States"/>
    <x v="6"/>
    <x v="5"/>
    <x v="3"/>
    <s v="FUR-CH-10001714"/>
    <x v="0"/>
    <x v="1"/>
    <s v="Global Leather &amp; Oak Executive Chair, Burgundy"/>
    <n v="211.24600000000001"/>
    <n v="2"/>
    <n v="-66.391599999999997"/>
    <x v="2"/>
    <x v="9"/>
  </r>
  <r>
    <s v="CA-2014-127166"/>
    <x v="876"/>
    <d v="2014-05-23T00:00:00"/>
    <x v="0"/>
    <s v="KH-16360"/>
    <s v="Katherine Hughes"/>
    <x v="0"/>
    <s v="United States"/>
    <x v="6"/>
    <x v="5"/>
    <x v="3"/>
    <s v="FUR-CH-10003396"/>
    <x v="0"/>
    <x v="1"/>
    <s v="Global Deluxe Steno Chair"/>
    <n v="107.77200000000001"/>
    <n v="2"/>
    <n v="-29.252400000000002"/>
    <x v="3"/>
    <x v="7"/>
  </r>
  <r>
    <s v="CA-2015-122973"/>
    <x v="877"/>
    <d v="2015-07-20T00:00:00"/>
    <x v="0"/>
    <s v="PJ-19015"/>
    <s v="Pauline Johnson"/>
    <x v="0"/>
    <s v="United States"/>
    <x v="13"/>
    <x v="7"/>
    <x v="2"/>
    <s v="FUR-FU-10002364"/>
    <x v="0"/>
    <x v="3"/>
    <s v="Eldon Expressions Wood Desk Accessories, Oak"/>
    <n v="7.38"/>
    <n v="1"/>
    <n v="2.1402000000000001"/>
    <x v="3"/>
    <x v="3"/>
  </r>
  <r>
    <s v="CA-2016-136322"/>
    <x v="59"/>
    <d v="2016-10-26T00:00:00"/>
    <x v="1"/>
    <s v="AP-10720"/>
    <s v="Anne Pryor"/>
    <x v="2"/>
    <s v="United States"/>
    <x v="1"/>
    <x v="1"/>
    <x v="0"/>
    <s v="FUR-FU-10002878"/>
    <x v="0"/>
    <x v="3"/>
    <s v="Seth Thomas 14&quot; Day/Date Wall Clock"/>
    <n v="45.567999999999998"/>
    <n v="2"/>
    <n v="9.6831999999999994"/>
    <x v="2"/>
    <x v="1"/>
  </r>
  <r>
    <s v="CA-2017-107209"/>
    <x v="534"/>
    <d v="2017-08-01T00:00:00"/>
    <x v="0"/>
    <s v="JW-15955"/>
    <s v="Joni Wasserman"/>
    <x v="0"/>
    <s v="United States"/>
    <x v="168"/>
    <x v="30"/>
    <x v="0"/>
    <s v="FUR-CH-10001146"/>
    <x v="0"/>
    <x v="1"/>
    <s v="Global Value Mid-Back Manager's Chair, Gray"/>
    <n v="194.84800000000001"/>
    <n v="4"/>
    <n v="12.178000000000001"/>
    <x v="2"/>
    <x v="3"/>
  </r>
  <r>
    <s v="CA-2015-162201"/>
    <x v="878"/>
    <d v="2015-06-12T00:00:00"/>
    <x v="1"/>
    <s v="AG-10495"/>
    <s v="Andrew Gjertsen"/>
    <x v="1"/>
    <s v="United States"/>
    <x v="66"/>
    <x v="1"/>
    <x v="0"/>
    <s v="FUR-FU-10001185"/>
    <x v="0"/>
    <x v="3"/>
    <s v="Advantus Employee of the Month Certificate Frame, 11 x 13-1/2"/>
    <n v="173.208"/>
    <n v="7"/>
    <n v="45.467100000000002"/>
    <x v="4"/>
    <x v="2"/>
  </r>
  <r>
    <s v="US-2014-164406"/>
    <x v="879"/>
    <d v="2014-08-19T00:00:00"/>
    <x v="1"/>
    <s v="BD-11605"/>
    <s v="Brian Dahlen"/>
    <x v="0"/>
    <s v="United States"/>
    <x v="28"/>
    <x v="2"/>
    <x v="1"/>
    <s v="FUR-CH-10003833"/>
    <x v="0"/>
    <x v="1"/>
    <s v="Novimex Fabric Task Chair"/>
    <n v="195.136"/>
    <n v="4"/>
    <n v="-12.196"/>
    <x v="4"/>
    <x v="10"/>
  </r>
  <r>
    <s v="US-2017-152842"/>
    <x v="3"/>
    <d v="2017-07-23T00:00:00"/>
    <x v="1"/>
    <s v="NF-18385"/>
    <s v="Natalie Fritzler"/>
    <x v="0"/>
    <s v="United States"/>
    <x v="127"/>
    <x v="30"/>
    <x v="0"/>
    <s v="FUR-CH-10004218"/>
    <x v="0"/>
    <x v="1"/>
    <s v="Global Fabric Manager's Chair, Dark Gray"/>
    <n v="242.352"/>
    <n v="3"/>
    <n v="15.147"/>
    <x v="1"/>
    <x v="3"/>
  </r>
  <r>
    <s v="CA-2014-113257"/>
    <x v="439"/>
    <d v="2014-12-18T00:00:00"/>
    <x v="0"/>
    <s v="SC-20305"/>
    <s v="Sean Christensen"/>
    <x v="0"/>
    <s v="United States"/>
    <x v="365"/>
    <x v="5"/>
    <x v="3"/>
    <s v="FUR-FU-10001706"/>
    <x v="0"/>
    <x v="3"/>
    <s v="Longer-Life Soft White Bulbs"/>
    <n v="8.6240000000000006"/>
    <n v="7"/>
    <n v="-2.5872000000000002"/>
    <x v="3"/>
    <x v="5"/>
  </r>
  <r>
    <s v="CA-2016-126627"/>
    <x v="792"/>
    <d v="2016-10-12T00:00:00"/>
    <x v="2"/>
    <s v="WB-21850"/>
    <s v="William Brown"/>
    <x v="0"/>
    <s v="United States"/>
    <x v="101"/>
    <x v="5"/>
    <x v="3"/>
    <s v="FUR-FU-10004963"/>
    <x v="0"/>
    <x v="3"/>
    <s v="Eldon 400 Class Desk Accessories, Black Carbon"/>
    <n v="14"/>
    <n v="4"/>
    <n v="-6.3"/>
    <x v="3"/>
    <x v="1"/>
  </r>
  <r>
    <s v="US-2016-125402"/>
    <x v="228"/>
    <d v="2016-10-01T00:00:00"/>
    <x v="1"/>
    <s v="DL-12865"/>
    <s v="Dan Lawera"/>
    <x v="0"/>
    <s v="United States"/>
    <x v="62"/>
    <x v="2"/>
    <x v="1"/>
    <s v="FUR-CH-10000665"/>
    <x v="0"/>
    <x v="1"/>
    <s v="Global Airflow Leather Mesh Back Chair, Black"/>
    <n v="483.13600000000002"/>
    <n v="4"/>
    <n v="60.392000000000003"/>
    <x v="6"/>
    <x v="4"/>
  </r>
  <r>
    <s v="CA-2014-163867"/>
    <x v="270"/>
    <d v="2014-06-06T00:00:00"/>
    <x v="2"/>
    <s v="RE-19450"/>
    <s v="Richard Eichhorn"/>
    <x v="0"/>
    <s v="United States"/>
    <x v="42"/>
    <x v="8"/>
    <x v="3"/>
    <s v="FUR-FU-10001475"/>
    <x v="0"/>
    <x v="3"/>
    <s v="Contract Clock, 14&quot;, Brown"/>
    <n v="61.543999999999997"/>
    <n v="7"/>
    <n v="-40.003599999999999"/>
    <x v="0"/>
    <x v="2"/>
  </r>
  <r>
    <s v="CA-2017-169327"/>
    <x v="113"/>
    <d v="2017-09-04T00:00:00"/>
    <x v="0"/>
    <s v="MH-17290"/>
    <s v="Marc Harrigan"/>
    <x v="2"/>
    <s v="United States"/>
    <x v="2"/>
    <x v="2"/>
    <x v="1"/>
    <s v="FUR-FU-10004188"/>
    <x v="0"/>
    <x v="3"/>
    <s v="Luxo Professional Combination Clamp-On Lamps"/>
    <n v="511.5"/>
    <n v="5"/>
    <n v="132.99"/>
    <x v="3"/>
    <x v="4"/>
  </r>
  <r>
    <s v="CA-2016-158155"/>
    <x v="630"/>
    <d v="2016-05-06T00:00:00"/>
    <x v="1"/>
    <s v="EH-13765"/>
    <s v="Edward Hooks"/>
    <x v="1"/>
    <s v="United States"/>
    <x v="13"/>
    <x v="7"/>
    <x v="2"/>
    <s v="FUR-FU-10000732"/>
    <x v="0"/>
    <x v="3"/>
    <s v="Eldon 200 Class Desk Accessories"/>
    <n v="12.56"/>
    <n v="2"/>
    <n v="4.0191999999999997"/>
    <x v="4"/>
    <x v="7"/>
  </r>
  <r>
    <s v="CA-2016-158155"/>
    <x v="630"/>
    <d v="2016-05-06T00:00:00"/>
    <x v="1"/>
    <s v="EH-13765"/>
    <s v="Edward Hooks"/>
    <x v="1"/>
    <s v="United States"/>
    <x v="13"/>
    <x v="7"/>
    <x v="2"/>
    <s v="FUR-FU-10002253"/>
    <x v="0"/>
    <x v="3"/>
    <s v="Howard Miller 13&quot; Diameter Pewter Finish Round Wall Clock"/>
    <n v="214.7"/>
    <n v="5"/>
    <n v="83.733000000000004"/>
    <x v="4"/>
    <x v="7"/>
  </r>
  <r>
    <s v="CA-2017-138870"/>
    <x v="744"/>
    <d v="2017-06-23T00:00:00"/>
    <x v="1"/>
    <s v="GA-14515"/>
    <s v="George Ashbrook"/>
    <x v="0"/>
    <s v="United States"/>
    <x v="28"/>
    <x v="2"/>
    <x v="1"/>
    <s v="FUR-FU-10002396"/>
    <x v="0"/>
    <x v="3"/>
    <s v="DAX Copper Panel Document Frame, 5 x 7 Size"/>
    <n v="50.32"/>
    <n v="4"/>
    <n v="21.134399999999999"/>
    <x v="4"/>
    <x v="2"/>
  </r>
  <r>
    <s v="CA-2015-164301"/>
    <x v="880"/>
    <d v="2015-03-30T00:00:00"/>
    <x v="1"/>
    <s v="EB-13840"/>
    <s v="Ellis Ballard"/>
    <x v="1"/>
    <s v="United States"/>
    <x v="15"/>
    <x v="13"/>
    <x v="1"/>
    <s v="FUR-TA-10001889"/>
    <x v="0"/>
    <x v="2"/>
    <s v="Bush Advantage Collection Racetrack Conference Table"/>
    <n v="3393.68"/>
    <n v="8"/>
    <n v="610.86239999999998"/>
    <x v="4"/>
    <x v="9"/>
  </r>
  <r>
    <s v="CA-2017-113278"/>
    <x v="881"/>
    <d v="2017-01-20T00:00:00"/>
    <x v="1"/>
    <s v="HR-14770"/>
    <s v="Hallie Redmond"/>
    <x v="2"/>
    <s v="United States"/>
    <x v="52"/>
    <x v="6"/>
    <x v="3"/>
    <s v="FUR-FU-10001037"/>
    <x v="0"/>
    <x v="3"/>
    <s v="DAX Charcoal/Nickel-Tone Document Frame, 5 x 7"/>
    <n v="18.96"/>
    <n v="2"/>
    <n v="8.532"/>
    <x v="6"/>
    <x v="8"/>
  </r>
  <r>
    <s v="CA-2014-114195"/>
    <x v="770"/>
    <d v="2014-11-03T00:00:00"/>
    <x v="2"/>
    <s v="EA-14035"/>
    <s v="Erin Ashbrook"/>
    <x v="1"/>
    <s v="United States"/>
    <x v="366"/>
    <x v="15"/>
    <x v="2"/>
    <s v="FUR-FU-10002253"/>
    <x v="0"/>
    <x v="3"/>
    <s v="Howard Miller 13&quot; Diameter Pewter Finish Round Wall Clock"/>
    <n v="68.703999999999994"/>
    <n v="2"/>
    <n v="16.3172"/>
    <x v="3"/>
    <x v="0"/>
  </r>
  <r>
    <s v="CA-2016-122581"/>
    <x v="650"/>
    <d v="2016-08-25T00:00:00"/>
    <x v="1"/>
    <s v="JK-15370"/>
    <s v="Jay Kimmel"/>
    <x v="0"/>
    <s v="United States"/>
    <x v="13"/>
    <x v="7"/>
    <x v="2"/>
    <s v="FUR-CH-10002961"/>
    <x v="0"/>
    <x v="1"/>
    <s v="Leather Task Chair, Black"/>
    <n v="573.17399999999998"/>
    <n v="7"/>
    <n v="63.686"/>
    <x v="4"/>
    <x v="10"/>
  </r>
  <r>
    <s v="US-2016-115441"/>
    <x v="81"/>
    <d v="2016-07-28T00:00:00"/>
    <x v="0"/>
    <s v="SH-19975"/>
    <s v="Sally Hughsby"/>
    <x v="1"/>
    <s v="United States"/>
    <x v="79"/>
    <x v="16"/>
    <x v="3"/>
    <s v="FUR-CH-10004626"/>
    <x v="0"/>
    <x v="1"/>
    <s v="Office Star Flex Back Scooter Chair with Aluminum Finish Frame"/>
    <n v="403.56"/>
    <n v="4"/>
    <n v="96.854399999999998"/>
    <x v="0"/>
    <x v="3"/>
  </r>
  <r>
    <s v="US-2016-115441"/>
    <x v="81"/>
    <d v="2016-07-28T00:00:00"/>
    <x v="0"/>
    <s v="SH-19975"/>
    <s v="Sally Hughsby"/>
    <x v="1"/>
    <s v="United States"/>
    <x v="79"/>
    <x v="16"/>
    <x v="3"/>
    <s v="FUR-FU-10001756"/>
    <x v="0"/>
    <x v="3"/>
    <s v="Eldon Expressions Desk Accessory, Wood Photo Frame, Mahogany"/>
    <n v="95.2"/>
    <n v="5"/>
    <n v="27.608000000000001"/>
    <x v="0"/>
    <x v="3"/>
  </r>
  <r>
    <s v="CA-2016-112830"/>
    <x v="882"/>
    <d v="2016-06-10T00:00:00"/>
    <x v="1"/>
    <s v="LP-17095"/>
    <s v="Liz Preis"/>
    <x v="0"/>
    <s v="United States"/>
    <x v="130"/>
    <x v="15"/>
    <x v="2"/>
    <s v="FUR-FU-10004306"/>
    <x v="0"/>
    <x v="3"/>
    <s v="Electrix Halogen Magnifier Lamp"/>
    <n v="466.32"/>
    <n v="3"/>
    <n v="34.973999999999997"/>
    <x v="4"/>
    <x v="2"/>
  </r>
  <r>
    <s v="CA-2016-112830"/>
    <x v="882"/>
    <d v="2016-06-10T00:00:00"/>
    <x v="1"/>
    <s v="LP-17095"/>
    <s v="Liz Preis"/>
    <x v="0"/>
    <s v="United States"/>
    <x v="130"/>
    <x v="15"/>
    <x v="2"/>
    <s v="FUR-FU-10004845"/>
    <x v="0"/>
    <x v="3"/>
    <s v="Deflect-o EconoMat Nonstudded, No Bevel Mat"/>
    <n v="82.64"/>
    <n v="2"/>
    <n v="0"/>
    <x v="4"/>
    <x v="2"/>
  </r>
  <r>
    <s v="US-2014-117380"/>
    <x v="786"/>
    <d v="2014-04-03T00:00:00"/>
    <x v="1"/>
    <s v="MP-18175"/>
    <s v="Mike Pelletier"/>
    <x v="2"/>
    <s v="United States"/>
    <x v="76"/>
    <x v="15"/>
    <x v="2"/>
    <s v="FUR-TA-10000198"/>
    <x v="0"/>
    <x v="2"/>
    <s v="Chromcraft Bull-Nose Wood Oval Conference Tables &amp; Bases"/>
    <n v="330.58800000000002"/>
    <n v="1"/>
    <n v="-143.25479999999999"/>
    <x v="6"/>
    <x v="9"/>
  </r>
  <r>
    <s v="CA-2017-117646"/>
    <x v="67"/>
    <d v="2017-08-25T00:00:00"/>
    <x v="1"/>
    <s v="SC-20845"/>
    <s v="Sung Chung"/>
    <x v="0"/>
    <s v="United States"/>
    <x v="74"/>
    <x v="12"/>
    <x v="1"/>
    <s v="FUR-FU-10001037"/>
    <x v="0"/>
    <x v="3"/>
    <s v="DAX Charcoal/Nickel-Tone Document Frame, 5 x 7"/>
    <n v="22.751999999999999"/>
    <n v="3"/>
    <n v="7.11"/>
    <x v="4"/>
    <x v="10"/>
  </r>
  <r>
    <s v="CA-2014-122609"/>
    <x v="352"/>
    <d v="2014-11-18T00:00:00"/>
    <x v="1"/>
    <s v="DP-13000"/>
    <s v="Darren Powers"/>
    <x v="0"/>
    <s v="United States"/>
    <x v="118"/>
    <x v="5"/>
    <x v="3"/>
    <s v="FUR-FU-10004587"/>
    <x v="0"/>
    <x v="3"/>
    <s v="GE General Use Halogen Bulbs, 100 Watts, 1 Bulb per Pack"/>
    <n v="25.128"/>
    <n v="3"/>
    <n v="-6.9101999999999997"/>
    <x v="6"/>
    <x v="0"/>
  </r>
  <r>
    <s v="US-2015-129007"/>
    <x v="615"/>
    <d v="2015-09-15T00:00:00"/>
    <x v="2"/>
    <s v="KD-16615"/>
    <s v="Ken Dana"/>
    <x v="1"/>
    <s v="United States"/>
    <x v="261"/>
    <x v="2"/>
    <x v="1"/>
    <s v="FUR-FU-10004973"/>
    <x v="0"/>
    <x v="3"/>
    <s v="Flat Face Poster Frame"/>
    <n v="131.88"/>
    <n v="7"/>
    <n v="55.389600000000002"/>
    <x v="3"/>
    <x v="4"/>
  </r>
  <r>
    <s v="US-2015-129007"/>
    <x v="615"/>
    <d v="2015-09-15T00:00:00"/>
    <x v="2"/>
    <s v="KD-16615"/>
    <s v="Ken Dana"/>
    <x v="1"/>
    <s v="United States"/>
    <x v="261"/>
    <x v="2"/>
    <x v="1"/>
    <s v="FUR-CH-10000155"/>
    <x v="0"/>
    <x v="1"/>
    <s v="Global Comet Stacking Armless Chair"/>
    <n v="717.72"/>
    <n v="3"/>
    <n v="71.772000000000006"/>
    <x v="3"/>
    <x v="4"/>
  </r>
  <r>
    <s v="US-2015-129007"/>
    <x v="615"/>
    <d v="2015-09-15T00:00:00"/>
    <x v="2"/>
    <s v="KD-16615"/>
    <s v="Ken Dana"/>
    <x v="1"/>
    <s v="United States"/>
    <x v="261"/>
    <x v="2"/>
    <x v="1"/>
    <s v="FUR-FU-10002379"/>
    <x v="0"/>
    <x v="3"/>
    <s v="Eldon Econocleat Chair Mats for Low Pile Carpets"/>
    <n v="207.35"/>
    <n v="5"/>
    <n v="24.882000000000001"/>
    <x v="3"/>
    <x v="4"/>
  </r>
  <r>
    <s v="US-2015-129007"/>
    <x v="615"/>
    <d v="2015-09-15T00:00:00"/>
    <x v="2"/>
    <s v="KD-16615"/>
    <s v="Ken Dana"/>
    <x v="1"/>
    <s v="United States"/>
    <x v="261"/>
    <x v="2"/>
    <x v="1"/>
    <s v="FUR-FU-10004018"/>
    <x v="0"/>
    <x v="3"/>
    <s v="Tensor Computer Mounted Lamp"/>
    <n v="44.67"/>
    <n v="3"/>
    <n v="12.0609"/>
    <x v="3"/>
    <x v="4"/>
  </r>
  <r>
    <s v="CA-2015-132388"/>
    <x v="883"/>
    <d v="2015-10-12T00:00:00"/>
    <x v="2"/>
    <s v="KN-16390"/>
    <s v="Katherine Nockton"/>
    <x v="1"/>
    <s v="United States"/>
    <x v="367"/>
    <x v="2"/>
    <x v="1"/>
    <s v="FUR-CH-10001714"/>
    <x v="0"/>
    <x v="1"/>
    <s v="Global Leather &amp; Oak Executive Chair, Burgundy"/>
    <n v="362.13600000000002"/>
    <n v="3"/>
    <n v="-54.320399999999999"/>
    <x v="3"/>
    <x v="1"/>
  </r>
  <r>
    <s v="CA-2017-160927"/>
    <x v="884"/>
    <d v="2017-01-31T00:00:00"/>
    <x v="0"/>
    <s v="TM-21010"/>
    <s v="Tamara Manning"/>
    <x v="0"/>
    <s v="United States"/>
    <x v="149"/>
    <x v="26"/>
    <x v="3"/>
    <s v="FUR-FU-10000010"/>
    <x v="0"/>
    <x v="3"/>
    <s v="DAX Value U-Channel Document Frames, Easel Back"/>
    <n v="14.91"/>
    <n v="3"/>
    <n v="4.6220999999999997"/>
    <x v="3"/>
    <x v="8"/>
  </r>
  <r>
    <s v="CA-2016-149272"/>
    <x v="775"/>
    <d v="2016-03-19T00:00:00"/>
    <x v="1"/>
    <s v="MY-18295"/>
    <s v="Muhammed Yedwab"/>
    <x v="1"/>
    <s v="United States"/>
    <x v="368"/>
    <x v="5"/>
    <x v="3"/>
    <s v="FUR-CH-10000863"/>
    <x v="0"/>
    <x v="1"/>
    <s v="Novimex Swivel Fabric Task Chair"/>
    <n v="528.42999999999995"/>
    <n v="5"/>
    <n v="-143.43100000000001"/>
    <x v="4"/>
    <x v="9"/>
  </r>
  <r>
    <s v="CA-2016-129630"/>
    <x v="631"/>
    <d v="2016-09-04T00:00:00"/>
    <x v="3"/>
    <s v="IM-15055"/>
    <s v="Ionia McGrath"/>
    <x v="0"/>
    <s v="United States"/>
    <x v="28"/>
    <x v="2"/>
    <x v="1"/>
    <s v="FUR-FU-10000260"/>
    <x v="0"/>
    <x v="3"/>
    <s v="6&quot; Cubicle Wall Clock, Black"/>
    <n v="24.27"/>
    <n v="3"/>
    <n v="8.7371999999999996"/>
    <x v="7"/>
    <x v="4"/>
  </r>
  <r>
    <s v="CA-2015-104948"/>
    <x v="18"/>
    <d v="2015-11-17T00:00:00"/>
    <x v="1"/>
    <s v="KH-16510"/>
    <s v="Keith Herrera"/>
    <x v="0"/>
    <s v="United States"/>
    <x v="369"/>
    <x v="2"/>
    <x v="1"/>
    <s v="FUR-BO-10004357"/>
    <x v="0"/>
    <x v="0"/>
    <s v="O'Sullivan Living Dimensions 3-Shelf Bookcases"/>
    <n v="683.33199999999999"/>
    <n v="4"/>
    <n v="-40.195999999999998"/>
    <x v="4"/>
    <x v="0"/>
  </r>
  <r>
    <s v="CA-2016-164889"/>
    <x v="885"/>
    <d v="2016-06-06T00:00:00"/>
    <x v="0"/>
    <s v="CP-12340"/>
    <s v="Christine Phan"/>
    <x v="1"/>
    <s v="United States"/>
    <x v="2"/>
    <x v="2"/>
    <x v="1"/>
    <s v="FUR-TA-10001676"/>
    <x v="0"/>
    <x v="2"/>
    <s v="Hon 61000 Series Interactive Training Tables"/>
    <n v="71.087999999999994"/>
    <n v="2"/>
    <n v="-1.7771999999999999"/>
    <x v="0"/>
    <x v="2"/>
  </r>
  <r>
    <s v="CA-2016-169824"/>
    <x v="574"/>
    <d v="2016-12-17T00:00:00"/>
    <x v="1"/>
    <s v="NS-18640"/>
    <s v="Noel Staavos"/>
    <x v="1"/>
    <s v="United States"/>
    <x v="13"/>
    <x v="7"/>
    <x v="2"/>
    <s v="FUR-FU-10004864"/>
    <x v="0"/>
    <x v="3"/>
    <s v="Eldon 500 Class Desk Accessories"/>
    <n v="60.35"/>
    <n v="5"/>
    <n v="19.915500000000002"/>
    <x v="2"/>
    <x v="5"/>
  </r>
  <r>
    <s v="CA-2017-121559"/>
    <x v="886"/>
    <d v="2017-06-03T00:00:00"/>
    <x v="0"/>
    <s v="HW-14935"/>
    <s v="Helen Wasserman"/>
    <x v="1"/>
    <s v="United States"/>
    <x v="370"/>
    <x v="6"/>
    <x v="3"/>
    <s v="FUR-CH-10003746"/>
    <x v="0"/>
    <x v="1"/>
    <s v="Hon 4070 Series Pagoda Round Back Stacking Chairs"/>
    <n v="1925.88"/>
    <n v="6"/>
    <n v="539.24639999999999"/>
    <x v="3"/>
    <x v="2"/>
  </r>
  <r>
    <s v="CA-2015-141593"/>
    <x v="646"/>
    <d v="2015-12-16T00:00:00"/>
    <x v="0"/>
    <s v="DB-12970"/>
    <s v="Darren Budd"/>
    <x v="1"/>
    <s v="United States"/>
    <x v="2"/>
    <x v="2"/>
    <x v="1"/>
    <s v="FUR-TA-10002622"/>
    <x v="0"/>
    <x v="2"/>
    <s v="Bush Andora Conference Table, Maple/Graphite Gray Finish"/>
    <n v="273.56799999999998"/>
    <n v="2"/>
    <n v="10.258800000000001"/>
    <x v="3"/>
    <x v="5"/>
  </r>
  <r>
    <s v="CA-2015-168088"/>
    <x v="887"/>
    <d v="2015-03-22T00:00:00"/>
    <x v="2"/>
    <s v="CM-12655"/>
    <s v="Corinna Mitchell"/>
    <x v="2"/>
    <s v="United States"/>
    <x v="6"/>
    <x v="5"/>
    <x v="3"/>
    <s v="FUR-BO-10004218"/>
    <x v="0"/>
    <x v="0"/>
    <s v="Bush Heritage Pine Collection 5-Shelf Bookcase, Albany Pine Finish, *Special Order"/>
    <n v="383.46559999999999"/>
    <n v="4"/>
    <n v="-67.670400000000001"/>
    <x v="0"/>
    <x v="9"/>
  </r>
  <r>
    <s v="CA-2016-146374"/>
    <x v="28"/>
    <d v="2016-12-10T00:00:00"/>
    <x v="0"/>
    <s v="HE-14800"/>
    <s v="Harold Engle"/>
    <x v="1"/>
    <s v="United States"/>
    <x v="19"/>
    <x v="14"/>
    <x v="2"/>
    <s v="FUR-FU-10002671"/>
    <x v="0"/>
    <x v="3"/>
    <s v="Electrix 20W Halogen Replacement Bulb for Zoom-In Desk Lamp"/>
    <n v="13.4"/>
    <n v="1"/>
    <n v="6.4320000000000004"/>
    <x v="2"/>
    <x v="5"/>
  </r>
  <r>
    <s v="US-2015-151435"/>
    <x v="329"/>
    <d v="2015-09-09T00:00:00"/>
    <x v="0"/>
    <s v="SW-20455"/>
    <s v="Shaun Weien"/>
    <x v="0"/>
    <s v="United States"/>
    <x v="120"/>
    <x v="35"/>
    <x v="0"/>
    <s v="FUR-TA-10001039"/>
    <x v="0"/>
    <x v="2"/>
    <s v="KI Adjustable-Height Table"/>
    <n v="85.98"/>
    <n v="1"/>
    <n v="22.354800000000001"/>
    <x v="0"/>
    <x v="4"/>
  </r>
  <r>
    <s v="CA-2014-110422"/>
    <x v="888"/>
    <d v="2014-01-23T00:00:00"/>
    <x v="0"/>
    <s v="TB-21400"/>
    <s v="Tom Boeckenhauer"/>
    <x v="0"/>
    <s v="United States"/>
    <x v="89"/>
    <x v="1"/>
    <x v="0"/>
    <s v="FUR-FU-10001889"/>
    <x v="0"/>
    <x v="3"/>
    <s v="Ultra Door Pull Handle"/>
    <n v="25.248000000000001"/>
    <n v="3"/>
    <n v="4.1028000000000002"/>
    <x v="3"/>
    <x v="8"/>
  </r>
  <r>
    <s v="CA-2017-121258"/>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9">
  <location ref="A16:B29"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4"/>
  </dataFields>
  <formats count="1">
    <format dxfId="19">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9" count="1" selected="0">
            <x v="3"/>
          </reference>
        </references>
      </pivotArea>
    </chartFormat>
    <chartFormat chart="3" format="3">
      <pivotArea type="data" outline="0" fieldPosition="0">
        <references count="2">
          <reference field="4294967294" count="1" selected="0">
            <x v="0"/>
          </reference>
          <reference field="19" count="1" selected="0">
            <x v="5"/>
          </reference>
        </references>
      </pivotArea>
    </chartFormat>
    <chartFormat chart="3" format="4">
      <pivotArea type="data" outline="0" fieldPosition="0">
        <references count="2">
          <reference field="4294967294" count="1" selected="0">
            <x v="0"/>
          </reference>
          <reference field="19" count="1" selected="0">
            <x v="7"/>
          </reference>
        </references>
      </pivotArea>
    </chartFormat>
    <chartFormat chart="3" format="5">
      <pivotArea type="data" outline="0" fieldPosition="0">
        <references count="2">
          <reference field="4294967294" count="1" selected="0">
            <x v="0"/>
          </reference>
          <reference field="1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4">
  <location ref="H25:I34" firstHeaderRow="1" firstDataRow="1" firstDataCol="1"/>
  <pivotFields count="22">
    <pivotField dataField="1" showAll="0" countASubtotal="1"/>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9"/>
  </dataFields>
  <formats count="6">
    <format dxfId="13">
      <pivotArea outline="0" collapsedLevelsAreSubtotals="1" fieldPosition="0"/>
    </format>
    <format dxfId="14">
      <pivotArea outline="0" fieldPosition="0">
        <references count="1">
          <reference field="4294967294" count="1">
            <x v="0"/>
          </reference>
        </references>
      </pivotArea>
    </format>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3:C4" firstHeaderRow="0" firstDataRow="1" firstDataCol="0"/>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defaultSubtotal="0">
      <items count="6">
        <item x="0"/>
        <item x="1"/>
        <item x="2"/>
        <item x="3"/>
        <item x="4"/>
        <item x="5"/>
      </items>
    </pivotField>
    <pivotField showAll="0" defaultSubtotal="0">
      <items count="6">
        <item x="0"/>
        <item x="1"/>
        <item x="2"/>
        <item x="3"/>
        <item x="4"/>
        <item x="5"/>
      </items>
    </pivotField>
  </pivotFields>
  <rowItems count="1">
    <i/>
  </rowItems>
  <colFields count="1">
    <field x="-2"/>
  </colFields>
  <colItems count="3">
    <i>
      <x/>
    </i>
    <i i="1">
      <x v="1"/>
    </i>
    <i i="2">
      <x v="2"/>
    </i>
  </colItems>
  <dataFields count="3">
    <dataField name="Sum of Quantity" fld="16" baseField="0" baseItem="1"/>
    <dataField name="Sum of Sales" fld="15"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8"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H49:I54" firstHeaderRow="1" firstDataRow="1" firstDataCol="1"/>
  <pivotFields count="22">
    <pivotField showAll="0" countASubtotal="1"/>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3"/>
  </rowFields>
  <rowItems count="5">
    <i>
      <x/>
    </i>
    <i>
      <x v="1"/>
    </i>
    <i>
      <x v="2"/>
    </i>
    <i>
      <x v="3"/>
    </i>
    <i t="grand">
      <x/>
    </i>
  </rowItems>
  <colItems count="1">
    <i/>
  </colItems>
  <dataFields count="1">
    <dataField name="Sum of Sales" fld="15" baseField="13" baseItem="0" numFmtId="164"/>
  </dataFields>
  <formats count="6">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7"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6">
  <location ref="H40:I45" firstHeaderRow="1" firstDataRow="1" firstDataCol="1"/>
  <pivotFields count="22">
    <pivotField dataField="1" showAll="0" countASubtotal="1"/>
    <pivotField numFmtId="14" showAll="0">
      <items count="15">
        <item x="0"/>
        <item x="1"/>
        <item x="2"/>
        <item x="3"/>
        <item x="4"/>
        <item x="5"/>
        <item x="6"/>
        <item x="7"/>
        <item x="8"/>
        <item x="9"/>
        <item x="10"/>
        <item x="11"/>
        <item x="12"/>
        <item x="13"/>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10"/>
  </dataFields>
  <formats count="8">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fieldPosition="0">
        <references count="1">
          <reference field="4294967294" count="1">
            <x v="0"/>
          </reference>
        </references>
      </pivotArea>
    </format>
    <format dxfId="27">
      <pivotArea collapsedLevelsAreSubtotals="1" fieldPosition="0">
        <references count="1">
          <reference field="3" count="0"/>
        </references>
      </pivotArea>
    </format>
    <format dxfId="26">
      <pivotArea collapsedLevelsAreSubtotals="1" fieldPosition="0">
        <references count="1">
          <reference field="3" count="0"/>
        </references>
      </pivotArea>
    </format>
  </formats>
  <chartFormats count="5">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0"/>
          </reference>
        </references>
      </pivotArea>
    </chartFormat>
    <chartFormat chart="5" format="7">
      <pivotArea type="data" outline="0" fieldPosition="0">
        <references count="2">
          <reference field="4294967294" count="1" selected="0">
            <x v="0"/>
          </reference>
          <reference field="3" count="1" selected="0">
            <x v="1"/>
          </reference>
        </references>
      </pivotArea>
    </chartFormat>
    <chartFormat chart="5" format="8">
      <pivotArea type="data" outline="0" fieldPosition="0">
        <references count="2">
          <reference field="4294967294" count="1" selected="0">
            <x v="0"/>
          </reference>
          <reference field="3" count="1" selected="0">
            <x v="2"/>
          </reference>
        </references>
      </pivotArea>
    </chartFormat>
    <chartFormat chart="5" format="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31:B80"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4"/>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7:D12" firstHeaderRow="0"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dataField="1" showAll="0"/>
    <pivotField showAll="0"/>
    <pivotField showAll="0"/>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1">
    <field x="21"/>
  </rowFields>
  <rowItems count="5">
    <i>
      <x v="1"/>
    </i>
    <i>
      <x v="2"/>
    </i>
    <i>
      <x v="3"/>
    </i>
    <i>
      <x v="4"/>
    </i>
    <i t="grand">
      <x/>
    </i>
  </rowItems>
  <colFields count="1">
    <field x="-2"/>
  </colFields>
  <colItems count="3">
    <i>
      <x/>
    </i>
    <i i="1">
      <x v="1"/>
    </i>
    <i i="2">
      <x v="2"/>
    </i>
  </colItems>
  <dataFields count="3">
    <dataField name="Sum of Quantity" fld="16" baseField="0" baseItem="1"/>
    <dataField name="Sum of Sales" fld="15"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H15:I21" firstHeaderRow="1" firstDataRow="1" firstDataCol="1"/>
  <pivotFields count="22">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8"/>
  </rowFields>
  <rowItems count="6">
    <i>
      <x v="184"/>
    </i>
    <i>
      <x v="232"/>
    </i>
    <i>
      <x v="264"/>
    </i>
    <i>
      <x v="307"/>
    </i>
    <i>
      <x v="316"/>
    </i>
    <i t="grand">
      <x/>
    </i>
  </rowItems>
  <colItems count="1">
    <i/>
  </colItems>
  <dataFields count="1">
    <dataField name="Sum of Sales" fld="15" baseField="0" baseItem="0" numFmtId="164"/>
  </dataFields>
  <formats count="1">
    <format dxfId="35">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0" applyNumberFormats="0" applyBorderFormats="0" applyFontFormats="1" applyPatternFormats="1" applyAlignmentFormats="0" applyWidthHeightFormats="0">
  <queryTableRefresh preserveSortFilterLayout="0" nextId="21">
    <queryTableFields count="20">
      <queryTableField id="1" name="Order ID" tableColumnId="61"/>
      <queryTableField id="2" name="Order Date" tableColumnId="62"/>
      <queryTableField id="3" name="Ship Date" tableColumnId="63"/>
      <queryTableField id="4" name="Ship Mode" tableColumnId="64"/>
      <queryTableField id="5" name="Customer ID" tableColumnId="65"/>
      <queryTableField id="6" name="Customer Name" tableColumnId="66"/>
      <queryTableField id="7" name="Segment" tableColumnId="67"/>
      <queryTableField id="8" name="Country" tableColumnId="68"/>
      <queryTableField id="9" name="City" tableColumnId="69"/>
      <queryTableField id="10" name="State" tableColumnId="70"/>
      <queryTableField id="11" name="Region" tableColumnId="71"/>
      <queryTableField id="12" name="Product ID" tableColumnId="72"/>
      <queryTableField id="13" name="Category" tableColumnId="73"/>
      <queryTableField id="14" name="Sub-Category" tableColumnId="74"/>
      <queryTableField id="15" name="Product Name" tableColumnId="75"/>
      <queryTableField id="16" name="Sales" tableColumnId="76"/>
      <queryTableField id="17" name="Quantity" tableColumnId="77"/>
      <queryTableField id="18" name="Profit" tableColumnId="78"/>
      <queryTableField id="19" name="Duration" tableColumnId="79"/>
      <queryTableField id="20" name="Month" tableColumnId="8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FB6023-FE3E-47A4-802F-C451E23A219F}" sourceName="Segment">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17224914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77EC772-51B0-4FB9-8CDF-18EFE7132F22}" sourceName="Region">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172249149">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603E0F1-6418-4DA7-96CC-414E0475F2B6}" cache="Slicer_Segment" caption="Segment" columnCount="3" showCaption="0" style="SlicerStyleOther2" rowHeight="234950"/>
  <slicer name="Region" xr10:uid="{5609BF98-A948-4F0A-9558-4D7AD22F5723}" cache="Slicer_Region" caption="Region" columnCount="4" showCaption="0"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rniture_data" displayName="Furniture_data" ref="A1:T2122" tableType="queryTable" totalsRowShown="0">
  <autoFilter ref="A1:T2122" xr:uid="{00000000-0009-0000-0100-000001000000}"/>
  <tableColumns count="20">
    <tableColumn id="61" xr3:uid="{00000000-0010-0000-0000-00003D000000}" uniqueName="61" name="Order ID" queryTableFieldId="1" dataDxfId="55"/>
    <tableColumn id="62" xr3:uid="{00000000-0010-0000-0000-00003E000000}" uniqueName="62" name="Order Date" queryTableFieldId="2" dataDxfId="54"/>
    <tableColumn id="63" xr3:uid="{00000000-0010-0000-0000-00003F000000}" uniqueName="63" name="Ship Date" queryTableFieldId="3" dataDxfId="53"/>
    <tableColumn id="64" xr3:uid="{00000000-0010-0000-0000-000040000000}" uniqueName="64" name="Ship Mode" queryTableFieldId="4" dataDxfId="52"/>
    <tableColumn id="65" xr3:uid="{00000000-0010-0000-0000-000041000000}" uniqueName="65" name="Customer ID" queryTableFieldId="5" dataDxfId="51"/>
    <tableColumn id="66" xr3:uid="{00000000-0010-0000-0000-000042000000}" uniqueName="66" name="Customer Name" queryTableFieldId="6" dataDxfId="50"/>
    <tableColumn id="67" xr3:uid="{00000000-0010-0000-0000-000043000000}" uniqueName="67" name="Segment" queryTableFieldId="7" dataDxfId="49"/>
    <tableColumn id="68" xr3:uid="{00000000-0010-0000-0000-000044000000}" uniqueName="68" name="Country" queryTableFieldId="8" dataDxfId="48"/>
    <tableColumn id="69" xr3:uid="{00000000-0010-0000-0000-000045000000}" uniqueName="69" name="City" queryTableFieldId="9" dataDxfId="47"/>
    <tableColumn id="70" xr3:uid="{00000000-0010-0000-0000-000046000000}" uniqueName="70" name="State" queryTableFieldId="10" dataDxfId="46"/>
    <tableColumn id="71" xr3:uid="{00000000-0010-0000-0000-000047000000}" uniqueName="71" name="Region" queryTableFieldId="11" dataDxfId="45"/>
    <tableColumn id="72" xr3:uid="{00000000-0010-0000-0000-000048000000}" uniqueName="72" name="Product ID" queryTableFieldId="12" dataDxfId="44"/>
    <tableColumn id="73" xr3:uid="{00000000-0010-0000-0000-000049000000}" uniqueName="73" name="Category" queryTableFieldId="13" dataDxfId="43"/>
    <tableColumn id="74" xr3:uid="{00000000-0010-0000-0000-00004A000000}" uniqueName="74" name="Sub-Category" queryTableFieldId="14" dataDxfId="42"/>
    <tableColumn id="75" xr3:uid="{00000000-0010-0000-0000-00004B000000}" uniqueName="75" name="Product Name" queryTableFieldId="15" dataDxfId="41"/>
    <tableColumn id="76" xr3:uid="{00000000-0010-0000-0000-00004C000000}" uniqueName="76" name="Sales" queryTableFieldId="16" dataDxfId="40"/>
    <tableColumn id="77" xr3:uid="{00000000-0010-0000-0000-00004D000000}" uniqueName="77" name="Quantity" queryTableFieldId="17" dataDxfId="39"/>
    <tableColumn id="78" xr3:uid="{00000000-0010-0000-0000-00004E000000}" uniqueName="78" name="Profit" queryTableFieldId="18" dataDxfId="38"/>
    <tableColumn id="79" xr3:uid="{00000000-0010-0000-0000-00004F000000}" uniqueName="79" name="Duration" queryTableFieldId="19" dataDxfId="37"/>
    <tableColumn id="80" xr3:uid="{00000000-0010-0000-0000-000050000000}" uniqueName="80" name="Month" queryTableFieldId="20"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D24F5E-2FE6-48E6-9295-927D8A42F75B}" name="Table3" displayName="Table3" ref="L3:R7" totalsRowShown="0" dataDxfId="7" dataCellStyle="Percent">
  <autoFilter ref="L3:R7" xr:uid="{89D24F5E-2FE6-48E6-9295-927D8A42F75B}"/>
  <tableColumns count="7">
    <tableColumn id="1" xr3:uid="{5D0CB89C-EC66-4EA0-BBA7-C5487BDC1508}" name="Years"/>
    <tableColumn id="2" xr3:uid="{0B2C07B2-A0D3-494F-ADDF-3C8A7B2A3D90}" name="Profit" dataDxfId="6"/>
    <tableColumn id="3" xr3:uid="{3E742C5C-F65F-499E-8164-3F4B6BF4D611}" name="Profit YOY%" dataDxfId="12" dataCellStyle="Percent">
      <calculatedColumnFormula>(M4-M3)/M3</calculatedColumnFormula>
    </tableColumn>
    <tableColumn id="4" xr3:uid="{1C443DB7-3357-4094-88A3-05AA4E6EDF17}" name="Sales" dataDxfId="11"/>
    <tableColumn id="5" xr3:uid="{CDE09E4C-0CE2-4ABE-92BF-9867B7275E03}" name="Profit YOY%2" dataDxfId="10" dataCellStyle="Percent">
      <calculatedColumnFormula>(O4-O3)/O3</calculatedColumnFormula>
    </tableColumn>
    <tableColumn id="6" xr3:uid="{CC8BD442-D121-4C7D-AC7D-53D3E691D94C}" name="Quantity" dataDxfId="9"/>
    <tableColumn id="7" xr3:uid="{6F92C6E7-775A-4440-8DC8-81B2DF2AE6FD}" name="Quantity YOY%" dataDxfId="8" dataCellStyle="Percent">
      <calculatedColumnFormula>(Q4-Q3)/Q3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486875F-7F61-46CC-8717-F360B477C88D}" sourceName="Order Dat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2249149"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8E8BDE3-621D-447F-8E68-A333693A35B0}"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22"/>
  <sheetViews>
    <sheetView topLeftCell="M1" workbookViewId="0">
      <selection activeCell="S2" sqref="S2"/>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9" width="15.21875" bestFit="1" customWidth="1"/>
    <col min="10" max="10" width="17.33203125" bestFit="1" customWidth="1"/>
    <col min="11" max="11" width="9" bestFit="1" customWidth="1"/>
    <col min="12" max="12" width="16.21875" bestFit="1" customWidth="1"/>
    <col min="13" max="13" width="10.77734375" bestFit="1" customWidth="1"/>
    <col min="14" max="14" width="14.6640625" bestFit="1" customWidth="1"/>
    <col min="15" max="15" width="78.33203125" bestFit="1" customWidth="1"/>
    <col min="16" max="16" width="10" bestFit="1" customWidth="1"/>
    <col min="17" max="17" width="10.5546875" bestFit="1" customWidth="1"/>
    <col min="18" max="18" width="10.6640625" bestFit="1" customWidth="1"/>
    <col min="19" max="19" width="10.5546875" bestFit="1" customWidth="1"/>
    <col min="20" max="20" width="9"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3">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3">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3">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3">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3">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3">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3">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3">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3">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3">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3">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3">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3">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3">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3">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3">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3">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3">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3">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3">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3">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3">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3">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3">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3">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3">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3">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3">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3">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3">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3">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3">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3">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3">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3">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3">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3">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3">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3">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3">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3">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3">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3">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3">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3">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3">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3">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3">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3">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3">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3">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3">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3">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3">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3">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3">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3">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3">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3">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3">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3">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3">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3">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3">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3">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3">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3">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3">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3">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3">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3">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3">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3">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3">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3">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3">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3">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3">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3">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3">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3">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3">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3">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3">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3">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3">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3">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3">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3">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3">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3">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3">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3">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3">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3">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3">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3">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3">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3">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3">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3">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3">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3">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3">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3">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3">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3">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3">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3">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3">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3">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3">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3">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3">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3">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3">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3">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3">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3">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3">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3">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3">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3">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3">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3">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3">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3">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3">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3">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3">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3">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3">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3">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3">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3">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3">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3">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3">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3">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3">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3">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3">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3">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3">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3">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3">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3">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3">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3">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3">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3">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3">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3">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3">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3">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3">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3">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3">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3">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3">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3">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3">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3">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3">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3">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3">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3">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3">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3">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3">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3">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3">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3">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3">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3">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3">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3">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3">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3">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3">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3">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3">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3">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3">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3">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3">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3">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3">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3">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3">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3">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3">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3">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3">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3">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3">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3">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3">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3">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3">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3">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3">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3">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3">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3">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3">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3">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3">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3">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3">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3">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3">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3">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3">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3">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3">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3">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3">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3">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3">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3">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3">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3">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3">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3">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3">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3">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3">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3">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3">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3">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3">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3">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3">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3">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3">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3">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3">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3">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3">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3">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3">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3">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3">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3">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3">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3">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3">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3">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3">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3">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3">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3">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3">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3">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3">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3">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3">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3">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3">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3">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3">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3">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3">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3">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3">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3">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3">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3">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3">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3">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3">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3">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3">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3">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3">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3">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3">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3">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3">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3">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3">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3">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3">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3">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3">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3">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3">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3">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3">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3">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3">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3">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3">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3">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3">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3">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3">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3">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3">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3">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3">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3">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3">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3">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3">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3">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3">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3">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3">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3">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3">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3">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3">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3">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3">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3">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3">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3">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3">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3">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3">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3">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3">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3">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3">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3">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3">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3">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3">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3">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3">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3">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3">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3">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3">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3">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3">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3">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3">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3">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3">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3">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3">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3">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3">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3">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3">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3">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3">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3">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3">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3">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3">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3">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3">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3">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3">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3">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3">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3">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3">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3">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3">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3">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3">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3">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3">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3">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3">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3">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3">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3">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3">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3">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3">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3">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3">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3">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3">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3">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3">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3">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3">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3">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3">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3">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3">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3">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3">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3">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3">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3">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3">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3">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3">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3">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3">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3">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3">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3">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3">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3">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3">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3">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3">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3">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3">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3">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3">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3">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3">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3">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3">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3">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3">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3">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3">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3">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3">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3">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3">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3">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3">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3">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3">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3">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3">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3">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3">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3">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3">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3">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3">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3">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3">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3">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3">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3">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3">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3">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3">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3">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3">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3">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3">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3">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3">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3">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3">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3">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3">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3">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3">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3">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3">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3">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3">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3">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3">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3">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3">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3">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3">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3">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3">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3">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3">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3">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3">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3">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3">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3">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3">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3">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3">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3">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3">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3">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3">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3">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3">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3">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3">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3">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3">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3">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3">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3">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3">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3">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3">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3">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3">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3">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3">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3">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3">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3">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3">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3">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3">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3">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3">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3">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3">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3">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3">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3">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3">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3">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3">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3">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3">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3">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3">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3">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3">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3">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3">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3">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3">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3">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3">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3">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3">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3">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3">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3">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3">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3">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3">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3">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3">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3">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3">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3">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3">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3">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3">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3">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3">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3">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3">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3">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3">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3">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3">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3">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3">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3">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3">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3">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3">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3">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3">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3">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3">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3">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3">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3">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3">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3">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3">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3">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3">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3">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3">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3">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3">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3">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3">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3">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3">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3">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3">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3">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3">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3">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3">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3">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3">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3">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3">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3">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3">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3">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3">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3">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3">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3">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3">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3">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3">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3">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3">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3">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3">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3">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3">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3">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3">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3">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3">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3">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3">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3">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3">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3">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3">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3">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3">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3">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3">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3">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3">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3">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3">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3">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3">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3">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3">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3">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3">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3">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3">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3">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3">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3">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3">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3">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3">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3">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3">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3">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3">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3">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3">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3">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3">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3">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3">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3">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3">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3">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3">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3">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3">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3">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3">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3">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3">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3">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3">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3">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3">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3">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3">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3">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3">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3">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3">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3">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3">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3">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3">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3">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3">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3">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3">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3">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3">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3">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3">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3">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3">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3">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3">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3">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3">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3">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3">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3">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3">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3">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3">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3">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3">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3">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3">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3">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3">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3">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3">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3">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3">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3">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3">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3">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3">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3">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3">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3">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3">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3">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3">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3">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3">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3">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3">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3">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3">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3">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3">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3">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3">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3">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3">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3">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3">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3">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3">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3">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3">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3">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3">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3">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3">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3">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3">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3">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3">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3">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3">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3">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3">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3">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3">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3">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3">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3">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3">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3">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3">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3">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3">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3">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3">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3">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3">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3">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3">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3">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3">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3">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3">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3">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3">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3">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3">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3">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3">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3">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3">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3">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3">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3">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3">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3">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3">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3">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3">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3">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3">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3">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3">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3">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3">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3">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3">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3">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3">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3">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3">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3">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3">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3">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3">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3">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3">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3">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3">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3">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3">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3">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3">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3">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3">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3">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3">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3">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3">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3">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3">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3">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3">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3">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3">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3">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3">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3">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3">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3">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3">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3">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3">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3">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3">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3">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3">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3">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3">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3">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3">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3">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3">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3">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3">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3">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3">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3">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3">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3">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3">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3">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3">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3">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3">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3">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3">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3">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3">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3">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3">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3">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3">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3">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3">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3">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3">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3">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3">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3">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3">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3">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3">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3">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3">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3">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3">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3">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3">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3">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3">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3">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3">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3">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3">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3">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3">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3">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3">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3">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3">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3">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3">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3">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3">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3">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3">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3">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3">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3">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3">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3">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3">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3">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3">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3">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3">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3">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3">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3">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3">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3">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3">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3">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3">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3">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3">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3">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3">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3">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3">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3">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3">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3">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3">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3">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3">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3">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3">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3">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3">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3">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3">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3">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3">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3">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3">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3">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3">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3">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3">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3">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3">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3">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3">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3">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3">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3">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3">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3">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3">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3">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3">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3">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3">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3">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3">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3">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3">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3">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3">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3">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3">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3">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3">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3">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3">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3">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3">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3">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3">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3">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3">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3">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3">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3">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3">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3">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3">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3">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3">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3">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3">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3">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3">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3">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3">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3">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3">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3">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3">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3">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3">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3">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3">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3">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3">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3">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3">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3">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3">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3">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3">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3">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3">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3">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3">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3">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3">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3">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3">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3">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3">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3">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3">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3">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3">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3">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3">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3">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3">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3">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3">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3">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3">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3">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3">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3">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3">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3">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3">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3">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3">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3">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3">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3">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3">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3">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3">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3">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3">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3">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3">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3">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3">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3">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3">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3">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3">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3">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3">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3">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3">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3">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3">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3">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3">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3">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3">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3">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3">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3">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3">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3">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3">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3">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3">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3">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3">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3">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3">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3">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3">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3">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3">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3">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3">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3">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3">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3">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3">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3">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3">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3">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3">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3">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3">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3">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3">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3">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3">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3">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3">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3">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3">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3">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3">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3">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3">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3">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3">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3">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3">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3">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3">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3">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3">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3">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3">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3">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3">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3">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3">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3">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3">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3">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3">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3">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3">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3">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3">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3">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3">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3">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3">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3">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3">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3">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3">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3">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3">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3">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3">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3">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3">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3">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3">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3">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3">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3">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3">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3">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3">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3">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3">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3">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3">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3">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3">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3">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3">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3">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3">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3">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3">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3">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3">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3">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3">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3">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3">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3">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3">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3">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3">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3">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3">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3">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3">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3">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3">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3">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3">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3">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3">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3">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3">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3">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3">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3">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3">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3">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3">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3">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3">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3">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3">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3">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3">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3">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3">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3">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3">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3">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3">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3">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3">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3">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3">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3">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3">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3">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3">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3">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3">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3">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3">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3">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3">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3">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3">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3">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3">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3">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3">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3">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3">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3">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3">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3">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3">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3">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3">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3">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3">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3">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3">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3">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3">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3">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3">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3">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3">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3">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3">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3">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3">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3">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3">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3">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3">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3">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3">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3">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3">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3">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3">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3">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3">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3">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3">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3">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3">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3">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3">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3">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3">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3">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3">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3">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3">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3">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3">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3">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3">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3">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3">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3">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3">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3">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3">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3">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3">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3">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3">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3">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3">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3">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3">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3">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3">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3">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3">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3">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3">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3">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3">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3">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3">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3">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3">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3">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3">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3">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3">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3">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3">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3">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3">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3">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3">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3">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3">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3">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3">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3">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3">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3">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3">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3">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3">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3">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3">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3">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3">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3">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3">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3">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3">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3">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3">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3">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3">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3">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3">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3">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3">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3">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3">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3">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3">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3">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3">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3">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3">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3">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3">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3">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3">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3">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3">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3">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3">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3">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3">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3">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3">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3">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3">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3">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3">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3">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3">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3">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3">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3">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3">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3">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3">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3">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3">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3">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3">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3">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3">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3">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3">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3">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3">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3">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3">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3">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3">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3">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3">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3">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3">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3">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3">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3">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3">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3">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3">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3">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3">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3">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3">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3">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3">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3">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3">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3">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3">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3">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3">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3">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3">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3">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3">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3">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3">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3">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3">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3">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3">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3">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3">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3">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3">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3">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3">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3">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3">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3">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3">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3">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3">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3">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3">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3">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3">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3">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3">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3">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3">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3">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3">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3">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3">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3">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3">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3">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3">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3">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3">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3">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3">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3">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3">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3">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3">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3">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3">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3">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3">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3">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3">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3">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3">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3">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3">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3">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3">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3">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3">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3">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3">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3">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3">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3">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3">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3">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3">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3">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3">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3">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3">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3">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3">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3">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3">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3">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3">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3">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3">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3">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3">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3">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3">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3">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3">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3">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3">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3">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3">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3">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3">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3">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3">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3">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3">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3">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3">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3">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3">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3">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3">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3">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3">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3">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3">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3">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3">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3">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3">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3">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3">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3">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3">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3">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3">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3">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3">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3">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3">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3">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3">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3">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3">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3">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3">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3">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3">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3">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3">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3">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3">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3">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3">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3">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3">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3">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3">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3">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3">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3">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3">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3">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3">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3">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3">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3">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3">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3">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3">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3">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3">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3">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3">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3">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3">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3">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3">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3">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3">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3">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3">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3">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3">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3">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3">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3">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3">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3">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3">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3">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3">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3">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3">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3">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3">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3">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3">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3">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3">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3">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3">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3">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3">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3">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3">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3">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3">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3">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3">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3">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3">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3">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3">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3">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3">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3">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3">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3">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3">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3">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3">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3">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3">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3">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3">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3">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3">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3">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3">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3">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3">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3">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3">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3">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3">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3">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3">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3">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3">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3">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3">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3">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3">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3">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3">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3">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3">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3">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3">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3">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3">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3">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3">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3">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3">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3">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3">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3">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3">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3">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3">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3">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3">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3">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3">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3">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3">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3">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3">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3">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3">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3">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3">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3">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3">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3">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3">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3">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3">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3">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3">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3">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3">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3">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3">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3">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3">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3">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3">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3">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3">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3">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3">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3">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3">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3">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3">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3">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3">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3">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3">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3">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3">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3">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3">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3">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3">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3">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3">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3">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3">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3">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3">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3">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3">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3">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3">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3">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3">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3">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3">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3">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3">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3">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3">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3">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3">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3">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3">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3">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3">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3">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3">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3">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3">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3">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3">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3">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3">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3">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3">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3">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3">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3">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3">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3">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3">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3">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3">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3">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3">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3">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3">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3">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3">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3">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3">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3">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3">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3">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3">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3">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3">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3">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3">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3">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3">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3">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3">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3">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3">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3">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3">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3">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3">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3">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3">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3">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3">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3">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3">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3">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3">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3">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3">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3">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3">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3">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3">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3">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3">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3">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3">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3">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3">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3">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3">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3">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3">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3">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3">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3">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3">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3">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3">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3">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3">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3">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3">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3">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3">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3">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3">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3">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3">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3">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3">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3">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3">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3">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3">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3">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3">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3">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3">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3">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3">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3">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3">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3">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3">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3">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3">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3">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3">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3">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3">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3">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3">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3">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3">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3">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3">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3">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3">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3">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3">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3">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3">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3">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3">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3">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3">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3">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3">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3">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3">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3">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3">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3">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3">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3">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3">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3">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3">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3">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3">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3">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3">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3">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3">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3">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3">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3">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3">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3">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3">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3">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3">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3">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3">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3">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3">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3">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3">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3">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3">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3">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3">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3">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3">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3">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3">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3">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3">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3">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3">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3">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3">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3">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3">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3">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3">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3">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3">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3">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3">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3">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3">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3">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3">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3">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3">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3">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3">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3">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3">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3">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3">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3">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3">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3">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3">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3">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3">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3">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3">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3">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3">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3">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3">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3">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3">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3">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3">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3">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3">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3">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3">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3">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3">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3">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3">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3">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3">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3">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3">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3">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3">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3">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3">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3">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3">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3">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3">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3">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3">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3">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3">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3">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3">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3">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3">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3">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3">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3">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3">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3">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3">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3">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3">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3">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3">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3">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3">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3">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3">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3">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3">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3">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3">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3">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3">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3">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3">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3">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3">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3">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3">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3">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3">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3">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3">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3">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3">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3">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3">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3">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3">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3">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3">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3">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3">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3">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3">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3">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3">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3">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3">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3">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3">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3">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3">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3">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3">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3">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3">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3">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3">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3">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3">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3">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3">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3">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3">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3">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3">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3">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3">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3">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3">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3">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3">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3">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3">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3">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3">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3">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3">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3">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3">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3">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3">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3">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3">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3">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3">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3">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3">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3">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3">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3">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3">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3">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3">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3">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3">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3">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3">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3">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3">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3">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3">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3">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3">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3">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3">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3">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3">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3">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3">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3">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3">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3">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3">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3">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3">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3">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3">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3">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3">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3">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3">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3">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3">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3">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3">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3">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3">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3">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3">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3">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3">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3">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3">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3">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3">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3">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3">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3">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3">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3">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3">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3">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3">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3">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3">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3">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3">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3">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3">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3">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3">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3">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3">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3">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3">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3">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3">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3">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3">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3">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3">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3">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3">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3">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3">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3">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3">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3">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3">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3">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3">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3">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3">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3">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3">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3">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3">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3">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3">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3">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3">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3">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3">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3">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3">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3">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3">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3">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3">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3">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3">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3">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3">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3">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3">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3">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3">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3">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3">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80"/>
  <sheetViews>
    <sheetView topLeftCell="A24" zoomScale="80" zoomScaleNormal="80" workbookViewId="0">
      <selection activeCell="E39" sqref="E39"/>
    </sheetView>
  </sheetViews>
  <sheetFormatPr defaultRowHeight="14.4" x14ac:dyDescent="0.3"/>
  <cols>
    <col min="1" max="1" width="18.21875" bestFit="1" customWidth="1"/>
    <col min="2" max="2" width="11.77734375" bestFit="1" customWidth="1"/>
    <col min="3" max="4" width="12.21875" bestFit="1" customWidth="1"/>
    <col min="5" max="5" width="18.21875" customWidth="1"/>
    <col min="6" max="6" width="11.77734375" customWidth="1"/>
    <col min="8" max="8" width="13.33203125" bestFit="1" customWidth="1"/>
    <col min="9" max="9" width="11.77734375" bestFit="1" customWidth="1"/>
    <col min="10" max="10" width="11.77734375" customWidth="1"/>
    <col min="11" max="11" width="10" bestFit="1" customWidth="1"/>
    <col min="12" max="12" width="7.6640625" customWidth="1"/>
    <col min="13" max="13" width="12.21875" bestFit="1" customWidth="1"/>
    <col min="14" max="14" width="13.33203125" customWidth="1"/>
    <col min="15" max="15" width="7.5546875" bestFit="1" customWidth="1"/>
    <col min="16" max="16" width="14.33203125" customWidth="1"/>
    <col min="17" max="17" width="10.44140625" customWidth="1"/>
    <col min="18" max="18" width="16" customWidth="1"/>
  </cols>
  <sheetData>
    <row r="3" spans="1:18" x14ac:dyDescent="0.3">
      <c r="A3" t="s">
        <v>4412</v>
      </c>
      <c r="B3" t="s">
        <v>4408</v>
      </c>
      <c r="C3" t="s">
        <v>4411</v>
      </c>
      <c r="F3" s="9" t="s">
        <v>4417</v>
      </c>
      <c r="G3" s="9"/>
      <c r="H3" s="9"/>
      <c r="I3" s="9"/>
      <c r="J3" s="9"/>
      <c r="L3" t="s">
        <v>4434</v>
      </c>
      <c r="M3" s="11" t="s">
        <v>17</v>
      </c>
      <c r="N3" t="s">
        <v>4432</v>
      </c>
      <c r="O3" s="14" t="s">
        <v>15</v>
      </c>
      <c r="P3" t="s">
        <v>4435</v>
      </c>
      <c r="Q3" s="14" t="s">
        <v>16</v>
      </c>
      <c r="R3" t="s">
        <v>4433</v>
      </c>
    </row>
    <row r="4" spans="1:18" x14ac:dyDescent="0.3">
      <c r="A4" s="13">
        <v>8028</v>
      </c>
      <c r="B4" s="13">
        <v>741999.79529999977</v>
      </c>
      <c r="C4" s="13">
        <v>18451.272799999999</v>
      </c>
      <c r="F4" t="s">
        <v>4418</v>
      </c>
      <c r="G4" t="s">
        <v>4422</v>
      </c>
      <c r="H4" t="s">
        <v>4419</v>
      </c>
      <c r="I4" t="s">
        <v>4420</v>
      </c>
      <c r="J4" t="s">
        <v>4421</v>
      </c>
      <c r="L4">
        <v>2014</v>
      </c>
      <c r="M4" s="4">
        <v>5457.7255000000059</v>
      </c>
      <c r="N4" s="5"/>
      <c r="O4" s="4">
        <v>157192.85310000001</v>
      </c>
      <c r="P4" s="5"/>
      <c r="Q4" s="13">
        <v>1623</v>
      </c>
      <c r="R4" s="5"/>
    </row>
    <row r="5" spans="1:18" x14ac:dyDescent="0.3">
      <c r="F5" t="s">
        <v>15</v>
      </c>
      <c r="G5" s="8">
        <f>GETPIVOTDATA("Sum of Sales",$A$7)</f>
        <v>741999.79530000035</v>
      </c>
      <c r="H5" s="4">
        <f>GETPIVOTDATA("Sum of Sales",$A$7,"Years",2017)</f>
        <v>215387.26920000004</v>
      </c>
      <c r="I5" s="4">
        <f>GETPIVOTDATA("Sum of Sales",$A$7,"Years",2016)</f>
        <v>198901.43600000019</v>
      </c>
      <c r="J5" s="5">
        <f>(H5-I5)/I5</f>
        <v>8.2884435283814811E-2</v>
      </c>
      <c r="K5" t="str">
        <f>IF(J5&gt;0,"▲","▼")&amp;TEXT(ABS(J5),"0%")&amp;" YoY"</f>
        <v>▲8% YoY</v>
      </c>
      <c r="L5">
        <v>2015</v>
      </c>
      <c r="M5" s="4">
        <v>3015.2028999999993</v>
      </c>
      <c r="N5" s="5">
        <f>(M5-M4)/M4</f>
        <v>-0.44753489342767494</v>
      </c>
      <c r="O5" s="4">
        <v>170518.23700000011</v>
      </c>
      <c r="P5" s="5">
        <f>(O5-O4)/O4</f>
        <v>8.477092715864766E-2</v>
      </c>
      <c r="Q5" s="13">
        <v>1775</v>
      </c>
      <c r="R5" s="5">
        <f>(Q5-Q4)/Q4</f>
        <v>9.3653727664818234E-2</v>
      </c>
    </row>
    <row r="6" spans="1:18" x14ac:dyDescent="0.3">
      <c r="F6" t="s">
        <v>16</v>
      </c>
      <c r="G6" s="12">
        <f>GETPIVOTDATA("Sum of Quantity",$A$7)</f>
        <v>8028</v>
      </c>
      <c r="H6" s="12">
        <f>GETPIVOTDATA("Sum of Quantity",$A$7,"Years",2017)</f>
        <v>2437</v>
      </c>
      <c r="I6" s="12">
        <f>GETPIVOTDATA("Sum of Quantity",$A$7,"Years",2016)</f>
        <v>2193</v>
      </c>
      <c r="J6" s="5">
        <f t="shared" ref="J6:J7" si="0">(H6-I6)/I6</f>
        <v>0.11126310989512084</v>
      </c>
      <c r="K6" t="str">
        <f t="shared" ref="K6:K7" si="1">IF(J6&gt;0,"▲","▼")&amp;TEXT(ABS(J6),"0%")&amp;" YoY"</f>
        <v>▲11% YoY</v>
      </c>
      <c r="L6">
        <v>2016</v>
      </c>
      <c r="M6" s="4">
        <v>6959.9530999999979</v>
      </c>
      <c r="N6" s="5">
        <f t="shared" ref="N6:P7" si="2">(M6-M5)/M5</f>
        <v>1.3082868154577589</v>
      </c>
      <c r="O6" s="4">
        <v>198901.43600000019</v>
      </c>
      <c r="P6" s="5">
        <f t="shared" si="2"/>
        <v>0.16645257128714075</v>
      </c>
      <c r="Q6" s="13">
        <v>2193</v>
      </c>
      <c r="R6" s="5">
        <f t="shared" ref="R6" si="3">(Q6-Q5)/Q5</f>
        <v>0.23549295774647888</v>
      </c>
    </row>
    <row r="7" spans="1:18" x14ac:dyDescent="0.3">
      <c r="A7" s="2" t="s">
        <v>4409</v>
      </c>
      <c r="B7" t="s">
        <v>4412</v>
      </c>
      <c r="C7" t="s">
        <v>4408</v>
      </c>
      <c r="D7" t="s">
        <v>4411</v>
      </c>
      <c r="F7" t="s">
        <v>17</v>
      </c>
      <c r="G7" s="4">
        <f>GETPIVOTDATA("Sum of Profit",$A$7)</f>
        <v>18451.272799999999</v>
      </c>
      <c r="H7" s="4">
        <f>GETPIVOTDATA("Sum of Profit",$A$7,"Years",2017)</f>
        <v>3018.3912999999957</v>
      </c>
      <c r="I7" s="4">
        <f>GETPIVOTDATA("Sum of Profit",$A$7,"Years",2016)</f>
        <v>6959.9530999999979</v>
      </c>
      <c r="J7" s="5">
        <f t="shared" si="0"/>
        <v>-0.56632016672641128</v>
      </c>
      <c r="K7" t="str">
        <f t="shared" si="1"/>
        <v>▼57% YoY</v>
      </c>
      <c r="L7">
        <v>2017</v>
      </c>
      <c r="M7" s="4">
        <v>3018.3912999999957</v>
      </c>
      <c r="N7" s="5">
        <f t="shared" si="2"/>
        <v>-0.56632016672641128</v>
      </c>
      <c r="O7" s="4">
        <v>215387.26920000004</v>
      </c>
      <c r="P7" s="5">
        <f t="shared" si="2"/>
        <v>8.2884435283814811E-2</v>
      </c>
      <c r="Q7" s="13">
        <v>2437</v>
      </c>
      <c r="R7" s="5">
        <f t="shared" ref="R7" si="4">(Q7-Q6)/Q6</f>
        <v>0.11126310989512084</v>
      </c>
    </row>
    <row r="8" spans="1:18" x14ac:dyDescent="0.3">
      <c r="A8" s="3" t="s">
        <v>4413</v>
      </c>
      <c r="B8" s="13">
        <v>1623</v>
      </c>
      <c r="C8" s="13">
        <v>157192.85310000001</v>
      </c>
      <c r="D8" s="13">
        <v>5457.7255000000059</v>
      </c>
      <c r="M8" s="10"/>
      <c r="N8" s="5"/>
      <c r="O8" s="4"/>
      <c r="P8" s="4"/>
      <c r="Q8" s="5"/>
      <c r="R8" s="5"/>
    </row>
    <row r="9" spans="1:18" x14ac:dyDescent="0.3">
      <c r="A9" s="3" t="s">
        <v>4414</v>
      </c>
      <c r="B9" s="13">
        <v>1775</v>
      </c>
      <c r="C9" s="13">
        <v>170518.23700000011</v>
      </c>
      <c r="D9" s="13">
        <v>3015.2028999999993</v>
      </c>
      <c r="N9" s="8"/>
      <c r="O9" s="8"/>
      <c r="P9" s="4"/>
      <c r="R9" s="5"/>
    </row>
    <row r="10" spans="1:18" x14ac:dyDescent="0.3">
      <c r="A10" s="3" t="s">
        <v>4415</v>
      </c>
      <c r="B10" s="13">
        <v>2193</v>
      </c>
      <c r="C10" s="13">
        <v>198901.43600000019</v>
      </c>
      <c r="D10" s="13">
        <v>6959.9530999999979</v>
      </c>
    </row>
    <row r="11" spans="1:18" x14ac:dyDescent="0.3">
      <c r="A11" s="3" t="s">
        <v>4416</v>
      </c>
      <c r="B11" s="13">
        <v>2437</v>
      </c>
      <c r="C11" s="13">
        <v>215387.26920000004</v>
      </c>
      <c r="D11" s="13">
        <v>3018.3912999999957</v>
      </c>
    </row>
    <row r="12" spans="1:18" x14ac:dyDescent="0.3">
      <c r="A12" s="3" t="s">
        <v>4410</v>
      </c>
      <c r="B12" s="13">
        <v>8028</v>
      </c>
      <c r="C12" s="13">
        <v>741999.79530000035</v>
      </c>
      <c r="D12" s="13">
        <v>18451.272799999999</v>
      </c>
    </row>
    <row r="13" spans="1:18" x14ac:dyDescent="0.3">
      <c r="A13" s="3"/>
    </row>
    <row r="14" spans="1:18" x14ac:dyDescent="0.3">
      <c r="A14" s="3" t="s">
        <v>4423</v>
      </c>
      <c r="H14" t="s">
        <v>4424</v>
      </c>
      <c r="J14" t="str">
        <f>"Top Selling City: " &amp; INDEX(H16:H20, MATCH(MAX(I16:I20), I16:I20,0)) &amp; " (" &amp; TEXT(MAX(I16:I20), "#,##0") &amp; ")"</f>
        <v>Top Selling City: New York City (75,691)</v>
      </c>
    </row>
    <row r="15" spans="1:18" x14ac:dyDescent="0.3">
      <c r="A15" t="str">
        <f>"Peak Sales Month: " &amp; INDEX(A17:A28, MATCH(MAX(B17:B28), B17:B28,0)) &amp; " with " &amp; TEXT(MAX(B17:B28), "$#,##0") &amp; " in Sales"</f>
        <v>Peak Sales Month: Dec with $121,818 in Sales</v>
      </c>
      <c r="H15" s="2" t="s">
        <v>4409</v>
      </c>
      <c r="I15" t="s">
        <v>4408</v>
      </c>
      <c r="L15" s="4">
        <f>MAX(K16:K20)*1.2</f>
        <v>90829.258800000011</v>
      </c>
    </row>
    <row r="16" spans="1:18" x14ac:dyDescent="0.3">
      <c r="A16" s="2" t="s">
        <v>4409</v>
      </c>
      <c r="B16" t="s">
        <v>4408</v>
      </c>
      <c r="H16" s="3" t="s">
        <v>52</v>
      </c>
      <c r="I16" s="4">
        <v>54000.040999999976</v>
      </c>
      <c r="J16" s="3" t="str">
        <f>H16</f>
        <v>Los Angeles</v>
      </c>
      <c r="K16" s="4">
        <f>I16</f>
        <v>54000.040999999976</v>
      </c>
      <c r="L16" s="4">
        <f>$L$15-K16</f>
        <v>36829.217800000035</v>
      </c>
    </row>
    <row r="17" spans="1:12" x14ac:dyDescent="0.3">
      <c r="A17" s="3" t="s">
        <v>169</v>
      </c>
      <c r="B17" s="4">
        <v>31569.241599999998</v>
      </c>
      <c r="H17" s="3" t="s">
        <v>173</v>
      </c>
      <c r="I17" s="4">
        <v>75691.049000000014</v>
      </c>
      <c r="J17" s="3" t="str">
        <f t="shared" ref="J17:J20" si="5">H17</f>
        <v>New York City</v>
      </c>
      <c r="K17" s="4">
        <f t="shared" ref="K17:K20" si="6">I17</f>
        <v>75691.049000000014</v>
      </c>
      <c r="L17" s="4">
        <f t="shared" ref="L17:L20" si="7">$L$15-K17</f>
        <v>15138.209799999997</v>
      </c>
    </row>
    <row r="18" spans="1:12" x14ac:dyDescent="0.3">
      <c r="A18" s="3" t="s">
        <v>297</v>
      </c>
      <c r="B18" s="4">
        <v>15765.920399999994</v>
      </c>
      <c r="H18" s="3" t="s">
        <v>65</v>
      </c>
      <c r="I18" s="4">
        <v>36495.541000000012</v>
      </c>
      <c r="J18" s="3" t="str">
        <f t="shared" si="5"/>
        <v>Philadelphia</v>
      </c>
      <c r="K18" s="4">
        <f t="shared" si="6"/>
        <v>36495.541000000012</v>
      </c>
      <c r="L18" s="4">
        <f t="shared" si="7"/>
        <v>54333.717799999999</v>
      </c>
    </row>
    <row r="19" spans="1:12" x14ac:dyDescent="0.3">
      <c r="A19" s="3" t="s">
        <v>195</v>
      </c>
      <c r="B19" s="4">
        <v>50768.275799999996</v>
      </c>
      <c r="H19" s="3" t="s">
        <v>328</v>
      </c>
      <c r="I19" s="4">
        <v>36357.307999999997</v>
      </c>
      <c r="J19" s="3" t="str">
        <f t="shared" si="5"/>
        <v>San Francisco</v>
      </c>
      <c r="K19" s="4">
        <f t="shared" si="6"/>
        <v>36357.307999999997</v>
      </c>
      <c r="L19" s="4">
        <f t="shared" si="7"/>
        <v>54471.950800000013</v>
      </c>
    </row>
    <row r="20" spans="1:12" x14ac:dyDescent="0.3">
      <c r="A20" s="3" t="s">
        <v>113</v>
      </c>
      <c r="B20" s="4">
        <v>40698.583600000013</v>
      </c>
      <c r="H20" s="3" t="s">
        <v>191</v>
      </c>
      <c r="I20" s="4">
        <v>40995.877999999997</v>
      </c>
      <c r="J20" s="3" t="str">
        <f t="shared" si="5"/>
        <v>Seattle</v>
      </c>
      <c r="K20" s="4">
        <f t="shared" si="6"/>
        <v>40995.877999999997</v>
      </c>
      <c r="L20" s="4">
        <f t="shared" si="7"/>
        <v>49833.380800000014</v>
      </c>
    </row>
    <row r="21" spans="1:12" x14ac:dyDescent="0.3">
      <c r="A21" s="3" t="s">
        <v>161</v>
      </c>
      <c r="B21" s="4">
        <v>48365.130699999951</v>
      </c>
      <c r="H21" s="3" t="s">
        <v>4410</v>
      </c>
      <c r="I21" s="4">
        <v>243539.81699999998</v>
      </c>
      <c r="J21" s="3"/>
    </row>
    <row r="22" spans="1:12" x14ac:dyDescent="0.3">
      <c r="A22" s="3" t="s">
        <v>59</v>
      </c>
      <c r="B22" s="4">
        <v>52999.463299999974</v>
      </c>
    </row>
    <row r="23" spans="1:12" x14ac:dyDescent="0.3">
      <c r="A23" s="3" t="s">
        <v>71</v>
      </c>
      <c r="B23" s="4">
        <v>49377.011999999966</v>
      </c>
      <c r="H23" s="3" t="s">
        <v>4427</v>
      </c>
    </row>
    <row r="24" spans="1:12" x14ac:dyDescent="0.3">
      <c r="A24" s="3" t="s">
        <v>253</v>
      </c>
      <c r="B24" s="4">
        <v>44884.044999999991</v>
      </c>
      <c r="H24" t="str">
        <f>"Most Orders ("&amp;TEXT(MAX(I26:I33),"0%")&amp;") were delivered in "&amp;INDEX(H26:H33,MATCH(MAX(I26:I33),I26:I33,0))&amp;"."</f>
        <v>Most Orders (28%) were delivered in 4 days.</v>
      </c>
    </row>
    <row r="25" spans="1:12" x14ac:dyDescent="0.3">
      <c r="A25" s="3" t="s">
        <v>77</v>
      </c>
      <c r="B25" s="4">
        <v>106380.59069999997</v>
      </c>
      <c r="H25" s="2" t="s">
        <v>4409</v>
      </c>
      <c r="I25" t="s">
        <v>4426</v>
      </c>
    </row>
    <row r="26" spans="1:12" x14ac:dyDescent="0.3">
      <c r="A26" s="3" t="s">
        <v>48</v>
      </c>
      <c r="B26" s="4">
        <v>58087.515699999982</v>
      </c>
      <c r="H26" s="3" t="s">
        <v>430</v>
      </c>
      <c r="I26" s="7">
        <v>5.469118340405469E-2</v>
      </c>
    </row>
    <row r="27" spans="1:12" x14ac:dyDescent="0.3">
      <c r="A27" s="3" t="s">
        <v>34</v>
      </c>
      <c r="B27" s="4">
        <v>121286.04899999996</v>
      </c>
      <c r="H27" s="3" t="s">
        <v>123</v>
      </c>
      <c r="I27" s="7">
        <v>3.6303630363036306E-2</v>
      </c>
    </row>
    <row r="28" spans="1:12" x14ac:dyDescent="0.3">
      <c r="A28" s="3" t="s">
        <v>96</v>
      </c>
      <c r="B28" s="4">
        <v>121817.96749999993</v>
      </c>
      <c r="H28" s="3" t="s">
        <v>70</v>
      </c>
      <c r="I28" s="7">
        <v>0.14615747289014616</v>
      </c>
    </row>
    <row r="29" spans="1:12" x14ac:dyDescent="0.3">
      <c r="A29" s="3" t="s">
        <v>4410</v>
      </c>
      <c r="B29" s="4">
        <v>741999.79529999977</v>
      </c>
      <c r="H29" s="3" t="s">
        <v>33</v>
      </c>
      <c r="I29" s="7">
        <v>8.7694483734087697E-2</v>
      </c>
    </row>
    <row r="30" spans="1:12" x14ac:dyDescent="0.3">
      <c r="A30" t="s">
        <v>4425</v>
      </c>
      <c r="H30" s="3" t="s">
        <v>83</v>
      </c>
      <c r="I30" s="7">
        <v>0.28335690711928335</v>
      </c>
    </row>
    <row r="31" spans="1:12" x14ac:dyDescent="0.3">
      <c r="A31" s="2" t="s">
        <v>4409</v>
      </c>
      <c r="B31" t="s">
        <v>4408</v>
      </c>
      <c r="C31" t="s">
        <v>4430</v>
      </c>
      <c r="D31" t="s">
        <v>4431</v>
      </c>
      <c r="H31" s="3" t="s">
        <v>58</v>
      </c>
      <c r="I31" s="7">
        <v>0.2197076850542197</v>
      </c>
    </row>
    <row r="32" spans="1:12" x14ac:dyDescent="0.3">
      <c r="A32" s="3" t="s">
        <v>1276</v>
      </c>
      <c r="B32" s="4">
        <v>6332.48</v>
      </c>
      <c r="C32" t="str">
        <f>A32</f>
        <v>Alabama</v>
      </c>
      <c r="D32" s="4">
        <f>B32</f>
        <v>6332.48</v>
      </c>
      <c r="H32" s="3" t="s">
        <v>129</v>
      </c>
      <c r="I32" s="7">
        <v>0.11126826968411127</v>
      </c>
    </row>
    <row r="33" spans="1:9" x14ac:dyDescent="0.3">
      <c r="A33" s="3" t="s">
        <v>520</v>
      </c>
      <c r="B33" s="4">
        <v>13525.291000000001</v>
      </c>
      <c r="C33" t="str">
        <f t="shared" ref="C33:C79" si="8">A33</f>
        <v>Arizona</v>
      </c>
      <c r="D33" s="4">
        <f t="shared" ref="D33:D79" si="9">B33</f>
        <v>13525.291000000001</v>
      </c>
      <c r="H33" s="3" t="s">
        <v>47</v>
      </c>
      <c r="I33" s="7">
        <v>6.0820367751060818E-2</v>
      </c>
    </row>
    <row r="34" spans="1:9" x14ac:dyDescent="0.3">
      <c r="A34" s="3" t="s">
        <v>1058</v>
      </c>
      <c r="B34" s="4">
        <v>3187.55</v>
      </c>
      <c r="C34" t="str">
        <f t="shared" si="8"/>
        <v>Arkansas</v>
      </c>
      <c r="D34" s="4">
        <f t="shared" si="9"/>
        <v>3187.55</v>
      </c>
      <c r="H34" s="3" t="s">
        <v>4410</v>
      </c>
      <c r="I34" s="7">
        <v>1</v>
      </c>
    </row>
    <row r="35" spans="1:9" x14ac:dyDescent="0.3">
      <c r="A35" s="3" t="s">
        <v>53</v>
      </c>
      <c r="B35" s="4">
        <v>156064.60149999999</v>
      </c>
      <c r="C35" t="str">
        <f t="shared" si="8"/>
        <v>California</v>
      </c>
      <c r="D35" s="4">
        <f t="shared" si="9"/>
        <v>156064.60149999999</v>
      </c>
    </row>
    <row r="36" spans="1:9" x14ac:dyDescent="0.3">
      <c r="A36" s="3" t="s">
        <v>180</v>
      </c>
      <c r="B36" s="4">
        <v>13243.037</v>
      </c>
      <c r="C36" t="str">
        <f t="shared" si="8"/>
        <v>Colorado</v>
      </c>
      <c r="D36" s="4">
        <f t="shared" si="9"/>
        <v>13243.037</v>
      </c>
    </row>
    <row r="37" spans="1:9" x14ac:dyDescent="0.3">
      <c r="A37" s="3" t="s">
        <v>429</v>
      </c>
      <c r="B37" s="4">
        <v>5174.9870000000001</v>
      </c>
      <c r="C37" t="str">
        <f t="shared" si="8"/>
        <v>Connecticut</v>
      </c>
      <c r="D37" s="4">
        <f t="shared" si="9"/>
        <v>5174.9870000000001</v>
      </c>
    </row>
    <row r="38" spans="1:9" x14ac:dyDescent="0.3">
      <c r="A38" s="3" t="s">
        <v>200</v>
      </c>
      <c r="B38" s="4">
        <v>4759.3189999999995</v>
      </c>
      <c r="C38" t="str">
        <f t="shared" si="8"/>
        <v>Delaware</v>
      </c>
      <c r="D38" s="4">
        <f t="shared" si="9"/>
        <v>4759.3189999999995</v>
      </c>
      <c r="H38" t="s">
        <v>4428</v>
      </c>
    </row>
    <row r="39" spans="1:9" x14ac:dyDescent="0.3">
      <c r="A39" s="3" t="s">
        <v>980</v>
      </c>
      <c r="B39" s="4">
        <v>1346.58</v>
      </c>
      <c r="C39" t="str">
        <f t="shared" si="8"/>
        <v>District of Columbia</v>
      </c>
      <c r="D39" s="4">
        <f t="shared" si="9"/>
        <v>1346.58</v>
      </c>
      <c r="H39" t="str">
        <f>"Most Orders Used "&amp;INDEX(H41:H44,MATCH(MAX(I41:I44),I41:I44,0)) &amp; "(" &amp; TEXT(MAX(I41:I44), "0%") &amp; ")"</f>
        <v>Most Orders Used Standard Class(59%)</v>
      </c>
    </row>
    <row r="40" spans="1:9" x14ac:dyDescent="0.3">
      <c r="A40" s="3" t="s">
        <v>43</v>
      </c>
      <c r="B40" s="4">
        <v>22987.03799999999</v>
      </c>
      <c r="C40" t="str">
        <f t="shared" si="8"/>
        <v>Florida</v>
      </c>
      <c r="D40" s="4">
        <f t="shared" si="9"/>
        <v>22987.03799999999</v>
      </c>
      <c r="H40" s="2" t="s">
        <v>4409</v>
      </c>
      <c r="I40" t="s">
        <v>4426</v>
      </c>
    </row>
    <row r="41" spans="1:9" x14ac:dyDescent="0.3">
      <c r="A41" s="3" t="s">
        <v>667</v>
      </c>
      <c r="B41" s="4">
        <v>8321.48</v>
      </c>
      <c r="C41" t="str">
        <f t="shared" si="8"/>
        <v>Georgia</v>
      </c>
      <c r="D41" s="4">
        <f t="shared" si="9"/>
        <v>8321.48</v>
      </c>
      <c r="H41" s="3" t="s">
        <v>87</v>
      </c>
      <c r="I41" s="7">
        <v>0.15417256011315417</v>
      </c>
    </row>
    <row r="42" spans="1:9" x14ac:dyDescent="0.3">
      <c r="A42" s="3" t="s">
        <v>2280</v>
      </c>
      <c r="B42" s="4">
        <v>2595.482</v>
      </c>
      <c r="C42" t="str">
        <f t="shared" si="8"/>
        <v>Idaho</v>
      </c>
      <c r="D42" s="4">
        <f t="shared" si="9"/>
        <v>2595.482</v>
      </c>
      <c r="H42" s="3" t="s">
        <v>425</v>
      </c>
      <c r="I42" s="7">
        <v>5.6105610561056105E-2</v>
      </c>
    </row>
    <row r="43" spans="1:9" x14ac:dyDescent="0.3">
      <c r="A43" s="3" t="s">
        <v>134</v>
      </c>
      <c r="B43" s="4">
        <v>28274.522000000008</v>
      </c>
      <c r="C43" t="str">
        <f t="shared" si="8"/>
        <v>Illinois</v>
      </c>
      <c r="D43" s="4">
        <f t="shared" si="9"/>
        <v>28274.522000000008</v>
      </c>
      <c r="H43" s="3" t="s">
        <v>21</v>
      </c>
      <c r="I43" s="7">
        <v>0.20132013201320131</v>
      </c>
    </row>
    <row r="44" spans="1:9" x14ac:dyDescent="0.3">
      <c r="A44" s="3" t="s">
        <v>110</v>
      </c>
      <c r="B44" s="4">
        <v>11496.71</v>
      </c>
      <c r="C44" t="str">
        <f t="shared" si="8"/>
        <v>Indiana</v>
      </c>
      <c r="D44" s="4">
        <f t="shared" si="9"/>
        <v>11496.71</v>
      </c>
      <c r="H44" s="3" t="s">
        <v>39</v>
      </c>
      <c r="I44" s="7">
        <v>0.5884016973125884</v>
      </c>
    </row>
    <row r="45" spans="1:9" x14ac:dyDescent="0.3">
      <c r="A45" s="3" t="s">
        <v>801</v>
      </c>
      <c r="B45" s="4">
        <v>2642.3099999999995</v>
      </c>
      <c r="C45" t="str">
        <f t="shared" si="8"/>
        <v>Iowa</v>
      </c>
      <c r="D45" s="4">
        <f t="shared" si="9"/>
        <v>2642.3099999999995</v>
      </c>
      <c r="H45" s="3" t="s">
        <v>4410</v>
      </c>
      <c r="I45" s="6">
        <v>1</v>
      </c>
    </row>
    <row r="46" spans="1:9" x14ac:dyDescent="0.3">
      <c r="A46" s="3" t="s">
        <v>3135</v>
      </c>
      <c r="B46" s="4">
        <v>111.12</v>
      </c>
      <c r="C46" t="str">
        <f t="shared" si="8"/>
        <v>Kansas</v>
      </c>
      <c r="D46" s="4">
        <f t="shared" si="9"/>
        <v>111.12</v>
      </c>
    </row>
    <row r="47" spans="1:9" x14ac:dyDescent="0.3">
      <c r="A47" s="3" t="s">
        <v>27</v>
      </c>
      <c r="B47" s="4">
        <v>12126.84</v>
      </c>
      <c r="C47" t="str">
        <f t="shared" si="8"/>
        <v>Kentucky</v>
      </c>
      <c r="D47" s="4">
        <f t="shared" si="9"/>
        <v>12126.84</v>
      </c>
      <c r="H47" s="3" t="s">
        <v>4429</v>
      </c>
    </row>
    <row r="48" spans="1:9" x14ac:dyDescent="0.3">
      <c r="A48" s="3" t="s">
        <v>1406</v>
      </c>
      <c r="B48" s="4">
        <v>2963.03</v>
      </c>
      <c r="C48" t="str">
        <f t="shared" si="8"/>
        <v>Louisiana</v>
      </c>
      <c r="D48" s="4">
        <f t="shared" si="9"/>
        <v>2963.03</v>
      </c>
      <c r="H48" t="str">
        <f>"Highest Sales from Sub-Category: " &amp; INDEX(H50:H53, MATCH(MAX(I50:I53),I50:I53,0)) &amp; "("&amp;TEXT(MAX(I50:I53), "$#,##0")&amp;")"</f>
        <v>Highest Sales from Sub-Category: Chairs($328,449)</v>
      </c>
    </row>
    <row r="49" spans="1:12" x14ac:dyDescent="0.3">
      <c r="A49" s="3" t="s">
        <v>1788</v>
      </c>
      <c r="B49" s="4">
        <v>109.48</v>
      </c>
      <c r="C49" t="str">
        <f t="shared" si="8"/>
        <v>Maine</v>
      </c>
      <c r="D49" s="4">
        <f t="shared" si="9"/>
        <v>109.48</v>
      </c>
      <c r="H49" s="2" t="s">
        <v>4409</v>
      </c>
      <c r="I49" t="s">
        <v>4408</v>
      </c>
      <c r="L49" s="4">
        <f>MAX(K50:K53)*1.2</f>
        <v>394138.92360000091</v>
      </c>
    </row>
    <row r="50" spans="1:12" x14ac:dyDescent="0.3">
      <c r="A50" s="3" t="s">
        <v>1089</v>
      </c>
      <c r="B50" s="4">
        <v>9149.2529999999988</v>
      </c>
      <c r="C50" t="str">
        <f t="shared" si="8"/>
        <v>Maryland</v>
      </c>
      <c r="D50" s="4">
        <f t="shared" si="9"/>
        <v>9149.2529999999988</v>
      </c>
      <c r="H50" s="3" t="s">
        <v>31</v>
      </c>
      <c r="I50" s="4">
        <v>114879.99629999997</v>
      </c>
      <c r="J50" t="str">
        <f>H50</f>
        <v>Bookcases</v>
      </c>
      <c r="K50" s="4">
        <f>I50</f>
        <v>114879.99629999997</v>
      </c>
      <c r="L50" s="4">
        <f>$L$49-K50</f>
        <v>279258.92730000091</v>
      </c>
    </row>
    <row r="51" spans="1:12" x14ac:dyDescent="0.3">
      <c r="A51" s="3" t="s">
        <v>434</v>
      </c>
      <c r="B51" s="4">
        <v>10919.063999999997</v>
      </c>
      <c r="C51" t="str">
        <f t="shared" si="8"/>
        <v>Massachusetts</v>
      </c>
      <c r="D51" s="4">
        <f t="shared" si="9"/>
        <v>10919.063999999997</v>
      </c>
      <c r="H51" s="3" t="s">
        <v>36</v>
      </c>
      <c r="I51" s="4">
        <v>328449.10300000076</v>
      </c>
      <c r="J51" t="str">
        <f t="shared" ref="J51:J53" si="10">H51</f>
        <v>Chairs</v>
      </c>
      <c r="K51" s="4">
        <f t="shared" ref="K51:K53" si="11">I51</f>
        <v>328449.10300000076</v>
      </c>
      <c r="L51" s="4">
        <f t="shared" ref="L51:L53" si="12">$L$49-K51</f>
        <v>65689.820600000152</v>
      </c>
    </row>
    <row r="52" spans="1:12" x14ac:dyDescent="0.3">
      <c r="A52" s="3" t="s">
        <v>289</v>
      </c>
      <c r="B52" s="4">
        <v>22321.099999999995</v>
      </c>
      <c r="C52" t="str">
        <f t="shared" si="8"/>
        <v>Michigan</v>
      </c>
      <c r="D52" s="4">
        <f t="shared" si="9"/>
        <v>22321.099999999995</v>
      </c>
      <c r="H52" s="3" t="s">
        <v>56</v>
      </c>
      <c r="I52" s="4">
        <v>91705.164000000048</v>
      </c>
      <c r="J52" t="str">
        <f t="shared" si="10"/>
        <v>Furnishings</v>
      </c>
      <c r="K52" s="4">
        <f t="shared" si="11"/>
        <v>91705.164000000048</v>
      </c>
      <c r="L52" s="4">
        <f t="shared" si="12"/>
        <v>302433.75960000086</v>
      </c>
    </row>
    <row r="53" spans="1:12" x14ac:dyDescent="0.3">
      <c r="A53" s="3" t="s">
        <v>166</v>
      </c>
      <c r="B53" s="4">
        <v>7611.35</v>
      </c>
      <c r="C53" t="str">
        <f t="shared" si="8"/>
        <v>Minnesota</v>
      </c>
      <c r="D53" s="4">
        <f t="shared" si="9"/>
        <v>7611.35</v>
      </c>
      <c r="H53" s="3" t="s">
        <v>45</v>
      </c>
      <c r="I53" s="4">
        <v>206965.53200000009</v>
      </c>
      <c r="J53" t="str">
        <f t="shared" si="10"/>
        <v>Tables</v>
      </c>
      <c r="K53" s="4">
        <f t="shared" si="11"/>
        <v>206965.53200000009</v>
      </c>
      <c r="L53" s="4">
        <f t="shared" si="12"/>
        <v>187173.39160000082</v>
      </c>
    </row>
    <row r="54" spans="1:12" x14ac:dyDescent="0.3">
      <c r="A54" s="3" t="s">
        <v>478</v>
      </c>
      <c r="B54" s="4">
        <v>4317.8499999999995</v>
      </c>
      <c r="C54" t="str">
        <f t="shared" si="8"/>
        <v>Mississippi</v>
      </c>
      <c r="D54" s="4">
        <f t="shared" si="9"/>
        <v>4317.8499999999995</v>
      </c>
      <c r="H54" s="3" t="s">
        <v>4410</v>
      </c>
      <c r="I54" s="4">
        <v>741999.79530000081</v>
      </c>
    </row>
    <row r="55" spans="1:12" x14ac:dyDescent="0.3">
      <c r="A55" s="3" t="s">
        <v>565</v>
      </c>
      <c r="B55" s="4">
        <v>2936.45</v>
      </c>
      <c r="C55" t="str">
        <f t="shared" si="8"/>
        <v>Missouri</v>
      </c>
      <c r="D55" s="4">
        <f t="shared" si="9"/>
        <v>2936.45</v>
      </c>
    </row>
    <row r="56" spans="1:12" x14ac:dyDescent="0.3">
      <c r="A56" s="3" t="s">
        <v>3701</v>
      </c>
      <c r="B56" s="4">
        <v>63.98</v>
      </c>
      <c r="C56" t="str">
        <f t="shared" si="8"/>
        <v>Montana</v>
      </c>
      <c r="D56" s="4">
        <f t="shared" si="9"/>
        <v>63.98</v>
      </c>
    </row>
    <row r="57" spans="1:12" x14ac:dyDescent="0.3">
      <c r="A57" s="3" t="s">
        <v>841</v>
      </c>
      <c r="B57" s="4">
        <v>1944.7</v>
      </c>
      <c r="C57" t="str">
        <f t="shared" si="8"/>
        <v>Nebraska</v>
      </c>
      <c r="D57" s="4">
        <f t="shared" si="9"/>
        <v>1944.7</v>
      </c>
    </row>
    <row r="58" spans="1:12" x14ac:dyDescent="0.3">
      <c r="A58" s="3" t="s">
        <v>1340</v>
      </c>
      <c r="B58" s="4">
        <v>4635.1720000000005</v>
      </c>
      <c r="C58" t="str">
        <f t="shared" si="8"/>
        <v>Nevada</v>
      </c>
      <c r="D58" s="4">
        <f t="shared" si="9"/>
        <v>4635.1720000000005</v>
      </c>
    </row>
    <row r="59" spans="1:12" x14ac:dyDescent="0.3">
      <c r="A59" s="3" t="s">
        <v>884</v>
      </c>
      <c r="B59" s="4">
        <v>1886.4739999999999</v>
      </c>
      <c r="C59" t="str">
        <f t="shared" si="8"/>
        <v>New Hampshire</v>
      </c>
      <c r="D59" s="4">
        <f t="shared" si="9"/>
        <v>1886.4739999999999</v>
      </c>
    </row>
    <row r="60" spans="1:12" x14ac:dyDescent="0.3">
      <c r="A60" s="3" t="s">
        <v>362</v>
      </c>
      <c r="B60" s="4">
        <v>6307.0419999999995</v>
      </c>
      <c r="C60" t="str">
        <f t="shared" si="8"/>
        <v>New Jersey</v>
      </c>
      <c r="D60" s="4">
        <f t="shared" si="9"/>
        <v>6307.0419999999995</v>
      </c>
    </row>
    <row r="61" spans="1:12" x14ac:dyDescent="0.3">
      <c r="A61" s="3" t="s">
        <v>1896</v>
      </c>
      <c r="B61" s="4">
        <v>1701.412</v>
      </c>
      <c r="C61" t="str">
        <f t="shared" si="8"/>
        <v>New Mexico</v>
      </c>
      <c r="D61" s="4">
        <f t="shared" si="9"/>
        <v>1701.412</v>
      </c>
    </row>
    <row r="62" spans="1:12" x14ac:dyDescent="0.3">
      <c r="A62" s="3" t="s">
        <v>120</v>
      </c>
      <c r="B62" s="4">
        <v>93372.728999999978</v>
      </c>
      <c r="C62" t="str">
        <f t="shared" si="8"/>
        <v>New York</v>
      </c>
      <c r="D62" s="4">
        <f t="shared" si="9"/>
        <v>93372.728999999978</v>
      </c>
    </row>
    <row r="63" spans="1:12" x14ac:dyDescent="0.3">
      <c r="A63" s="3" t="s">
        <v>1036</v>
      </c>
      <c r="B63" s="4">
        <v>15155.483999999999</v>
      </c>
      <c r="C63" t="str">
        <f t="shared" si="8"/>
        <v>North Carolina</v>
      </c>
      <c r="D63" s="4">
        <f t="shared" si="9"/>
        <v>15155.483999999999</v>
      </c>
    </row>
    <row r="64" spans="1:12" x14ac:dyDescent="0.3">
      <c r="A64" s="3" t="s">
        <v>231</v>
      </c>
      <c r="B64" s="4">
        <v>24199.144999999993</v>
      </c>
      <c r="C64" t="str">
        <f t="shared" si="8"/>
        <v>Ohio</v>
      </c>
      <c r="D64" s="4">
        <f t="shared" si="9"/>
        <v>24199.144999999993</v>
      </c>
    </row>
    <row r="65" spans="1:4" x14ac:dyDescent="0.3">
      <c r="A65" s="3" t="s">
        <v>1522</v>
      </c>
      <c r="B65" s="4">
        <v>8284.1</v>
      </c>
      <c r="C65" t="str">
        <f t="shared" si="8"/>
        <v>Oklahoma</v>
      </c>
      <c r="D65" s="4">
        <f t="shared" si="9"/>
        <v>8284.1</v>
      </c>
    </row>
    <row r="66" spans="1:4" x14ac:dyDescent="0.3">
      <c r="A66" s="3" t="s">
        <v>1517</v>
      </c>
      <c r="B66" s="4">
        <v>6338.1299999999992</v>
      </c>
      <c r="C66" t="str">
        <f t="shared" si="8"/>
        <v>Oregon</v>
      </c>
      <c r="D66" s="4">
        <f t="shared" si="9"/>
        <v>6338.1299999999992</v>
      </c>
    </row>
    <row r="67" spans="1:4" x14ac:dyDescent="0.3">
      <c r="A67" s="3" t="s">
        <v>66</v>
      </c>
      <c r="B67" s="4">
        <v>39354.931000000004</v>
      </c>
      <c r="C67" t="str">
        <f t="shared" si="8"/>
        <v>Pennsylvania</v>
      </c>
      <c r="D67" s="4">
        <f t="shared" si="9"/>
        <v>39354.931000000004</v>
      </c>
    </row>
    <row r="68" spans="1:4" x14ac:dyDescent="0.3">
      <c r="A68" s="3" t="s">
        <v>1645</v>
      </c>
      <c r="B68" s="4">
        <v>5918.7560000000003</v>
      </c>
      <c r="C68" t="str">
        <f t="shared" si="8"/>
        <v>Rhode Island</v>
      </c>
      <c r="D68" s="4">
        <f t="shared" si="9"/>
        <v>5918.7560000000003</v>
      </c>
    </row>
    <row r="69" spans="1:4" x14ac:dyDescent="0.3">
      <c r="A69" s="3" t="s">
        <v>158</v>
      </c>
      <c r="B69" s="4">
        <v>3078.25</v>
      </c>
      <c r="C69" t="str">
        <f t="shared" si="8"/>
        <v>South Carolina</v>
      </c>
      <c r="D69" s="4">
        <f t="shared" si="9"/>
        <v>3078.25</v>
      </c>
    </row>
    <row r="70" spans="1:4" x14ac:dyDescent="0.3">
      <c r="A70" s="3" t="s">
        <v>1826</v>
      </c>
      <c r="B70" s="4">
        <v>324.89999999999998</v>
      </c>
      <c r="C70" t="str">
        <f t="shared" si="8"/>
        <v>South Dakota</v>
      </c>
      <c r="D70" s="4">
        <f t="shared" si="9"/>
        <v>324.89999999999998</v>
      </c>
    </row>
    <row r="71" spans="1:4" x14ac:dyDescent="0.3">
      <c r="A71" s="3" t="s">
        <v>141</v>
      </c>
      <c r="B71" s="4">
        <v>13506.732</v>
      </c>
      <c r="C71" t="str">
        <f t="shared" si="8"/>
        <v>Tennessee</v>
      </c>
      <c r="D71" s="4">
        <f t="shared" si="9"/>
        <v>13506.732</v>
      </c>
    </row>
    <row r="72" spans="1:4" x14ac:dyDescent="0.3">
      <c r="A72" s="3" t="s">
        <v>92</v>
      </c>
      <c r="B72" s="4">
        <v>60593.291799999992</v>
      </c>
      <c r="C72" t="str">
        <f t="shared" si="8"/>
        <v>Texas</v>
      </c>
      <c r="D72" s="4">
        <f t="shared" si="9"/>
        <v>60593.291799999992</v>
      </c>
    </row>
    <row r="73" spans="1:4" x14ac:dyDescent="0.3">
      <c r="A73" s="3" t="s">
        <v>76</v>
      </c>
      <c r="B73" s="4">
        <v>4822.3499999999995</v>
      </c>
      <c r="C73" t="str">
        <f t="shared" si="8"/>
        <v>Utah</v>
      </c>
      <c r="D73" s="4">
        <f t="shared" si="9"/>
        <v>4822.3499999999995</v>
      </c>
    </row>
    <row r="74" spans="1:4" x14ac:dyDescent="0.3">
      <c r="A74" s="3" t="s">
        <v>3106</v>
      </c>
      <c r="B74" s="4">
        <v>5120.0999999999995</v>
      </c>
      <c r="C74" t="str">
        <f t="shared" si="8"/>
        <v>Vermont</v>
      </c>
      <c r="D74" s="4">
        <f t="shared" si="9"/>
        <v>5120.0999999999995</v>
      </c>
    </row>
    <row r="75" spans="1:4" x14ac:dyDescent="0.3">
      <c r="A75" s="3" t="s">
        <v>716</v>
      </c>
      <c r="B75" s="4">
        <v>25321.949999999993</v>
      </c>
      <c r="C75" t="str">
        <f t="shared" si="8"/>
        <v>Virginia</v>
      </c>
      <c r="D75" s="4">
        <f t="shared" si="9"/>
        <v>25321.949999999993</v>
      </c>
    </row>
    <row r="76" spans="1:4" x14ac:dyDescent="0.3">
      <c r="A76" s="3" t="s">
        <v>192</v>
      </c>
      <c r="B76" s="4">
        <v>48020.151999999973</v>
      </c>
      <c r="C76" t="str">
        <f t="shared" si="8"/>
        <v>Washington</v>
      </c>
      <c r="D76" s="4">
        <f t="shared" si="9"/>
        <v>48020.151999999973</v>
      </c>
    </row>
    <row r="77" spans="1:4" x14ac:dyDescent="0.3">
      <c r="A77" s="3" t="s">
        <v>4286</v>
      </c>
      <c r="B77" s="4">
        <v>673.34400000000005</v>
      </c>
      <c r="C77" t="str">
        <f t="shared" si="8"/>
        <v>West Virginia</v>
      </c>
      <c r="D77" s="4">
        <f t="shared" si="9"/>
        <v>673.34400000000005</v>
      </c>
    </row>
    <row r="78" spans="1:4" x14ac:dyDescent="0.3">
      <c r="A78" s="3" t="s">
        <v>238</v>
      </c>
      <c r="B78" s="4">
        <v>17256.609999999997</v>
      </c>
      <c r="C78" t="str">
        <f t="shared" si="8"/>
        <v>Wisconsin</v>
      </c>
      <c r="D78" s="4">
        <f t="shared" si="9"/>
        <v>17256.609999999997</v>
      </c>
    </row>
    <row r="79" spans="1:4" x14ac:dyDescent="0.3">
      <c r="A79" s="3" t="s">
        <v>3311</v>
      </c>
      <c r="B79" s="4">
        <v>1603.136</v>
      </c>
      <c r="C79" t="str">
        <f t="shared" si="8"/>
        <v>Wyoming</v>
      </c>
      <c r="D79" s="4">
        <f t="shared" si="9"/>
        <v>1603.136</v>
      </c>
    </row>
    <row r="80" spans="1:4" x14ac:dyDescent="0.3">
      <c r="A80" s="3" t="s">
        <v>4410</v>
      </c>
      <c r="B80" s="4">
        <v>741999.79530000011</v>
      </c>
      <c r="C80" t="str">
        <f>A80</f>
        <v>Grand Total</v>
      </c>
      <c r="D80" s="4">
        <f>B80</f>
        <v>741999.79530000011</v>
      </c>
    </row>
  </sheetData>
  <mergeCells count="1">
    <mergeCell ref="F3:J3"/>
  </mergeCells>
  <conditionalFormatting sqref="N5:N7">
    <cfRule type="cellIs" dxfId="5" priority="5" operator="greaterThan">
      <formula>0</formula>
    </cfRule>
    <cfRule type="cellIs" dxfId="4" priority="6" operator="lessThan">
      <formula>0</formula>
    </cfRule>
  </conditionalFormatting>
  <conditionalFormatting sqref="P5:P7">
    <cfRule type="cellIs" dxfId="3" priority="3" operator="greaterThan">
      <formula>0</formula>
    </cfRule>
    <cfRule type="cellIs" dxfId="2" priority="4" operator="lessThan">
      <formula>0</formula>
    </cfRule>
  </conditionalFormatting>
  <conditionalFormatting sqref="R5:R7">
    <cfRule type="cellIs" dxfId="1" priority="1" operator="greaterThan">
      <formula>0</formula>
    </cfRule>
    <cfRule type="cellIs" dxfId="0" priority="2" operator="lessThan">
      <formula>0</formula>
    </cfRule>
  </conditionalFormatting>
  <pageMargins left="0.7" right="0.7" top="0.75" bottom="0.75" header="0.3" footer="0.3"/>
  <pageSetup orientation="portrait"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topLeftCell="A3" zoomScale="50" zoomScaleNormal="50" workbookViewId="0">
      <selection activeCell="AJ19" sqref="AJ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5F68-7815-418B-B00A-1FBC4B07153E}">
  <dimension ref="A1"/>
  <sheetViews>
    <sheetView showGridLines="0" topLeftCell="G7" zoomScale="80" zoomScaleNormal="80" workbookViewId="0">
      <selection activeCell="Z17" sqref="Z17"/>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20E059-0DE0-4B10-9CD0-0B2C51D238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Furniture data</vt:lpstr>
      <vt:lpstr>Pivot Calculations</vt:lpstr>
      <vt:lpstr>Dashboard</vt:lpstr>
      <vt:lpstr>Sheet3</vt:lpstr>
      <vt:lpstr>highsubcategory</vt:lpstr>
      <vt:lpstr>ordersduration</vt:lpstr>
      <vt:lpstr>profit</vt:lpstr>
      <vt:lpstr>profityoy</vt:lpstr>
      <vt:lpstr>quantity</vt:lpstr>
      <vt:lpstr>quantityyoy</vt:lpstr>
      <vt:lpstr>sales</vt:lpstr>
      <vt:lpstr>salestrend</vt:lpstr>
      <vt:lpstr>salesyoy</vt:lpstr>
      <vt:lpstr>shipmode</vt:lpstr>
      <vt:lpstr>topsellingcity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Deguenon Rodrigue</dc:creator>
  <cp:lastModifiedBy>Deguenon Rodrigue</cp:lastModifiedBy>
  <dcterms:created xsi:type="dcterms:W3CDTF">2025-06-03T08:03:41Z</dcterms:created>
  <dcterms:modified xsi:type="dcterms:W3CDTF">2025-06-04T15:44:50Z</dcterms:modified>
</cp:coreProperties>
</file>